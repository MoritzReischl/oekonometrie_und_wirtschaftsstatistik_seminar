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re\Git - Ökonometrie und Wirtschaftsstatistik\oekonometrie_und_wirtschaftsstatistik_seminar\data\raw\"/>
    </mc:Choice>
  </mc:AlternateContent>
  <xr:revisionPtr revIDLastSave="0" documentId="13_ncr:1_{6E6B4E9A-0047-440B-A53D-5C2A217A2AA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apping" sheetId="1" r:id="rId1"/>
    <sheet name="ETS activities" sheetId="3" r:id="rId2"/>
    <sheet name="NACE Rev. 2 Level 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F4" i="1"/>
  <c r="F3" i="1"/>
  <c r="F2" i="1"/>
  <c r="F14" i="1"/>
  <c r="C32" i="3"/>
  <c r="C6" i="3"/>
  <c r="C4" i="3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F41" i="1" l="1"/>
  <c r="C12" i="1"/>
  <c r="C20" i="1"/>
  <c r="C28" i="1"/>
  <c r="C35" i="1"/>
  <c r="C6" i="1"/>
  <c r="C13" i="1"/>
  <c r="C21" i="1"/>
  <c r="C29" i="1"/>
  <c r="C36" i="1"/>
  <c r="C2" i="1"/>
  <c r="C7" i="1"/>
  <c r="C15" i="1"/>
  <c r="C23" i="1"/>
  <c r="C31" i="1"/>
  <c r="C22" i="1"/>
  <c r="C30" i="1"/>
  <c r="C3" i="1"/>
  <c r="C8" i="1"/>
  <c r="C16" i="1"/>
  <c r="C24" i="1"/>
  <c r="C32" i="1"/>
  <c r="C4" i="1"/>
  <c r="C9" i="1"/>
  <c r="C17" i="1"/>
  <c r="C25" i="1"/>
  <c r="C33" i="1"/>
  <c r="C37" i="1"/>
  <c r="C10" i="1"/>
  <c r="C18" i="1"/>
  <c r="C26" i="1"/>
  <c r="C34" i="1"/>
  <c r="C38" i="1"/>
  <c r="C14" i="1"/>
  <c r="C5" i="1"/>
  <c r="C11" i="1"/>
  <c r="C19" i="1"/>
  <c r="C27" i="1"/>
  <c r="C28" i="3"/>
  <c r="C39" i="1"/>
  <c r="D39" i="1" l="1"/>
  <c r="C31" i="3"/>
  <c r="D38" i="1"/>
  <c r="C27" i="3"/>
  <c r="D34" i="1"/>
  <c r="D22" i="1"/>
  <c r="C20" i="3"/>
  <c r="D26" i="1"/>
  <c r="D13" i="1"/>
  <c r="C23" i="3"/>
  <c r="D30" i="1"/>
  <c r="D9" i="1"/>
  <c r="D21" i="1"/>
  <c r="C3" i="3"/>
  <c r="D4" i="1"/>
  <c r="G4" i="1" s="1"/>
  <c r="C24" i="3"/>
  <c r="D31" i="1"/>
  <c r="C21" i="3"/>
  <c r="D27" i="1"/>
  <c r="C15" i="3"/>
  <c r="D18" i="1"/>
  <c r="C25" i="3"/>
  <c r="D32" i="1"/>
  <c r="C18" i="3"/>
  <c r="D23" i="1"/>
  <c r="C5" i="3"/>
  <c r="D6" i="1"/>
  <c r="C16" i="3"/>
  <c r="D19" i="1"/>
  <c r="D35" i="1"/>
  <c r="C9" i="3"/>
  <c r="D10" i="1"/>
  <c r="C12" i="3"/>
  <c r="D15" i="1"/>
  <c r="C10" i="3"/>
  <c r="D11" i="1"/>
  <c r="C13" i="3"/>
  <c r="D16" i="1"/>
  <c r="C7" i="3"/>
  <c r="D7" i="1"/>
  <c r="D28" i="1"/>
  <c r="C14" i="3"/>
  <c r="D17" i="1"/>
  <c r="C22" i="3"/>
  <c r="D29" i="1"/>
  <c r="C19" i="3"/>
  <c r="D24" i="1"/>
  <c r="C30" i="3"/>
  <c r="D37" i="1"/>
  <c r="D5" i="1"/>
  <c r="C26" i="3"/>
  <c r="D33" i="1"/>
  <c r="C8" i="3"/>
  <c r="D8" i="1"/>
  <c r="C2" i="3"/>
  <c r="D2" i="1"/>
  <c r="C17" i="3"/>
  <c r="D20" i="1"/>
  <c r="C11" i="3"/>
  <c r="D14" i="1"/>
  <c r="D25" i="1"/>
  <c r="D3" i="1"/>
  <c r="C29" i="3"/>
  <c r="D36" i="1"/>
  <c r="D12" i="1"/>
  <c r="D41" i="1" l="1"/>
</calcChain>
</file>

<file path=xl/sharedStrings.xml><?xml version="1.0" encoding="utf-8"?>
<sst xmlns="http://schemas.openxmlformats.org/spreadsheetml/2006/main" count="496" uniqueCount="372">
  <si>
    <t>nace_level_3_code</t>
  </si>
  <si>
    <t>10</t>
  </si>
  <si>
    <t>Aviation</t>
  </si>
  <si>
    <t>51.1</t>
  </si>
  <si>
    <t>51.2</t>
  </si>
  <si>
    <t>20</t>
  </si>
  <si>
    <t>Combustion of fuels</t>
  </si>
  <si>
    <t>35.1</t>
  </si>
  <si>
    <t>35.2</t>
  </si>
  <si>
    <t>35.3</t>
  </si>
  <si>
    <t>20-99</t>
  </si>
  <si>
    <t>All stationary installations</t>
  </si>
  <si>
    <t>21</t>
  </si>
  <si>
    <t>Refining of mineral oil</t>
  </si>
  <si>
    <t>19.2</t>
  </si>
  <si>
    <t>21-99</t>
  </si>
  <si>
    <t>All industrial installations (excl. combustion)</t>
  </si>
  <si>
    <t>17.1</t>
  </si>
  <si>
    <t>17.2</t>
  </si>
  <si>
    <t>19.1</t>
  </si>
  <si>
    <t>20.1</t>
  </si>
  <si>
    <t>23.1</t>
  </si>
  <si>
    <t>23.2</t>
  </si>
  <si>
    <t>23.3</t>
  </si>
  <si>
    <t>23.4</t>
  </si>
  <si>
    <t>23.5</t>
  </si>
  <si>
    <t>23.6</t>
  </si>
  <si>
    <t>23.9</t>
  </si>
  <si>
    <t>24.1</t>
  </si>
  <si>
    <t>24.2</t>
  </si>
  <si>
    <t>24.3</t>
  </si>
  <si>
    <t>24.4</t>
  </si>
  <si>
    <t>22</t>
  </si>
  <si>
    <t>Production of coke</t>
  </si>
  <si>
    <t>23</t>
  </si>
  <si>
    <t>Metal ore roasting or sintering</t>
  </si>
  <si>
    <t>24</t>
  </si>
  <si>
    <t>Production of pig iron or steel</t>
  </si>
  <si>
    <t>25</t>
  </si>
  <si>
    <t>Production or processing of ferrous metals</t>
  </si>
  <si>
    <t>26</t>
  </si>
  <si>
    <t>Production of primary aluminium</t>
  </si>
  <si>
    <t>27</t>
  </si>
  <si>
    <t>Production of secondary aluminium</t>
  </si>
  <si>
    <t>28</t>
  </si>
  <si>
    <t>Production or processing of non-ferrous metals</t>
  </si>
  <si>
    <t>29</t>
  </si>
  <si>
    <t>Production of cement clinker</t>
  </si>
  <si>
    <t>30</t>
  </si>
  <si>
    <t>Production of lime, or calcination of dolomite/magnesite</t>
  </si>
  <si>
    <t>31</t>
  </si>
  <si>
    <t>Manufacture of glass</t>
  </si>
  <si>
    <t>32</t>
  </si>
  <si>
    <t>Manufacture of ceramics</t>
  </si>
  <si>
    <t>33</t>
  </si>
  <si>
    <t>Manufacture of mineral wool</t>
  </si>
  <si>
    <t>34</t>
  </si>
  <si>
    <t>Production or processing of gypsum or plasterboard</t>
  </si>
  <si>
    <t>35</t>
  </si>
  <si>
    <t>Production of pulp</t>
  </si>
  <si>
    <t>36</t>
  </si>
  <si>
    <t>Production of paper or cardboard</t>
  </si>
  <si>
    <t>37</t>
  </si>
  <si>
    <t>Production of carbon black</t>
  </si>
  <si>
    <t>38</t>
  </si>
  <si>
    <t>Production of nitric acid</t>
  </si>
  <si>
    <t>39</t>
  </si>
  <si>
    <t>Production of adipic acid</t>
  </si>
  <si>
    <t>40</t>
  </si>
  <si>
    <t>Production of glyoxal and glyoxylic acid</t>
  </si>
  <si>
    <t>41</t>
  </si>
  <si>
    <t>Production of ammonia</t>
  </si>
  <si>
    <t>42</t>
  </si>
  <si>
    <t>Production of bulk chemicals</t>
  </si>
  <si>
    <t>43</t>
  </si>
  <si>
    <t>Production of hydrogen and synthesis gas</t>
  </si>
  <si>
    <t>44</t>
  </si>
  <si>
    <t>Production of soda ash and sodium bicarbonate</t>
  </si>
  <si>
    <t>45</t>
  </si>
  <si>
    <t>Capture of greenhouse gases under Directive 2009/31/EC</t>
  </si>
  <si>
    <t>39.0</t>
  </si>
  <si>
    <t>50</t>
  </si>
  <si>
    <t>Maritime Transport</t>
  </si>
  <si>
    <t>50.1</t>
  </si>
  <si>
    <t>50.2</t>
  </si>
  <si>
    <t>99</t>
  </si>
  <si>
    <t>Other activity opted-in under Art. 24</t>
  </si>
  <si>
    <t>01.1 Growing of non-perennial crops (en)</t>
  </si>
  <si>
    <t>01.2 Growing of perennial crops (en)</t>
  </si>
  <si>
    <t>01.3 Plant propagation (en)</t>
  </si>
  <si>
    <t>01.4 Animal production (en)</t>
  </si>
  <si>
    <t>01.5 Mixed farming (en)</t>
  </si>
  <si>
    <t>01.6 Support activities to agriculture and post-harvest crop activities (en)</t>
  </si>
  <si>
    <t>01.7 Hunting, trapping and related service activities (en)</t>
  </si>
  <si>
    <t>02.1 Silviculture and other forestry activities (en)</t>
  </si>
  <si>
    <t>02.2 Logging (en)</t>
  </si>
  <si>
    <t>02.3 Gathering of wild growing non-wood products (en)</t>
  </si>
  <si>
    <t>02.4 Support services to forestry (en)</t>
  </si>
  <si>
    <t>03.1 Fishing (en)</t>
  </si>
  <si>
    <t>03.2 Aquaculture (en)</t>
  </si>
  <si>
    <t>05.1 Mining of hard coal (en)</t>
  </si>
  <si>
    <t>05.2 Mining of lignite (en)</t>
  </si>
  <si>
    <t>06.1 Extraction of crude petroleum (en)</t>
  </si>
  <si>
    <t>06.2 Extraction of natural gas (en)</t>
  </si>
  <si>
    <t>07.1 Mining of iron ores (en)</t>
  </si>
  <si>
    <t>07.2 Mining of non-ferrous metal ores (en)</t>
  </si>
  <si>
    <t>08.1 Quarrying of stone, sand and clay (en)</t>
  </si>
  <si>
    <t>08.9 Mining and quarrying n.e.c. (en)</t>
  </si>
  <si>
    <t>09.1 Support activities for petroleum and natural gas extraction (en)</t>
  </si>
  <si>
    <t>09.9 Support activities for other mining and quarrying (en)</t>
  </si>
  <si>
    <t>10.1 Processing and preserving of meat and production of meat products (en)</t>
  </si>
  <si>
    <t>10.2 Processing and preserving of fish, crustaceans and molluscs (en)</t>
  </si>
  <si>
    <t>10.3 Processing and preserving of fruit and vegetables (en)</t>
  </si>
  <si>
    <t>10.4 Manufacture of vegetable and animal oils and fats (en)</t>
  </si>
  <si>
    <t>10.5 Manufacture of dairy products (en)</t>
  </si>
  <si>
    <t>10.6 Manufacture of grain mill products, starches and starch products (en)</t>
  </si>
  <si>
    <t>10.7 Manufacture of bakery and farinaceous products (en)</t>
  </si>
  <si>
    <t>10.8 Manufacture of other food products (en)</t>
  </si>
  <si>
    <t>10.9 Manufacture of prepared animal feeds (en)</t>
  </si>
  <si>
    <t>11.0 Manufacture of beverages (en)</t>
  </si>
  <si>
    <t>12.0 Manufacture of tobacco products (en)</t>
  </si>
  <si>
    <t>13.1 Preparation and spinning of textile fibres (en)</t>
  </si>
  <si>
    <t>13.2 Weaving of textiles (en)</t>
  </si>
  <si>
    <t>13.3 Finishing of textiles (en)</t>
  </si>
  <si>
    <t>13.9 Manufacture of other textiles (en)</t>
  </si>
  <si>
    <t>14.1 Manufacture of wearing apparel, except fur apparel (en)</t>
  </si>
  <si>
    <t>14.2 Manufacture of articles of fur (en)</t>
  </si>
  <si>
    <t>14.3 Manufacture of knitted and crocheted apparel (en)</t>
  </si>
  <si>
    <t>15.1 Tanning and dressing of leather; manufacture of luggage, handbags, saddlery and harness; dressing and dyeing of fur (en)</t>
  </si>
  <si>
    <t>15.2 Manufacture of footwear (en)</t>
  </si>
  <si>
    <t>16.1 Sawmilling and planing of wood (en)</t>
  </si>
  <si>
    <t>16.2 Manufacture of products of wood, cork, straw and plaiting materials (en)</t>
  </si>
  <si>
    <t>17.1 Manufacture of pulp, paper and paperboard (en)</t>
  </si>
  <si>
    <t>17.2 Manufacture of articles of paper and paperboard (en)</t>
  </si>
  <si>
    <t>18.1 Printing and service activities related to printing (en)</t>
  </si>
  <si>
    <t>18.2 Reproduction of recorded media (en)</t>
  </si>
  <si>
    <t>19.1 Manufacture of coke oven products (en)</t>
  </si>
  <si>
    <t>19.2 Manufacture of refined petroleum products (en)</t>
  </si>
  <si>
    <t>20.1 Manufacture of basic chemicals, fertilisers and nitrogen compounds, plastics and synthetic rubber in primary forms (en)</t>
  </si>
  <si>
    <t>20.2 Manufacture of pesticides and other agrochemical products (en)</t>
  </si>
  <si>
    <t>20.3 Manufacture of paints, varnishes and similar coatings, printing ink and mastics (en)</t>
  </si>
  <si>
    <t>20.4 Manufacture of soap and detergents, cleaning and polishing preparations, perfumes and toilet preparations (en)</t>
  </si>
  <si>
    <t>20.5 Manufacture of other chemical products (en)</t>
  </si>
  <si>
    <t>20.6 Manufacture of man-made fibres (en)</t>
  </si>
  <si>
    <t>21.1 Manufacture of basic pharmaceutical products (en)</t>
  </si>
  <si>
    <t>21.2 Manufacture of pharmaceutical preparations (en)</t>
  </si>
  <si>
    <t>22.1 Manufacture of rubber products (en)</t>
  </si>
  <si>
    <t>22.2 Manufacture of plastic products (en)</t>
  </si>
  <si>
    <t>23.1 Manufacture of glass and glass products (en)</t>
  </si>
  <si>
    <t>23.2 Manufacture of refractory products (en)</t>
  </si>
  <si>
    <t>23.3 Manufacture of clay building materials (en)</t>
  </si>
  <si>
    <t>23.4 Manufacture of other porcelain and ceramic products (en)</t>
  </si>
  <si>
    <t>23.5 Manufacture of cement, lime and plaster (en)</t>
  </si>
  <si>
    <t>23.6 Manufacture of articles of concrete, cement and plaster (en)</t>
  </si>
  <si>
    <t>23.7 Cutting, shaping and finishing of stone (en)</t>
  </si>
  <si>
    <t>23.9 Manufacture of abrasive products and non-metallic mineral products n.e.c. (en)</t>
  </si>
  <si>
    <t>24.1 Manufacture of basic iron and steel and of ferro-alloys (en)</t>
  </si>
  <si>
    <t>24.2 Manufacture of tubes, pipes, hollow profiles and related fittings, of steel (en)</t>
  </si>
  <si>
    <t>24.3 Manufacture of other products of first processing of steel (en)</t>
  </si>
  <si>
    <t>24.4 Manufacture of basic precious and other non-ferrous metals (en)</t>
  </si>
  <si>
    <t>24.5 Casting of metals (en)</t>
  </si>
  <si>
    <t>25.1 Manufacture of structural metal products (en)</t>
  </si>
  <si>
    <t>25.2 Manufacture of tanks, reservoirs and containers of metal (en)</t>
  </si>
  <si>
    <t>25.3 Manufacture of steam generators, except central heating hot water boilers (en)</t>
  </si>
  <si>
    <t>25.4 Manufacture of weapons and ammunition (en)</t>
  </si>
  <si>
    <t>25.5 Forging, pressing, stamping and roll-forming of metal; powder metallurgy (en)</t>
  </si>
  <si>
    <t>25.6 Treatment and coating of metals; machining (en)</t>
  </si>
  <si>
    <t>25.7 Manufacture of cutlery, tools and general hardware (en)</t>
  </si>
  <si>
    <t>25.9 Manufacture of other fabricated metal products (en)</t>
  </si>
  <si>
    <t>26.1 Manufacture of electronic components and boards (en)</t>
  </si>
  <si>
    <t>26.2 Manufacture of computers and peripheral equipment (en)</t>
  </si>
  <si>
    <t>26.3 Manufacture of communication equipment (en)</t>
  </si>
  <si>
    <t>26.4 Manufacture of consumer electronics (en)</t>
  </si>
  <si>
    <t>26.5 Manufacture of instruments and appliances for measuring, testing and navigation; watches and clocks (en)</t>
  </si>
  <si>
    <t>26.6 Manufacture of irradiation, electromedical and electrotherapeutic equipment (en)</t>
  </si>
  <si>
    <t>26.7 Manufacture of optical instruments and photographic equipment (en)</t>
  </si>
  <si>
    <t>26.8 Manufacture of magnetic and optical media (en)</t>
  </si>
  <si>
    <t>27.1 Manufacture of electric motors, generators, transformers and electricity distribution and control apparatus (en)</t>
  </si>
  <si>
    <t>27.2 Manufacture of batteries and accumulators (en)</t>
  </si>
  <si>
    <t>27.3 Manufacture of wiring and wiring devices (en)</t>
  </si>
  <si>
    <t>27.4 Manufacture of electric lighting equipment (en)</t>
  </si>
  <si>
    <t>27.5 Manufacture of domestic appliances (en)</t>
  </si>
  <si>
    <t>27.9 Manufacture of other electrical equipment (en)</t>
  </si>
  <si>
    <t>28.1 Manufacture of general-purpose machinery (en)</t>
  </si>
  <si>
    <t>28.2 Manufacture of other general-purpose machinery (en)</t>
  </si>
  <si>
    <t>28.3 Manufacture of agricultural and forestry machinery (en)</t>
  </si>
  <si>
    <t>28.4 Manufacture of metal forming machinery and machine tools (en)</t>
  </si>
  <si>
    <t>28.9 Manufacture of other special-purpose machinery (en)</t>
  </si>
  <si>
    <t>29.1 Manufacture of motor vehicles (en)</t>
  </si>
  <si>
    <t>29.2 Manufacture of bodies (coachwork) for motor vehicles; manufacture of trailers and semi-trailers (en)</t>
  </si>
  <si>
    <t>29.3 Manufacture of parts and accessories for motor vehicles (en)</t>
  </si>
  <si>
    <t>30.1 Building of ships and boats (en)</t>
  </si>
  <si>
    <t>30.2 Manufacture of railway locomotives and rolling stock (en)</t>
  </si>
  <si>
    <t>30.3 Manufacture of air and spacecraft and related machinery (en)</t>
  </si>
  <si>
    <t>30.4 Manufacture of military fighting vehicles (en)</t>
  </si>
  <si>
    <t>30.9 Manufacture of transport equipment n.e.c. (en)</t>
  </si>
  <si>
    <t>31.0 Manufacture of furniture (en)</t>
  </si>
  <si>
    <t>32.1 Manufacture of jewellery, bijouterie and related articles (en)</t>
  </si>
  <si>
    <t>32.2 Manufacture of musical instruments (en)</t>
  </si>
  <si>
    <t>32.3 Manufacture of sports goods (en)</t>
  </si>
  <si>
    <t>32.4 Manufacture of games and toys (en)</t>
  </si>
  <si>
    <t>32.5 Manufacture of medical and dental instruments and supplies (en)</t>
  </si>
  <si>
    <t>32.9 Manufacturing n.e.c. (en)</t>
  </si>
  <si>
    <t>33.1 Repair of fabricated metal products, machinery and equipment (en)</t>
  </si>
  <si>
    <t>33.2 Installation of industrial machinery and equipment (en)</t>
  </si>
  <si>
    <t>35.1 Electric power generation, transmission and distribution (en)</t>
  </si>
  <si>
    <t>35.2 Manufacture of gas; distribution of gaseous fuels through mains (en)</t>
  </si>
  <si>
    <t>35.3 Steam and air conditioning supply (en)</t>
  </si>
  <si>
    <t>36.0 Water collection, treatment and supply (en)</t>
  </si>
  <si>
    <t>37.0 Sewerage (en)</t>
  </si>
  <si>
    <t>38.1 Waste collection (en)</t>
  </si>
  <si>
    <t>38.2 Waste treatment and disposal (en)</t>
  </si>
  <si>
    <t>38.3 Materials recovery (en)</t>
  </si>
  <si>
    <t>39.0 Remediation activities and other waste management services (en)</t>
  </si>
  <si>
    <t>41.1 Development of building projects (en)</t>
  </si>
  <si>
    <t>41.2 Construction of residential and non-residential buildings (en)</t>
  </si>
  <si>
    <t>42.1 Construction of roads and railways (en)</t>
  </si>
  <si>
    <t>42.2 Construction of utility projects (en)</t>
  </si>
  <si>
    <t>42.9 Construction of other civil engineering projects (en)</t>
  </si>
  <si>
    <t>43.1 Demolition and site preparation (en)</t>
  </si>
  <si>
    <t>43.2 Electrical, plumbing and other construction installation activities (en)</t>
  </si>
  <si>
    <t>43.3 Building completion and finishing (en)</t>
  </si>
  <si>
    <t>43.9 Other specialised construction activities (en)</t>
  </si>
  <si>
    <t>45.1 Sale of motor vehicles (en)</t>
  </si>
  <si>
    <t>45.2 Maintenance and repair of motor vehicles (en)</t>
  </si>
  <si>
    <t>45.3 Sale of motor vehicle parts and accessories (en)</t>
  </si>
  <si>
    <t>45.4 Sale, maintenance and repair of motorcycles and related parts and accessories (en)</t>
  </si>
  <si>
    <t>46.1 Wholesale on a fee or contract basis (en)</t>
  </si>
  <si>
    <t>46.2 Wholesale of agricultural raw materials and live animals (en)</t>
  </si>
  <si>
    <t>46.3 Wholesale of food, beverages and tobacco (en)</t>
  </si>
  <si>
    <t>46.4 Wholesale of household goods (en)</t>
  </si>
  <si>
    <t>46.5 Wholesale of information and communication equipment (en)</t>
  </si>
  <si>
    <t>46.6 Wholesale of other machinery, equipment and supplies (en)</t>
  </si>
  <si>
    <t>46.7 Other specialised wholesale (en)</t>
  </si>
  <si>
    <t>46.9 Non-specialised wholesale trade (en)</t>
  </si>
  <si>
    <t>47.1 Retail sale in non-specialised stores (en)</t>
  </si>
  <si>
    <t>47.2 Retail sale of food, beverages and tobacco in specialised stores (en)</t>
  </si>
  <si>
    <t>47.3 Retail sale of automotive fuel in specialised stores (en)</t>
  </si>
  <si>
    <t>47.4 Retail sale of information and communication equipment in specialised stores (en)</t>
  </si>
  <si>
    <t>47.5 Retail sale of other household equipment in specialised stores (en)</t>
  </si>
  <si>
    <t>47.6 Retail sale of cultural and recreation goods in specialised stores (en)</t>
  </si>
  <si>
    <t>47.7 Retail sale of other goods in specialised stores (en)</t>
  </si>
  <si>
    <t>47.8 Retail sale via stalls and markets (en)</t>
  </si>
  <si>
    <t>47.9 Retail trade not in stores, stalls or markets (en)</t>
  </si>
  <si>
    <t>49.1 Passenger rail transport, interurban (en)</t>
  </si>
  <si>
    <t>49.2 Freight rail transport (en)</t>
  </si>
  <si>
    <t>49.3 Other passenger land transport (en)</t>
  </si>
  <si>
    <t>49.4 Freight transport by road and removal services (en)</t>
  </si>
  <si>
    <t>49.5 Transport via pipeline (en)</t>
  </si>
  <si>
    <t>50.1 Sea and coastal passenger water transport (en)</t>
  </si>
  <si>
    <t>50.2 Sea and coastal freight water transport (en)</t>
  </si>
  <si>
    <t>50.3 Inland passenger water transport (en)</t>
  </si>
  <si>
    <t>50.4 Inland freight water transport (en)</t>
  </si>
  <si>
    <t>51.1 Passenger air transport (en)</t>
  </si>
  <si>
    <t>51.2 Freight air transport and space transport (en)</t>
  </si>
  <si>
    <t>52.1 Warehousing and storage (en)</t>
  </si>
  <si>
    <t>52.2 Support activities for transportation (en)</t>
  </si>
  <si>
    <t>53.1 Postal activities under universal service obligation (en)</t>
  </si>
  <si>
    <t>53.2 Other postal and courier activities (en)</t>
  </si>
  <si>
    <t>55.1 Hotels and similar accommodation (en)</t>
  </si>
  <si>
    <t>55.2 Holiday and other short-stay accommodation (en)</t>
  </si>
  <si>
    <t>55.3 Camping grounds, recreational vehicle parks and trailer parks (en)</t>
  </si>
  <si>
    <t>55.9 Other accommodation (en)</t>
  </si>
  <si>
    <t>56.1 Restaurants and mobile food service activities (en)</t>
  </si>
  <si>
    <t>56.2 Event catering and other food service activities (en)</t>
  </si>
  <si>
    <t>56.3 Beverage serving activities (en)</t>
  </si>
  <si>
    <t>58.1 Publishing of books, periodicals and other publishing activities (en)</t>
  </si>
  <si>
    <t>58.2 Software publishing (en)</t>
  </si>
  <si>
    <t>59.1 Motion picture, video and television programme activities (en)</t>
  </si>
  <si>
    <t>59.2 Sound recording and music publishing activities (en)</t>
  </si>
  <si>
    <t>60.1 Radio broadcasting (en)</t>
  </si>
  <si>
    <t>60.2 Television programming and broadcasting activities (en)</t>
  </si>
  <si>
    <t>61.1 Wired telecommunications activities (en)</t>
  </si>
  <si>
    <t>61.2 Wireless telecommunications activities (en)</t>
  </si>
  <si>
    <t>61.3 Satellite telecommunications activities (en)</t>
  </si>
  <si>
    <t>61.9 Other telecommunications activities (en)</t>
  </si>
  <si>
    <t>62.0 Computer programming, consultancy and related activities (en)</t>
  </si>
  <si>
    <t>63.1 Data processing, hosting and related activities; web portals (en)</t>
  </si>
  <si>
    <t>63.9 Other information service activities (en)</t>
  </si>
  <si>
    <t>64.1 Monetary intermediation (en)</t>
  </si>
  <si>
    <t>64.2 Activities of holding companies (en)</t>
  </si>
  <si>
    <t>64.3 Trusts, funds and similar financial entities (en)</t>
  </si>
  <si>
    <t>64.9 Other financial service activities, except insurance and pension funding (en)</t>
  </si>
  <si>
    <t>65.1 Insurance (en)</t>
  </si>
  <si>
    <t>65.2 Reinsurance (en)</t>
  </si>
  <si>
    <t>65.3 Pension funding (en)</t>
  </si>
  <si>
    <t>66.1 Activities auxiliary to financial services, except insurance and pension funding (en)</t>
  </si>
  <si>
    <t>66.2 Activities auxiliary to insurance and pension funding (en)</t>
  </si>
  <si>
    <t>66.3 Fund management activities (en)</t>
  </si>
  <si>
    <t>68.1 Buying and selling of own real estate (en)</t>
  </si>
  <si>
    <t>68.2 Rental and operating of own or leased real estate (en)</t>
  </si>
  <si>
    <t>68.3 Real estate activities on a fee or contract basis (en)</t>
  </si>
  <si>
    <t>69.1 Legal activities (en)</t>
  </si>
  <si>
    <t>69.2 Accounting, bookkeeping and auditing activities; tax consultancy (en)</t>
  </si>
  <si>
    <t>70.1 Activities of head offices (en)</t>
  </si>
  <si>
    <t>70.2 Management consultancy activities (en)</t>
  </si>
  <si>
    <t>71.1 Architectural and engineering activities and related technical consultancy (en)</t>
  </si>
  <si>
    <t>71.2 Technical testing and analysis (en)</t>
  </si>
  <si>
    <t>72.1 Research and experimental development on natural sciences and engineering (en)</t>
  </si>
  <si>
    <t>72.2 Research and experimental development on social sciences and humanities (en)</t>
  </si>
  <si>
    <t>73.1 Advertising (en)</t>
  </si>
  <si>
    <t>73.2 Market research and public opinion polling (en)</t>
  </si>
  <si>
    <t>74.1 Specialised design activities (en)</t>
  </si>
  <si>
    <t>74.2 Photographic activities (en)</t>
  </si>
  <si>
    <t>74.3 Translation and interpretation activities (en)</t>
  </si>
  <si>
    <t>74.9 Other professional, scientific and technical activities n.e.c. (en)</t>
  </si>
  <si>
    <t>75.0 Veterinary activities (en)</t>
  </si>
  <si>
    <t>77.1 Rental and leasing of motor vehicles (en)</t>
  </si>
  <si>
    <t>77.2 Rental and leasing of personal and household goods (en)</t>
  </si>
  <si>
    <t>77.3 Rental and leasing of other machinery, equipment and tangible goods (en)</t>
  </si>
  <si>
    <t>77.4 Leasing of intellectual property and similar products, except copyrighted works (en)</t>
  </si>
  <si>
    <t>78.1 Activities of employment placement agencies (en)</t>
  </si>
  <si>
    <t>78.2 Temporary employment agency activities (en)</t>
  </si>
  <si>
    <t>78.3 Other human resources provision (en)</t>
  </si>
  <si>
    <t>79.1 Travel agency and tour operator activities (en)</t>
  </si>
  <si>
    <t>79.9 Other reservation service and related activities (en)</t>
  </si>
  <si>
    <t>80.1 Private security activities (en)</t>
  </si>
  <si>
    <t>80.2 Security systems service activities (en)</t>
  </si>
  <si>
    <t>80.3 Investigation activities (en)</t>
  </si>
  <si>
    <t>81.1 Combined facilities support activities (en)</t>
  </si>
  <si>
    <t>81.2 Cleaning activities (en)</t>
  </si>
  <si>
    <t>81.3 Landscape service activities (en)</t>
  </si>
  <si>
    <t>82.1 Office administrative and support activities (en)</t>
  </si>
  <si>
    <t>82.2 Activities of call centres (en)</t>
  </si>
  <si>
    <t>82.3 Organisation of conventions and trade shows (en)</t>
  </si>
  <si>
    <t>82.9 Business support service activities n.e.c. (en)</t>
  </si>
  <si>
    <t>84.1 Administration of the State and the economic and social policy of the community (en)</t>
  </si>
  <si>
    <t>84.2 Provision of services to the community as a whole (en)</t>
  </si>
  <si>
    <t>84.3 Compulsory social security activities (en)</t>
  </si>
  <si>
    <t>85.1 Pre-primary education (en)</t>
  </si>
  <si>
    <t>85.2 Primary education (en)</t>
  </si>
  <si>
    <t>85.3 Secondary education (en)</t>
  </si>
  <si>
    <t>85.4 Higher education (en)</t>
  </si>
  <si>
    <t>85.5 Other education (en)</t>
  </si>
  <si>
    <t>85.6 Educational support activities (en)</t>
  </si>
  <si>
    <t>86.1 Hospital activities (en)</t>
  </si>
  <si>
    <t>86.2 Medical and dental practice activities (en)</t>
  </si>
  <si>
    <t>86.9 Other human health activities (en)</t>
  </si>
  <si>
    <t>87.1 Residential nursing care activities (en)</t>
  </si>
  <si>
    <t>87.2 Residential care activities for mental retardation, mental health and substance abuse (en)</t>
  </si>
  <si>
    <t>87.3 Residential care activities for the elderly and disabled (en)</t>
  </si>
  <si>
    <t>87.9 Other residential care activities (en)</t>
  </si>
  <si>
    <t>88.1 Social work activities without accommodation for the elderly and disabled (en)</t>
  </si>
  <si>
    <t>88.9 Other social work activities without accommodation (en)</t>
  </si>
  <si>
    <t>90.0 Creative, arts and entertainment activities (en)</t>
  </si>
  <si>
    <t>91.0 Libraries, archives, museums and other cultural activities (en)</t>
  </si>
  <si>
    <t>92.0 Gambling and betting activities (en)</t>
  </si>
  <si>
    <t>93.1 Sports activities (en)</t>
  </si>
  <si>
    <t>93.2 Amusement and recreation activities (en)</t>
  </si>
  <si>
    <t>94.1 Activities of business, employers and professional membership organisations (en)</t>
  </si>
  <si>
    <t>94.2 Activities of trade unions (en)</t>
  </si>
  <si>
    <t>94.9 Activities of other membership organisations (en)</t>
  </si>
  <si>
    <t>95.1 Repair of computers and communication equipment (en)</t>
  </si>
  <si>
    <t>95.2 Repair of personal and household goods (en)</t>
  </si>
  <si>
    <t>96.0 Other personal service activities (en)</t>
  </si>
  <si>
    <t>97.0 Activities of households as employers of domestic personnel (en)</t>
  </si>
  <si>
    <t>98.1 Undifferentiated goods-producing activities of private households for own use (en)</t>
  </si>
  <si>
    <t>98.2 Undifferentiated service-producing activities of private households for own use (en)</t>
  </si>
  <si>
    <t>99.0 Activities of extraterritorial organisations and bodies (en)</t>
  </si>
  <si>
    <t>Original</t>
  </si>
  <si>
    <t>ID</t>
  </si>
  <si>
    <t>Label</t>
  </si>
  <si>
    <t>nace_level_3_label</t>
  </si>
  <si>
    <t>is_ets_activity</t>
  </si>
  <si>
    <t>mapped</t>
  </si>
  <si>
    <t>nace_level_3_summarised</t>
  </si>
  <si>
    <t>Air and sprace transport</t>
  </si>
  <si>
    <t>nace_level_3_cnt</t>
  </si>
  <si>
    <t>ets_activity_cnt</t>
  </si>
  <si>
    <t>ets_activity_name</t>
  </si>
  <si>
    <t>ets_activity_code</t>
  </si>
  <si>
    <t>main_activity_code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</si>
</sst>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name val="Calibri"/>
      <family val="2"/>
    </font>
    <font>
      <sz val="11"/>
      <name val="Calibri"/>
      <family val="2"/>
    </font>
    <font>
      <sz val="11"/>
      <name val="Carlito"/>
      <family val="2"/>
    </font>
    <font>
      <b/>
      <sz val="11"/>
      <name val="Carlito"/>
      <family val="2"/>
    </font>
    <font>
      <sz val="1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/>
    <xf numFmtId="9" fontId="0" fillId="0" borderId="0" xfId="1" applyFont="1"/>
  </cellXfs>
  <cellStyles count="2">
    <cellStyle name="Normal" xfId="0" builtinId="0"/>
    <cellStyle name="Per cent" xfId="1" builtinId="5"/>
  </cellStyles>
  <dxfs count="9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rlito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lizedMappingTable" displayName="NormalizedMappingTable" ref="A1:G39" headerRowDxfId="8" dataDxfId="7">
  <tableColumns count="7">
    <tableColumn id="1" xr3:uid="{00000000-0010-0000-0000-000001000000}" name="ets_activity_code" dataDxfId="6"/>
    <tableColumn id="3" xr3:uid="{00000000-0010-0000-0000-000003000000}" name="nace_level_3_code" dataDxfId="2"/>
    <tableColumn id="6" xr3:uid="{51A04ABF-A14E-4239-B0F7-8FF3CC6ACA4F}" name="nace_level_3_label" dataDxfId="1">
      <calculatedColumnFormula>IF(B2="","",VLOOKUP(NormalizedMappingTable[[#This Row],[nace_level_3_code]],'NACE Rev. 2 Level 3'!A:B,2,FALSE))</calculatedColumnFormula>
    </tableColumn>
    <tableColumn id="5" xr3:uid="{3BB45888-4891-44E1-8805-480995F6ACBB}" name="nace_level_3_cnt" dataDxfId="0">
      <calculatedColumnFormula>COUNTIF(C:C,NormalizedMappingTable[[#This Row],[nace_level_3_label]])</calculatedColumnFormula>
    </tableColumn>
    <tableColumn id="2" xr3:uid="{00000000-0010-0000-0000-000002000000}" name="ets_activity_name" dataDxfId="5"/>
    <tableColumn id="7" xr3:uid="{F4CE2F9F-183E-4C30-BDD2-9B028073AB0A}" name="ets_activity_cnt" dataDxfId="4">
      <calculatedColumnFormula>COUNTIF(E:E,E2)</calculatedColumnFormula>
    </tableColumn>
    <tableColumn id="4" xr3:uid="{5AEABD31-DC63-48F3-AE01-D55D23687817}" name="nace_level_3_summarised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B1" workbookViewId="0">
      <pane ySplit="1" topLeftCell="A2" activePane="bottomLeft" state="frozen"/>
      <selection activeCell="B1" sqref="B1"/>
      <selection pane="bottomLeft" activeCell="H21" sqref="H21"/>
    </sheetView>
  </sheetViews>
  <sheetFormatPr defaultRowHeight="14.6" x14ac:dyDescent="0.4"/>
  <cols>
    <col min="1" max="1" width="15.3828125" hidden="1" customWidth="1"/>
    <col min="2" max="2" width="16.69140625" customWidth="1"/>
    <col min="3" max="3" width="42.765625" customWidth="1"/>
    <col min="4" max="4" width="15.3046875" customWidth="1"/>
    <col min="5" max="5" width="28" customWidth="1"/>
    <col min="6" max="6" width="14" customWidth="1"/>
    <col min="10" max="10" width="22.921875" customWidth="1"/>
  </cols>
  <sheetData>
    <row r="1" spans="1:7" ht="15.9" customHeight="1" x14ac:dyDescent="0.4">
      <c r="A1" s="4" t="s">
        <v>370</v>
      </c>
      <c r="B1" s="4" t="s">
        <v>0</v>
      </c>
      <c r="C1" s="5" t="s">
        <v>362</v>
      </c>
      <c r="D1" s="5" t="s">
        <v>367</v>
      </c>
      <c r="E1" s="4" t="s">
        <v>369</v>
      </c>
      <c r="F1" s="4" t="s">
        <v>368</v>
      </c>
      <c r="G1" s="3" t="s">
        <v>365</v>
      </c>
    </row>
    <row r="2" spans="1:7" x14ac:dyDescent="0.4">
      <c r="A2" t="s">
        <v>1</v>
      </c>
      <c r="B2" t="s">
        <v>3</v>
      </c>
      <c r="C2" t="str">
        <f>IF(B2="","",VLOOKUP(NormalizedMappingTable[[#This Row],[nace_level_3_code]],'NACE Rev. 2 Level 3'!A:B,2,FALSE))</f>
        <v>Passenger air transport</v>
      </c>
      <c r="D2">
        <f>COUNTIF(C:C,NormalizedMappingTable[[#This Row],[nace_level_3_label]])</f>
        <v>1</v>
      </c>
      <c r="E2" t="s">
        <v>2</v>
      </c>
      <c r="F2">
        <f t="shared" ref="F2:F39" si="0">COUNTIF(E:E,E2)</f>
        <v>2</v>
      </c>
      <c r="G2" s="8" t="s">
        <v>366</v>
      </c>
    </row>
    <row r="3" spans="1:7" x14ac:dyDescent="0.4">
      <c r="A3" t="s">
        <v>1</v>
      </c>
      <c r="B3" t="s">
        <v>4</v>
      </c>
      <c r="C3" t="str">
        <f>IF(B3="","",VLOOKUP(NormalizedMappingTable[[#This Row],[nace_level_3_code]],'NACE Rev. 2 Level 3'!A:B,2,FALSE))</f>
        <v>Freight air transport and space transport</v>
      </c>
      <c r="D3">
        <f>COUNTIF(C:C,NormalizedMappingTable[[#This Row],[nace_level_3_label]])</f>
        <v>1</v>
      </c>
      <c r="E3" t="s">
        <v>2</v>
      </c>
      <c r="F3">
        <f t="shared" si="0"/>
        <v>2</v>
      </c>
      <c r="G3" s="8" t="s">
        <v>366</v>
      </c>
    </row>
    <row r="4" spans="1:7" x14ac:dyDescent="0.4">
      <c r="A4" t="s">
        <v>5</v>
      </c>
      <c r="B4" t="s">
        <v>7</v>
      </c>
      <c r="C4" t="str">
        <f>IF(B4="","",VLOOKUP(NormalizedMappingTable[[#This Row],[nace_level_3_code]],'NACE Rev. 2 Level 3'!A:B,2,FALSE))</f>
        <v>Electric power generation, transmission and distribution</v>
      </c>
      <c r="D4">
        <f>COUNTIF(C:C,NormalizedMappingTable[[#This Row],[nace_level_3_label]])</f>
        <v>1</v>
      </c>
      <c r="E4" t="s">
        <v>6</v>
      </c>
      <c r="F4">
        <f t="shared" si="0"/>
        <v>2</v>
      </c>
      <c r="G4" t="e">
        <f>IF(D4="","",VLOOKUP(NormalizedMappingTable[[#This Row],[nace_level_3_code]],'NACE Rev. 2 Level 3'!C:D,2,FALSE))</f>
        <v>#N/A</v>
      </c>
    </row>
    <row r="5" spans="1:7" x14ac:dyDescent="0.4">
      <c r="A5" t="s">
        <v>5</v>
      </c>
      <c r="B5" t="s">
        <v>9</v>
      </c>
      <c r="C5" t="str">
        <f>IF(B5="","",VLOOKUP(NormalizedMappingTable[[#This Row],[nace_level_3_code]],'NACE Rev. 2 Level 3'!A:B,2,FALSE))</f>
        <v>Steam and air conditioning supply</v>
      </c>
      <c r="D5">
        <f>COUNTIF(C:C,NormalizedMappingTable[[#This Row],[nace_level_3_label]])</f>
        <v>1</v>
      </c>
      <c r="E5" t="s">
        <v>6</v>
      </c>
      <c r="F5">
        <f t="shared" si="0"/>
        <v>2</v>
      </c>
    </row>
    <row r="6" spans="1:7" x14ac:dyDescent="0.4">
      <c r="A6" t="s">
        <v>12</v>
      </c>
      <c r="B6" t="s">
        <v>14</v>
      </c>
      <c r="C6" t="str">
        <f>IF(B6="","",VLOOKUP(NormalizedMappingTable[[#This Row],[nace_level_3_code]],'NACE Rev. 2 Level 3'!A:B,2,FALSE))</f>
        <v>Manufacture of refined petroleum products</v>
      </c>
      <c r="D6">
        <f>COUNTIF(C:C,NormalizedMappingTable[[#This Row],[nace_level_3_label]])</f>
        <v>1</v>
      </c>
      <c r="E6" t="s">
        <v>13</v>
      </c>
      <c r="F6">
        <f t="shared" si="0"/>
        <v>1</v>
      </c>
    </row>
    <row r="7" spans="1:7" x14ac:dyDescent="0.4">
      <c r="A7" t="s">
        <v>32</v>
      </c>
      <c r="B7" t="s">
        <v>19</v>
      </c>
      <c r="C7" t="str">
        <f>IF(B7="","",VLOOKUP(NormalizedMappingTable[[#This Row],[nace_level_3_code]],'NACE Rev. 2 Level 3'!A:B,2,FALSE))</f>
        <v>Manufacture of coke oven products</v>
      </c>
      <c r="D7">
        <f>COUNTIF(C:C,NormalizedMappingTable[[#This Row],[nace_level_3_label]])</f>
        <v>1</v>
      </c>
      <c r="E7" t="s">
        <v>33</v>
      </c>
      <c r="F7">
        <f t="shared" si="0"/>
        <v>1</v>
      </c>
    </row>
    <row r="8" spans="1:7" x14ac:dyDescent="0.4">
      <c r="A8" t="s">
        <v>34</v>
      </c>
      <c r="B8" t="s">
        <v>28</v>
      </c>
      <c r="C8" t="str">
        <f>IF(B8="","",VLOOKUP(NormalizedMappingTable[[#This Row],[nace_level_3_code]],'NACE Rev. 2 Level 3'!A:B,2,FALSE))</f>
        <v>Manufacture of basic iron and steel and of ferro-alloys</v>
      </c>
      <c r="D8">
        <f>COUNTIF(C:C,NormalizedMappingTable[[#This Row],[nace_level_3_label]])</f>
        <v>3</v>
      </c>
      <c r="E8" t="s">
        <v>35</v>
      </c>
      <c r="F8">
        <f t="shared" si="0"/>
        <v>2</v>
      </c>
    </row>
    <row r="9" spans="1:7" x14ac:dyDescent="0.4">
      <c r="A9" t="s">
        <v>34</v>
      </c>
      <c r="B9" t="s">
        <v>31</v>
      </c>
      <c r="C9" t="str">
        <f>IF(B9="","",VLOOKUP(NormalizedMappingTable[[#This Row],[nace_level_3_code]],'NACE Rev. 2 Level 3'!A:B,2,FALSE))</f>
        <v>Manufacture of basic precious and other non-ferrous metals</v>
      </c>
      <c r="D9">
        <f>COUNTIF(C:C,NormalizedMappingTable[[#This Row],[nace_level_3_label]])</f>
        <v>4</v>
      </c>
      <c r="E9" t="s">
        <v>35</v>
      </c>
      <c r="F9">
        <f t="shared" si="0"/>
        <v>2</v>
      </c>
    </row>
    <row r="10" spans="1:7" x14ac:dyDescent="0.4">
      <c r="A10" t="s">
        <v>36</v>
      </c>
      <c r="B10" t="s">
        <v>28</v>
      </c>
      <c r="C10" t="str">
        <f>IF(B10="","",VLOOKUP(NormalizedMappingTable[[#This Row],[nace_level_3_code]],'NACE Rev. 2 Level 3'!A:B,2,FALSE))</f>
        <v>Manufacture of basic iron and steel and of ferro-alloys</v>
      </c>
      <c r="D10">
        <f>COUNTIF(C:C,NormalizedMappingTable[[#This Row],[nace_level_3_label]])</f>
        <v>3</v>
      </c>
      <c r="E10" t="s">
        <v>37</v>
      </c>
      <c r="F10">
        <f t="shared" si="0"/>
        <v>1</v>
      </c>
    </row>
    <row r="11" spans="1:7" x14ac:dyDescent="0.4">
      <c r="A11" t="s">
        <v>38</v>
      </c>
      <c r="B11" t="s">
        <v>28</v>
      </c>
      <c r="C11" t="str">
        <f>IF(B11="","",VLOOKUP(NormalizedMappingTable[[#This Row],[nace_level_3_code]],'NACE Rev. 2 Level 3'!A:B,2,FALSE))</f>
        <v>Manufacture of basic iron and steel and of ferro-alloys</v>
      </c>
      <c r="D11">
        <f>COUNTIF(C:C,NormalizedMappingTable[[#This Row],[nace_level_3_label]])</f>
        <v>3</v>
      </c>
      <c r="E11" t="s">
        <v>39</v>
      </c>
      <c r="F11">
        <f t="shared" si="0"/>
        <v>3</v>
      </c>
    </row>
    <row r="12" spans="1:7" x14ac:dyDescent="0.4">
      <c r="A12" t="s">
        <v>38</v>
      </c>
      <c r="B12" t="s">
        <v>29</v>
      </c>
      <c r="C12" t="str">
        <f>IF(B12="","",VLOOKUP(NormalizedMappingTable[[#This Row],[nace_level_3_code]],'NACE Rev. 2 Level 3'!A:B,2,FALSE))</f>
        <v>Manufacture of tubes, pipes, hollow profiles and related fittings, of steel</v>
      </c>
      <c r="D12">
        <f>COUNTIF(C:C,NormalizedMappingTable[[#This Row],[nace_level_3_label]])</f>
        <v>1</v>
      </c>
      <c r="E12" t="s">
        <v>39</v>
      </c>
      <c r="F12">
        <f t="shared" si="0"/>
        <v>3</v>
      </c>
    </row>
    <row r="13" spans="1:7" x14ac:dyDescent="0.4">
      <c r="A13" t="s">
        <v>38</v>
      </c>
      <c r="B13" t="s">
        <v>30</v>
      </c>
      <c r="C13" t="str">
        <f>IF(B13="","",VLOOKUP(NormalizedMappingTable[[#This Row],[nace_level_3_code]],'NACE Rev. 2 Level 3'!A:B,2,FALSE))</f>
        <v>Manufacture of other products of first processing of steel</v>
      </c>
      <c r="D13">
        <f>COUNTIF(C:C,NormalizedMappingTable[[#This Row],[nace_level_3_label]])</f>
        <v>1</v>
      </c>
      <c r="E13" t="s">
        <v>39</v>
      </c>
      <c r="F13">
        <f t="shared" si="0"/>
        <v>3</v>
      </c>
    </row>
    <row r="14" spans="1:7" x14ac:dyDescent="0.4">
      <c r="A14" t="s">
        <v>40</v>
      </c>
      <c r="B14" t="s">
        <v>31</v>
      </c>
      <c r="C14" t="str">
        <f>IF(B14="","",VLOOKUP(NormalizedMappingTable[[#This Row],[nace_level_3_code]],'NACE Rev. 2 Level 3'!A:B,2,FALSE))</f>
        <v>Manufacture of basic precious and other non-ferrous metals</v>
      </c>
      <c r="D14">
        <f>COUNTIF(C:C,NormalizedMappingTable[[#This Row],[nace_level_3_label]])</f>
        <v>4</v>
      </c>
      <c r="E14" t="s">
        <v>41</v>
      </c>
      <c r="F14">
        <f t="shared" si="0"/>
        <v>1</v>
      </c>
    </row>
    <row r="15" spans="1:7" x14ac:dyDescent="0.4">
      <c r="A15" t="s">
        <v>42</v>
      </c>
      <c r="B15" t="s">
        <v>31</v>
      </c>
      <c r="C15" t="str">
        <f>IF(B15="","",VLOOKUP(NormalizedMappingTable[[#This Row],[nace_level_3_code]],'NACE Rev. 2 Level 3'!A:B,2,FALSE))</f>
        <v>Manufacture of basic precious and other non-ferrous metals</v>
      </c>
      <c r="D15">
        <f>COUNTIF(C:C,NormalizedMappingTable[[#This Row],[nace_level_3_label]])</f>
        <v>4</v>
      </c>
      <c r="E15" t="s">
        <v>43</v>
      </c>
      <c r="F15">
        <f t="shared" si="0"/>
        <v>1</v>
      </c>
    </row>
    <row r="16" spans="1:7" x14ac:dyDescent="0.4">
      <c r="A16" t="s">
        <v>44</v>
      </c>
      <c r="B16" t="s">
        <v>31</v>
      </c>
      <c r="C16" t="str">
        <f>IF(B16="","",VLOOKUP(NormalizedMappingTable[[#This Row],[nace_level_3_code]],'NACE Rev. 2 Level 3'!A:B,2,FALSE))</f>
        <v>Manufacture of basic precious and other non-ferrous metals</v>
      </c>
      <c r="D16">
        <f>COUNTIF(C:C,NormalizedMappingTable[[#This Row],[nace_level_3_label]])</f>
        <v>4</v>
      </c>
      <c r="E16" t="s">
        <v>45</v>
      </c>
      <c r="F16">
        <f t="shared" si="0"/>
        <v>1</v>
      </c>
    </row>
    <row r="17" spans="1:6" x14ac:dyDescent="0.4">
      <c r="A17" t="s">
        <v>46</v>
      </c>
      <c r="B17" t="s">
        <v>25</v>
      </c>
      <c r="C17" t="str">
        <f>IF(B17="","",VLOOKUP(NormalizedMappingTable[[#This Row],[nace_level_3_code]],'NACE Rev. 2 Level 3'!A:B,2,FALSE))</f>
        <v>Manufacture of cement, lime and plaster</v>
      </c>
      <c r="D17">
        <f>COUNTIF(C:C,NormalizedMappingTable[[#This Row],[nace_level_3_label]])</f>
        <v>3</v>
      </c>
      <c r="E17" t="s">
        <v>47</v>
      </c>
      <c r="F17">
        <f t="shared" si="0"/>
        <v>1</v>
      </c>
    </row>
    <row r="18" spans="1:6" x14ac:dyDescent="0.4">
      <c r="A18" t="s">
        <v>48</v>
      </c>
      <c r="B18" t="s">
        <v>25</v>
      </c>
      <c r="C18" t="str">
        <f>IF(B18="","",VLOOKUP(NormalizedMappingTable[[#This Row],[nace_level_3_code]],'NACE Rev. 2 Level 3'!A:B,2,FALSE))</f>
        <v>Manufacture of cement, lime and plaster</v>
      </c>
      <c r="D18">
        <f>COUNTIF(C:C,NormalizedMappingTable[[#This Row],[nace_level_3_label]])</f>
        <v>3</v>
      </c>
      <c r="E18" t="s">
        <v>49</v>
      </c>
      <c r="F18">
        <f t="shared" si="0"/>
        <v>1</v>
      </c>
    </row>
    <row r="19" spans="1:6" x14ac:dyDescent="0.4">
      <c r="A19" t="s">
        <v>50</v>
      </c>
      <c r="B19" t="s">
        <v>21</v>
      </c>
      <c r="C19" t="str">
        <f>IF(B19="","",VLOOKUP(NormalizedMappingTable[[#This Row],[nace_level_3_code]],'NACE Rev. 2 Level 3'!A:B,2,FALSE))</f>
        <v>Manufacture of glass and glass products</v>
      </c>
      <c r="D19">
        <f>COUNTIF(C:C,NormalizedMappingTable[[#This Row],[nace_level_3_label]])</f>
        <v>1</v>
      </c>
      <c r="E19" t="s">
        <v>51</v>
      </c>
      <c r="F19">
        <f t="shared" si="0"/>
        <v>1</v>
      </c>
    </row>
    <row r="20" spans="1:6" x14ac:dyDescent="0.4">
      <c r="A20" t="s">
        <v>52</v>
      </c>
      <c r="B20" t="s">
        <v>22</v>
      </c>
      <c r="C20" t="str">
        <f>IF(B20="","",VLOOKUP(NormalizedMappingTable[[#This Row],[nace_level_3_code]],'NACE Rev. 2 Level 3'!A:B,2,FALSE))</f>
        <v>Manufacture of refractory products</v>
      </c>
      <c r="D20">
        <f>COUNTIF(C:C,NormalizedMappingTable[[#This Row],[nace_level_3_label]])</f>
        <v>1</v>
      </c>
      <c r="E20" t="s">
        <v>53</v>
      </c>
      <c r="F20">
        <f t="shared" si="0"/>
        <v>3</v>
      </c>
    </row>
    <row r="21" spans="1:6" x14ac:dyDescent="0.4">
      <c r="A21" t="s">
        <v>52</v>
      </c>
      <c r="B21" t="s">
        <v>23</v>
      </c>
      <c r="C21" t="str">
        <f>IF(B21="","",VLOOKUP(NormalizedMappingTable[[#This Row],[nace_level_3_code]],'NACE Rev. 2 Level 3'!A:B,2,FALSE))</f>
        <v>Manufacture of clay building materials</v>
      </c>
      <c r="D21">
        <f>COUNTIF(C:C,NormalizedMappingTable[[#This Row],[nace_level_3_label]])</f>
        <v>1</v>
      </c>
      <c r="E21" t="s">
        <v>53</v>
      </c>
      <c r="F21">
        <f t="shared" si="0"/>
        <v>3</v>
      </c>
    </row>
    <row r="22" spans="1:6" x14ac:dyDescent="0.4">
      <c r="A22" t="s">
        <v>52</v>
      </c>
      <c r="B22" t="s">
        <v>24</v>
      </c>
      <c r="C22" t="str">
        <f>IF(B22="","",VLOOKUP(NormalizedMappingTable[[#This Row],[nace_level_3_code]],'NACE Rev. 2 Level 3'!A:B,2,FALSE))</f>
        <v>Manufacture of other porcelain and ceramic products</v>
      </c>
      <c r="D22">
        <f>COUNTIF(C:C,NormalizedMappingTable[[#This Row],[nace_level_3_label]])</f>
        <v>1</v>
      </c>
      <c r="E22" t="s">
        <v>53</v>
      </c>
      <c r="F22">
        <f t="shared" si="0"/>
        <v>3</v>
      </c>
    </row>
    <row r="23" spans="1:6" x14ac:dyDescent="0.4">
      <c r="A23" t="s">
        <v>54</v>
      </c>
      <c r="B23" t="s">
        <v>27</v>
      </c>
      <c r="C23" t="str">
        <f>IF(B23="","",VLOOKUP(NormalizedMappingTable[[#This Row],[nace_level_3_code]],'NACE Rev. 2 Level 3'!A:B,2,FALSE))</f>
        <v>Manufacture of abrasive products and non-metallic mineral products n.e.c.</v>
      </c>
      <c r="D23">
        <f>COUNTIF(C:C,NormalizedMappingTable[[#This Row],[nace_level_3_label]])</f>
        <v>1</v>
      </c>
      <c r="E23" t="s">
        <v>55</v>
      </c>
      <c r="F23">
        <f t="shared" si="0"/>
        <v>1</v>
      </c>
    </row>
    <row r="24" spans="1:6" x14ac:dyDescent="0.4">
      <c r="A24" t="s">
        <v>56</v>
      </c>
      <c r="B24" t="s">
        <v>25</v>
      </c>
      <c r="C24" t="str">
        <f>IF(B24="","",VLOOKUP(NormalizedMappingTable[[#This Row],[nace_level_3_code]],'NACE Rev. 2 Level 3'!A:B,2,FALSE))</f>
        <v>Manufacture of cement, lime and plaster</v>
      </c>
      <c r="D24">
        <f>COUNTIF(C:C,NormalizedMappingTable[[#This Row],[nace_level_3_label]])</f>
        <v>3</v>
      </c>
      <c r="E24" t="s">
        <v>57</v>
      </c>
      <c r="F24">
        <f t="shared" si="0"/>
        <v>2</v>
      </c>
    </row>
    <row r="25" spans="1:6" x14ac:dyDescent="0.4">
      <c r="A25" t="s">
        <v>56</v>
      </c>
      <c r="B25" t="s">
        <v>26</v>
      </c>
      <c r="C25" t="str">
        <f>IF(B25="","",VLOOKUP(NormalizedMappingTable[[#This Row],[nace_level_3_code]],'NACE Rev. 2 Level 3'!A:B,2,FALSE))</f>
        <v>Manufacture of articles of concrete, cement and plaster</v>
      </c>
      <c r="D25">
        <f>COUNTIF(C:C,NormalizedMappingTable[[#This Row],[nace_level_3_label]])</f>
        <v>1</v>
      </c>
      <c r="E25" t="s">
        <v>57</v>
      </c>
      <c r="F25">
        <f t="shared" si="0"/>
        <v>2</v>
      </c>
    </row>
    <row r="26" spans="1:6" x14ac:dyDescent="0.4">
      <c r="A26" t="s">
        <v>58</v>
      </c>
      <c r="B26" t="s">
        <v>17</v>
      </c>
      <c r="C26" t="str">
        <f>IF(B26="","",VLOOKUP(NormalizedMappingTable[[#This Row],[nace_level_3_code]],'NACE Rev. 2 Level 3'!A:B,2,FALSE))</f>
        <v>Manufacture of pulp, paper and paperboard</v>
      </c>
      <c r="D26">
        <f>COUNTIF(C:C,NormalizedMappingTable[[#This Row],[nace_level_3_label]])</f>
        <v>2</v>
      </c>
      <c r="E26" t="s">
        <v>59</v>
      </c>
      <c r="F26">
        <f t="shared" si="0"/>
        <v>1</v>
      </c>
    </row>
    <row r="27" spans="1:6" x14ac:dyDescent="0.4">
      <c r="A27" t="s">
        <v>60</v>
      </c>
      <c r="B27" t="s">
        <v>17</v>
      </c>
      <c r="C27" t="str">
        <f>IF(B27="","",VLOOKUP(NormalizedMappingTable[[#This Row],[nace_level_3_code]],'NACE Rev. 2 Level 3'!A:B,2,FALSE))</f>
        <v>Manufacture of pulp, paper and paperboard</v>
      </c>
      <c r="D27">
        <f>COUNTIF(C:C,NormalizedMappingTable[[#This Row],[nace_level_3_label]])</f>
        <v>2</v>
      </c>
      <c r="E27" t="s">
        <v>61</v>
      </c>
      <c r="F27">
        <f t="shared" si="0"/>
        <v>2</v>
      </c>
    </row>
    <row r="28" spans="1:6" x14ac:dyDescent="0.4">
      <c r="A28" t="s">
        <v>60</v>
      </c>
      <c r="B28" t="s">
        <v>18</v>
      </c>
      <c r="C28" t="str">
        <f>IF(B28="","",VLOOKUP(NormalizedMappingTable[[#This Row],[nace_level_3_code]],'NACE Rev. 2 Level 3'!A:B,2,FALSE))</f>
        <v>Manufacture of articles of paper and paperboard</v>
      </c>
      <c r="D28">
        <f>COUNTIF(C:C,NormalizedMappingTable[[#This Row],[nace_level_3_label]])</f>
        <v>1</v>
      </c>
      <c r="E28" t="s">
        <v>61</v>
      </c>
      <c r="F28">
        <f t="shared" si="0"/>
        <v>2</v>
      </c>
    </row>
    <row r="29" spans="1:6" x14ac:dyDescent="0.4">
      <c r="A29" t="s">
        <v>62</v>
      </c>
      <c r="B29" t="s">
        <v>20</v>
      </c>
      <c r="C29" t="str">
        <f>IF(B29="","",VLOOKUP(NormalizedMappingTable[[#This Row],[nace_level_3_code]],'NACE Rev. 2 Level 3'!A:B,2,FALSE))</f>
        <v>Manufacture of basic chemicals, fertilisers and nitrogen compounds, plastics and synthetic rubber in primary forms</v>
      </c>
      <c r="D29">
        <f>COUNTIF(C:C,NormalizedMappingTable[[#This Row],[nace_level_3_label]])</f>
        <v>7</v>
      </c>
      <c r="E29" t="s">
        <v>63</v>
      </c>
      <c r="F29">
        <f t="shared" si="0"/>
        <v>1</v>
      </c>
    </row>
    <row r="30" spans="1:6" x14ac:dyDescent="0.4">
      <c r="A30" t="s">
        <v>64</v>
      </c>
      <c r="B30" t="s">
        <v>20</v>
      </c>
      <c r="C30" t="str">
        <f>IF(B30="","",VLOOKUP(NormalizedMappingTable[[#This Row],[nace_level_3_code]],'NACE Rev. 2 Level 3'!A:B,2,FALSE))</f>
        <v>Manufacture of basic chemicals, fertilisers and nitrogen compounds, plastics and synthetic rubber in primary forms</v>
      </c>
      <c r="D30">
        <f>COUNTIF(C:C,NormalizedMappingTable[[#This Row],[nace_level_3_label]])</f>
        <v>7</v>
      </c>
      <c r="E30" t="s">
        <v>65</v>
      </c>
      <c r="F30">
        <f t="shared" si="0"/>
        <v>1</v>
      </c>
    </row>
    <row r="31" spans="1:6" x14ac:dyDescent="0.4">
      <c r="A31" t="s">
        <v>66</v>
      </c>
      <c r="B31" t="s">
        <v>20</v>
      </c>
      <c r="C31" t="str">
        <f>IF(B31="","",VLOOKUP(NormalizedMappingTable[[#This Row],[nace_level_3_code]],'NACE Rev. 2 Level 3'!A:B,2,FALSE))</f>
        <v>Manufacture of basic chemicals, fertilisers and nitrogen compounds, plastics and synthetic rubber in primary forms</v>
      </c>
      <c r="D31">
        <f>COUNTIF(C:C,NormalizedMappingTable[[#This Row],[nace_level_3_label]])</f>
        <v>7</v>
      </c>
      <c r="E31" t="s">
        <v>67</v>
      </c>
      <c r="F31">
        <f t="shared" si="0"/>
        <v>1</v>
      </c>
    </row>
    <row r="32" spans="1:6" x14ac:dyDescent="0.4">
      <c r="A32" t="s">
        <v>68</v>
      </c>
      <c r="B32" t="s">
        <v>20</v>
      </c>
      <c r="C32" t="str">
        <f>IF(B32="","",VLOOKUP(NormalizedMappingTable[[#This Row],[nace_level_3_code]],'NACE Rev. 2 Level 3'!A:B,2,FALSE))</f>
        <v>Manufacture of basic chemicals, fertilisers and nitrogen compounds, plastics and synthetic rubber in primary forms</v>
      </c>
      <c r="D32">
        <f>COUNTIF(C:C,NormalizedMappingTable[[#This Row],[nace_level_3_label]])</f>
        <v>7</v>
      </c>
      <c r="E32" t="s">
        <v>69</v>
      </c>
      <c r="F32">
        <f t="shared" si="0"/>
        <v>1</v>
      </c>
    </row>
    <row r="33" spans="1:6" x14ac:dyDescent="0.4">
      <c r="A33" t="s">
        <v>70</v>
      </c>
      <c r="B33" t="s">
        <v>20</v>
      </c>
      <c r="C33" t="str">
        <f>IF(B33="","",VLOOKUP(NormalizedMappingTable[[#This Row],[nace_level_3_code]],'NACE Rev. 2 Level 3'!A:B,2,FALSE))</f>
        <v>Manufacture of basic chemicals, fertilisers and nitrogen compounds, plastics and synthetic rubber in primary forms</v>
      </c>
      <c r="D33">
        <f>COUNTIF(C:C,NormalizedMappingTable[[#This Row],[nace_level_3_label]])</f>
        <v>7</v>
      </c>
      <c r="E33" t="s">
        <v>71</v>
      </c>
      <c r="F33">
        <f t="shared" si="0"/>
        <v>1</v>
      </c>
    </row>
    <row r="34" spans="1:6" x14ac:dyDescent="0.4">
      <c r="A34" t="s">
        <v>72</v>
      </c>
      <c r="B34" t="s">
        <v>20</v>
      </c>
      <c r="C34" t="str">
        <f>IF(B34="","",VLOOKUP(NormalizedMappingTable[[#This Row],[nace_level_3_code]],'NACE Rev. 2 Level 3'!A:B,2,FALSE))</f>
        <v>Manufacture of basic chemicals, fertilisers and nitrogen compounds, plastics and synthetic rubber in primary forms</v>
      </c>
      <c r="D34">
        <f>COUNTIF(C:C,NormalizedMappingTable[[#This Row],[nace_level_3_label]])</f>
        <v>7</v>
      </c>
      <c r="E34" t="s">
        <v>73</v>
      </c>
      <c r="F34">
        <f t="shared" si="0"/>
        <v>1</v>
      </c>
    </row>
    <row r="35" spans="1:6" x14ac:dyDescent="0.4">
      <c r="A35" t="s">
        <v>74</v>
      </c>
      <c r="B35" t="s">
        <v>8</v>
      </c>
      <c r="C35" t="str">
        <f>IF(B35="","",VLOOKUP(NormalizedMappingTable[[#This Row],[nace_level_3_code]],'NACE Rev. 2 Level 3'!A:B,2,FALSE))</f>
        <v>Manufacture of gas; distribution of gaseous fuels through mains</v>
      </c>
      <c r="D35">
        <f>COUNTIF(C:C,NormalizedMappingTable[[#This Row],[nace_level_3_label]])</f>
        <v>1</v>
      </c>
      <c r="E35" t="s">
        <v>75</v>
      </c>
      <c r="F35">
        <f t="shared" si="0"/>
        <v>1</v>
      </c>
    </row>
    <row r="36" spans="1:6" x14ac:dyDescent="0.4">
      <c r="A36" t="s">
        <v>76</v>
      </c>
      <c r="B36" t="s">
        <v>20</v>
      </c>
      <c r="C36" t="str">
        <f>IF(B36="","",VLOOKUP(NormalizedMappingTable[[#This Row],[nace_level_3_code]],'NACE Rev. 2 Level 3'!A:B,2,FALSE))</f>
        <v>Manufacture of basic chemicals, fertilisers and nitrogen compounds, plastics and synthetic rubber in primary forms</v>
      </c>
      <c r="D36">
        <f>COUNTIF(C:C,NormalizedMappingTable[[#This Row],[nace_level_3_label]])</f>
        <v>7</v>
      </c>
      <c r="E36" t="s">
        <v>77</v>
      </c>
      <c r="F36">
        <f t="shared" si="0"/>
        <v>1</v>
      </c>
    </row>
    <row r="37" spans="1:6" x14ac:dyDescent="0.4">
      <c r="A37" t="s">
        <v>78</v>
      </c>
      <c r="B37" t="s">
        <v>80</v>
      </c>
      <c r="C37" t="str">
        <f>IF(B37="","",VLOOKUP(NormalizedMappingTable[[#This Row],[nace_level_3_code]],'NACE Rev. 2 Level 3'!A:B,2,FALSE))</f>
        <v>Remediation activities and other waste management services</v>
      </c>
      <c r="D37">
        <f>COUNTIF(C:C,NormalizedMappingTable[[#This Row],[nace_level_3_label]])</f>
        <v>1</v>
      </c>
      <c r="E37" t="s">
        <v>79</v>
      </c>
      <c r="F37">
        <f t="shared" si="0"/>
        <v>1</v>
      </c>
    </row>
    <row r="38" spans="1:6" x14ac:dyDescent="0.4">
      <c r="A38" t="s">
        <v>81</v>
      </c>
      <c r="B38" t="s">
        <v>83</v>
      </c>
      <c r="C38" t="str">
        <f>IF(B38="","",VLOOKUP(NormalizedMappingTable[[#This Row],[nace_level_3_code]],'NACE Rev. 2 Level 3'!A:B,2,FALSE))</f>
        <v>Sea and coastal passenger water transport</v>
      </c>
      <c r="D38">
        <f>COUNTIF(C:C,NormalizedMappingTable[[#This Row],[nace_level_3_label]])</f>
        <v>1</v>
      </c>
      <c r="E38" t="s">
        <v>82</v>
      </c>
      <c r="F38">
        <f t="shared" si="0"/>
        <v>2</v>
      </c>
    </row>
    <row r="39" spans="1:6" x14ac:dyDescent="0.4">
      <c r="A39" t="s">
        <v>81</v>
      </c>
      <c r="B39" t="s">
        <v>84</v>
      </c>
      <c r="C39" t="str">
        <f>IF(B39="","",VLOOKUP(NormalizedMappingTable[[#This Row],[nace_level_3_code]],'NACE Rev. 2 Level 3'!A:B,2,FALSE))</f>
        <v>Sea and coastal freight water transport</v>
      </c>
      <c r="D39">
        <f>COUNTIF(C:C,NormalizedMappingTable[[#This Row],[nace_level_3_label]])</f>
        <v>1</v>
      </c>
      <c r="E39" t="s">
        <v>82</v>
      </c>
      <c r="F39">
        <f t="shared" si="0"/>
        <v>2</v>
      </c>
    </row>
    <row r="41" spans="1:6" x14ac:dyDescent="0.4">
      <c r="D41" s="9">
        <f>COUNTIF(NormalizedMappingTable[nace_level_3_cnt],1)/COUNT(NormalizedMappingTable[nace_level_3_cnt])</f>
        <v>0.5</v>
      </c>
      <c r="F41" s="9">
        <f>COUNTIF(NormalizedMappingTable[ets_activity_cnt],1)/COUNT(NormalizedMappingTable[ets_activity_cnt])</f>
        <v>0.52631578947368418</v>
      </c>
    </row>
  </sheetData>
  <conditionalFormatting sqref="D1:D40 F1:F40 F42:F1048576 D42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D719-B4D8-4552-BABC-D9729FE35C38}">
  <dimension ref="A1:F32"/>
  <sheetViews>
    <sheetView workbookViewId="0">
      <pane ySplit="1" topLeftCell="A20" activePane="bottomLeft" state="frozen"/>
      <selection pane="bottomLeft" activeCell="C34" sqref="C34"/>
    </sheetView>
  </sheetViews>
  <sheetFormatPr defaultRowHeight="14.6" x14ac:dyDescent="0.4"/>
  <cols>
    <col min="1" max="1" width="15.3828125" bestFit="1" customWidth="1"/>
    <col min="2" max="2" width="48.4609375" bestFit="1" customWidth="1"/>
    <col min="3" max="3" width="7.69140625" style="6" bestFit="1" customWidth="1"/>
  </cols>
  <sheetData>
    <row r="1" spans="1:6" x14ac:dyDescent="0.4">
      <c r="A1" s="1" t="s">
        <v>370</v>
      </c>
      <c r="B1" s="1" t="s">
        <v>369</v>
      </c>
      <c r="C1" s="3" t="s">
        <v>364</v>
      </c>
      <c r="F1" t="s">
        <v>371</v>
      </c>
    </row>
    <row r="2" spans="1:6" x14ac:dyDescent="0.4">
      <c r="A2" t="s">
        <v>1</v>
      </c>
      <c r="B2" t="s">
        <v>2</v>
      </c>
      <c r="C2" s="6" t="e">
        <f>_xlfn.IFNA(IF(VLOOKUP(A2,Mapping!A:C,4,FALSE)&lt;&gt;"",1,0),0)</f>
        <v>#REF!</v>
      </c>
      <c r="F2" t="s">
        <v>1</v>
      </c>
    </row>
    <row r="3" spans="1:6" x14ac:dyDescent="0.4">
      <c r="A3" t="s">
        <v>5</v>
      </c>
      <c r="B3" t="s">
        <v>6</v>
      </c>
      <c r="C3" s="6" t="e">
        <f>_xlfn.IFNA(IF(VLOOKUP(A3,Mapping!A:C,4,FALSE)&lt;&gt;"",1,0),0)</f>
        <v>#REF!</v>
      </c>
      <c r="F3" t="s">
        <v>5</v>
      </c>
    </row>
    <row r="4" spans="1:6" x14ac:dyDescent="0.4">
      <c r="A4" s="2" t="s">
        <v>10</v>
      </c>
      <c r="B4" s="2" t="s">
        <v>11</v>
      </c>
      <c r="C4" s="6">
        <f>_xlfn.IFNA(IF(VLOOKUP(A4,Mapping!A:C,4,FALSE)&lt;&gt;"",1,0),0)</f>
        <v>0</v>
      </c>
      <c r="F4" t="s">
        <v>10</v>
      </c>
    </row>
    <row r="5" spans="1:6" x14ac:dyDescent="0.4">
      <c r="A5" t="s">
        <v>12</v>
      </c>
      <c r="B5" s="2" t="s">
        <v>13</v>
      </c>
      <c r="C5" s="6" t="e">
        <f>_xlfn.IFNA(IF(VLOOKUP(A5,Mapping!A:C,4,FALSE)&lt;&gt;"",1,0),0)</f>
        <v>#REF!</v>
      </c>
      <c r="F5" t="s">
        <v>12</v>
      </c>
    </row>
    <row r="6" spans="1:6" x14ac:dyDescent="0.4">
      <c r="A6" s="2" t="s">
        <v>15</v>
      </c>
      <c r="B6" s="2" t="s">
        <v>16</v>
      </c>
      <c r="C6" s="6">
        <f>_xlfn.IFNA(IF(VLOOKUP(A6,Mapping!A:C,4,FALSE)&lt;&gt;"",1,0),0)</f>
        <v>0</v>
      </c>
      <c r="F6" t="s">
        <v>15</v>
      </c>
    </row>
    <row r="7" spans="1:6" x14ac:dyDescent="0.4">
      <c r="A7" t="s">
        <v>32</v>
      </c>
      <c r="B7" s="2" t="s">
        <v>33</v>
      </c>
      <c r="C7" s="6" t="e">
        <f>_xlfn.IFNA(IF(VLOOKUP(A7,Mapping!A:C,4,FALSE)&lt;&gt;"",1,0),0)</f>
        <v>#REF!</v>
      </c>
      <c r="F7" t="s">
        <v>32</v>
      </c>
    </row>
    <row r="8" spans="1:6" x14ac:dyDescent="0.4">
      <c r="A8" t="s">
        <v>34</v>
      </c>
      <c r="B8" t="s">
        <v>35</v>
      </c>
      <c r="C8" s="6" t="e">
        <f>_xlfn.IFNA(IF(VLOOKUP(A8,Mapping!A:C,4,FALSE)&lt;&gt;"",1,0),0)</f>
        <v>#REF!</v>
      </c>
      <c r="F8" t="s">
        <v>36</v>
      </c>
    </row>
    <row r="9" spans="1:6" x14ac:dyDescent="0.4">
      <c r="A9" t="s">
        <v>36</v>
      </c>
      <c r="B9" s="2" t="s">
        <v>37</v>
      </c>
      <c r="C9" s="6" t="e">
        <f>_xlfn.IFNA(IF(VLOOKUP(A9,Mapping!A:C,4,FALSE)&lt;&gt;"",1,0),0)</f>
        <v>#REF!</v>
      </c>
      <c r="F9" t="s">
        <v>46</v>
      </c>
    </row>
    <row r="10" spans="1:6" x14ac:dyDescent="0.4">
      <c r="A10" t="s">
        <v>38</v>
      </c>
      <c r="B10" t="s">
        <v>39</v>
      </c>
      <c r="C10" s="6" t="e">
        <f>_xlfn.IFNA(IF(VLOOKUP(A10,Mapping!A:C,4,FALSE)&lt;&gt;"",1,0),0)</f>
        <v>#REF!</v>
      </c>
      <c r="F10" t="s">
        <v>48</v>
      </c>
    </row>
    <row r="11" spans="1:6" x14ac:dyDescent="0.4">
      <c r="A11" t="s">
        <v>40</v>
      </c>
      <c r="B11" t="s">
        <v>41</v>
      </c>
      <c r="C11" s="6" t="e">
        <f>_xlfn.IFNA(IF(VLOOKUP(A11,Mapping!A:C,4,FALSE)&lt;&gt;"",1,0),0)</f>
        <v>#REF!</v>
      </c>
      <c r="F11" t="s">
        <v>50</v>
      </c>
    </row>
    <row r="12" spans="1:6" x14ac:dyDescent="0.4">
      <c r="A12" t="s">
        <v>42</v>
      </c>
      <c r="B12" t="s">
        <v>43</v>
      </c>
      <c r="C12" s="6" t="e">
        <f>_xlfn.IFNA(IF(VLOOKUP(A12,Mapping!A:C,4,FALSE)&lt;&gt;"",1,0),0)</f>
        <v>#REF!</v>
      </c>
      <c r="F12" t="s">
        <v>52</v>
      </c>
    </row>
    <row r="13" spans="1:6" x14ac:dyDescent="0.4">
      <c r="A13" t="s">
        <v>44</v>
      </c>
      <c r="B13" t="s">
        <v>45</v>
      </c>
      <c r="C13" s="6" t="e">
        <f>_xlfn.IFNA(IF(VLOOKUP(A13,Mapping!A:C,4,FALSE)&lt;&gt;"",1,0),0)</f>
        <v>#REF!</v>
      </c>
      <c r="F13" t="s">
        <v>58</v>
      </c>
    </row>
    <row r="14" spans="1:6" x14ac:dyDescent="0.4">
      <c r="A14" t="s">
        <v>46</v>
      </c>
      <c r="B14" t="s">
        <v>47</v>
      </c>
      <c r="C14" s="6" t="e">
        <f>_xlfn.IFNA(IF(VLOOKUP(A14,Mapping!A:C,4,FALSE)&lt;&gt;"",1,0),0)</f>
        <v>#REF!</v>
      </c>
      <c r="F14" t="s">
        <v>60</v>
      </c>
    </row>
    <row r="15" spans="1:6" x14ac:dyDescent="0.4">
      <c r="A15" t="s">
        <v>48</v>
      </c>
      <c r="B15" t="s">
        <v>49</v>
      </c>
      <c r="C15" s="6" t="e">
        <f>_xlfn.IFNA(IF(VLOOKUP(A15,Mapping!A:C,4,FALSE)&lt;&gt;"",1,0),0)</f>
        <v>#REF!</v>
      </c>
      <c r="F15" t="s">
        <v>72</v>
      </c>
    </row>
    <row r="16" spans="1:6" x14ac:dyDescent="0.4">
      <c r="A16" t="s">
        <v>50</v>
      </c>
      <c r="B16" t="s">
        <v>51</v>
      </c>
      <c r="C16" s="6" t="e">
        <f>_xlfn.IFNA(IF(VLOOKUP(A16,Mapping!A:C,4,FALSE)&lt;&gt;"",1,0),0)</f>
        <v>#REF!</v>
      </c>
      <c r="F16" t="s">
        <v>85</v>
      </c>
    </row>
    <row r="17" spans="1:6" x14ac:dyDescent="0.4">
      <c r="A17" t="s">
        <v>52</v>
      </c>
      <c r="B17" t="s">
        <v>53</v>
      </c>
      <c r="C17" s="6" t="e">
        <f>_xlfn.IFNA(IF(VLOOKUP(A17,Mapping!A:C,4,FALSE)&lt;&gt;"",1,0),0)</f>
        <v>#REF!</v>
      </c>
      <c r="F17" t="s">
        <v>64</v>
      </c>
    </row>
    <row r="18" spans="1:6" x14ac:dyDescent="0.4">
      <c r="A18" t="s">
        <v>54</v>
      </c>
      <c r="B18" t="s">
        <v>55</v>
      </c>
      <c r="C18" s="6" t="e">
        <f>_xlfn.IFNA(IF(VLOOKUP(A18,Mapping!A:C,4,FALSE)&lt;&gt;"",1,0),0)</f>
        <v>#REF!</v>
      </c>
      <c r="F18" t="s">
        <v>38</v>
      </c>
    </row>
    <row r="19" spans="1:6" x14ac:dyDescent="0.4">
      <c r="A19" t="s">
        <v>56</v>
      </c>
      <c r="B19" t="s">
        <v>57</v>
      </c>
      <c r="C19" s="6" t="e">
        <f>_xlfn.IFNA(IF(VLOOKUP(A19,Mapping!A:C,4,FALSE)&lt;&gt;"",1,0),0)</f>
        <v>#REF!</v>
      </c>
      <c r="F19" t="s">
        <v>42</v>
      </c>
    </row>
    <row r="20" spans="1:6" x14ac:dyDescent="0.4">
      <c r="A20" t="s">
        <v>58</v>
      </c>
      <c r="B20" t="s">
        <v>59</v>
      </c>
      <c r="C20" s="6" t="e">
        <f>_xlfn.IFNA(IF(VLOOKUP(A20,Mapping!A:C,4,FALSE)&lt;&gt;"",1,0),0)</f>
        <v>#REF!</v>
      </c>
      <c r="F20" t="s">
        <v>44</v>
      </c>
    </row>
    <row r="21" spans="1:6" x14ac:dyDescent="0.4">
      <c r="A21" t="s">
        <v>60</v>
      </c>
      <c r="B21" t="s">
        <v>61</v>
      </c>
      <c r="C21" s="6" t="e">
        <f>_xlfn.IFNA(IF(VLOOKUP(A21,Mapping!A:C,4,FALSE)&lt;&gt;"",1,0),0)</f>
        <v>#REF!</v>
      </c>
      <c r="F21" t="s">
        <v>56</v>
      </c>
    </row>
    <row r="22" spans="1:6" x14ac:dyDescent="0.4">
      <c r="A22" t="s">
        <v>62</v>
      </c>
      <c r="B22" t="s">
        <v>63</v>
      </c>
      <c r="C22" s="6" t="e">
        <f>_xlfn.IFNA(IF(VLOOKUP(A22,Mapping!A:C,4,FALSE)&lt;&gt;"",1,0),0)</f>
        <v>#REF!</v>
      </c>
      <c r="F22" t="s">
        <v>70</v>
      </c>
    </row>
    <row r="23" spans="1:6" x14ac:dyDescent="0.4">
      <c r="A23" t="s">
        <v>64</v>
      </c>
      <c r="B23" t="s">
        <v>65</v>
      </c>
      <c r="C23" s="6" t="e">
        <f>_xlfn.IFNA(IF(VLOOKUP(A23,Mapping!A:C,4,FALSE)&lt;&gt;"",1,0),0)</f>
        <v>#REF!</v>
      </c>
      <c r="F23" t="s">
        <v>74</v>
      </c>
    </row>
    <row r="24" spans="1:6" x14ac:dyDescent="0.4">
      <c r="A24" t="s">
        <v>66</v>
      </c>
      <c r="B24" t="s">
        <v>67</v>
      </c>
      <c r="C24" s="6" t="e">
        <f>_xlfn.IFNA(IF(VLOOKUP(A24,Mapping!A:C,4,FALSE)&lt;&gt;"",1,0),0)</f>
        <v>#REF!</v>
      </c>
      <c r="F24" t="s">
        <v>40</v>
      </c>
    </row>
    <row r="25" spans="1:6" x14ac:dyDescent="0.4">
      <c r="A25" t="s">
        <v>68</v>
      </c>
      <c r="B25" t="s">
        <v>69</v>
      </c>
      <c r="C25" s="6" t="e">
        <f>_xlfn.IFNA(IF(VLOOKUP(A25,Mapping!A:C,4,FALSE)&lt;&gt;"",1,0),0)</f>
        <v>#REF!</v>
      </c>
      <c r="F25" t="s">
        <v>54</v>
      </c>
    </row>
    <row r="26" spans="1:6" x14ac:dyDescent="0.4">
      <c r="A26" t="s">
        <v>70</v>
      </c>
      <c r="B26" t="s">
        <v>71</v>
      </c>
      <c r="C26" s="6" t="e">
        <f>_xlfn.IFNA(IF(VLOOKUP(A26,Mapping!A:C,4,FALSE)&lt;&gt;"",1,0),0)</f>
        <v>#REF!</v>
      </c>
      <c r="F26" t="s">
        <v>62</v>
      </c>
    </row>
    <row r="27" spans="1:6" x14ac:dyDescent="0.4">
      <c r="A27" t="s">
        <v>72</v>
      </c>
      <c r="B27" t="s">
        <v>73</v>
      </c>
      <c r="C27" s="6" t="e">
        <f>_xlfn.IFNA(IF(VLOOKUP(A27,Mapping!A:C,4,FALSE)&lt;&gt;"",1,0),0)</f>
        <v>#REF!</v>
      </c>
      <c r="F27" t="s">
        <v>81</v>
      </c>
    </row>
    <row r="28" spans="1:6" x14ac:dyDescent="0.4">
      <c r="A28" t="s">
        <v>74</v>
      </c>
      <c r="B28" t="s">
        <v>75</v>
      </c>
      <c r="C28" s="6" t="e">
        <f>_xlfn.IFNA(IF(VLOOKUP(A28,Mapping!A:C,4,FALSE)&lt;&gt;"",1,0),0)</f>
        <v>#REF!</v>
      </c>
      <c r="F28" t="s">
        <v>76</v>
      </c>
    </row>
    <row r="29" spans="1:6" x14ac:dyDescent="0.4">
      <c r="A29" t="s">
        <v>76</v>
      </c>
      <c r="B29" t="s">
        <v>77</v>
      </c>
      <c r="C29" s="6" t="e">
        <f>_xlfn.IFNA(IF(VLOOKUP(A29,Mapping!A:C,4,FALSE)&lt;&gt;"",1,0),0)</f>
        <v>#REF!</v>
      </c>
      <c r="F29" t="s">
        <v>34</v>
      </c>
    </row>
    <row r="30" spans="1:6" x14ac:dyDescent="0.4">
      <c r="A30" t="s">
        <v>78</v>
      </c>
      <c r="B30" t="s">
        <v>79</v>
      </c>
      <c r="C30" s="6" t="e">
        <f>_xlfn.IFNA(IF(VLOOKUP(A30,Mapping!A:C,4,FALSE)&lt;&gt;"",1,0),0)</f>
        <v>#REF!</v>
      </c>
      <c r="F30" t="s">
        <v>66</v>
      </c>
    </row>
    <row r="31" spans="1:6" x14ac:dyDescent="0.4">
      <c r="A31" t="s">
        <v>81</v>
      </c>
      <c r="B31" t="s">
        <v>82</v>
      </c>
      <c r="C31" s="6" t="e">
        <f>_xlfn.IFNA(IF(VLOOKUP(A31,Mapping!A:C,4,FALSE)&lt;&gt;"",1,0),0)</f>
        <v>#REF!</v>
      </c>
      <c r="F31" t="s">
        <v>68</v>
      </c>
    </row>
    <row r="32" spans="1:6" x14ac:dyDescent="0.4">
      <c r="A32" t="s">
        <v>85</v>
      </c>
      <c r="B32" t="s">
        <v>86</v>
      </c>
      <c r="C32" s="6">
        <f>_xlfn.IFNA(IF(VLOOKUP(A32,Mapping!A:C,4,FALSE)&lt;&gt;"",1,0),0)</f>
        <v>0</v>
      </c>
      <c r="F32" t="s">
        <v>78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2B6E-DB0A-4CF9-85B2-703C5168ECBD}">
  <dimension ref="A1:D273"/>
  <sheetViews>
    <sheetView workbookViewId="0">
      <selection activeCell="D12" sqref="D12"/>
    </sheetView>
  </sheetViews>
  <sheetFormatPr defaultRowHeight="14.6" x14ac:dyDescent="0.4"/>
  <cols>
    <col min="1" max="1" width="4.3828125" style="7" bestFit="1" customWidth="1"/>
    <col min="2" max="2" width="61.921875" style="7" customWidth="1"/>
    <col min="3" max="3" width="12.4609375" style="7" bestFit="1" customWidth="1"/>
    <col min="4" max="4" width="67.3828125" style="7" customWidth="1"/>
  </cols>
  <sheetData>
    <row r="1" spans="1:4" x14ac:dyDescent="0.4">
      <c r="A1" s="7" t="s">
        <v>360</v>
      </c>
      <c r="B1" s="7" t="s">
        <v>361</v>
      </c>
      <c r="C1" s="7" t="s">
        <v>363</v>
      </c>
      <c r="D1" s="7" t="s">
        <v>359</v>
      </c>
    </row>
    <row r="2" spans="1:4" x14ac:dyDescent="0.4">
      <c r="A2" s="7" t="str">
        <f t="shared" ref="A2:A65" si="0">LEFT(D2,4)</f>
        <v>01.1</v>
      </c>
      <c r="B2" s="7" t="str">
        <f>SUBSTITUTE(SUBSTITUTE(D2,A2&amp;" ",""),RIGHT(D2,5),"")</f>
        <v>Growing of non-perennial crops</v>
      </c>
      <c r="C2" s="7" t="b">
        <f>ISNUMBER(MATCH(A2, NormalizedMappingTable[nace_level_3_code], 0))</f>
        <v>0</v>
      </c>
      <c r="D2" s="7" t="s">
        <v>87</v>
      </c>
    </row>
    <row r="3" spans="1:4" x14ac:dyDescent="0.4">
      <c r="A3" s="7" t="str">
        <f t="shared" si="0"/>
        <v>01.2</v>
      </c>
      <c r="B3" s="7" t="str">
        <f t="shared" ref="B3:B66" si="1">SUBSTITUTE(SUBSTITUTE(D3,A3&amp;" ",""),RIGHT(D3,5),"")</f>
        <v>Growing of perennial crops</v>
      </c>
      <c r="C3" s="7" t="b">
        <f>ISNUMBER(MATCH(A3, NormalizedMappingTable[nace_level_3_code], 0))</f>
        <v>0</v>
      </c>
      <c r="D3" s="7" t="s">
        <v>88</v>
      </c>
    </row>
    <row r="4" spans="1:4" x14ac:dyDescent="0.4">
      <c r="A4" s="7" t="str">
        <f t="shared" si="0"/>
        <v>01.3</v>
      </c>
      <c r="B4" s="7" t="str">
        <f t="shared" si="1"/>
        <v>Plant propagation</v>
      </c>
      <c r="C4" s="7" t="b">
        <f>ISNUMBER(MATCH(A4, NormalizedMappingTable[nace_level_3_code], 0))</f>
        <v>0</v>
      </c>
      <c r="D4" s="7" t="s">
        <v>89</v>
      </c>
    </row>
    <row r="5" spans="1:4" x14ac:dyDescent="0.4">
      <c r="A5" s="7" t="str">
        <f t="shared" si="0"/>
        <v>01.4</v>
      </c>
      <c r="B5" s="7" t="str">
        <f t="shared" si="1"/>
        <v>Animal production</v>
      </c>
      <c r="C5" s="7" t="b">
        <f>ISNUMBER(MATCH(A5, NormalizedMappingTable[nace_level_3_code], 0))</f>
        <v>0</v>
      </c>
      <c r="D5" s="7" t="s">
        <v>90</v>
      </c>
    </row>
    <row r="6" spans="1:4" x14ac:dyDescent="0.4">
      <c r="A6" s="7" t="str">
        <f t="shared" si="0"/>
        <v>01.5</v>
      </c>
      <c r="B6" s="7" t="str">
        <f t="shared" si="1"/>
        <v>Mixed farming</v>
      </c>
      <c r="C6" s="7" t="b">
        <f>ISNUMBER(MATCH(A6, NormalizedMappingTable[nace_level_3_code], 0))</f>
        <v>0</v>
      </c>
      <c r="D6" s="7" t="s">
        <v>91</v>
      </c>
    </row>
    <row r="7" spans="1:4" x14ac:dyDescent="0.4">
      <c r="A7" s="7" t="str">
        <f t="shared" si="0"/>
        <v>01.6</v>
      </c>
      <c r="B7" s="7" t="str">
        <f t="shared" si="1"/>
        <v>Support activities to agriculture and post-harvest crop activities</v>
      </c>
      <c r="C7" s="7" t="b">
        <f>ISNUMBER(MATCH(A7, NormalizedMappingTable[nace_level_3_code], 0))</f>
        <v>0</v>
      </c>
      <c r="D7" s="7" t="s">
        <v>92</v>
      </c>
    </row>
    <row r="8" spans="1:4" x14ac:dyDescent="0.4">
      <c r="A8" s="7" t="str">
        <f t="shared" si="0"/>
        <v>01.7</v>
      </c>
      <c r="B8" s="7" t="str">
        <f t="shared" si="1"/>
        <v>Hunting, trapping and related service activities</v>
      </c>
      <c r="C8" s="7" t="b">
        <f>ISNUMBER(MATCH(A8, NormalizedMappingTable[nace_level_3_code], 0))</f>
        <v>0</v>
      </c>
      <c r="D8" s="7" t="s">
        <v>93</v>
      </c>
    </row>
    <row r="9" spans="1:4" x14ac:dyDescent="0.4">
      <c r="A9" s="7" t="str">
        <f t="shared" si="0"/>
        <v>02.1</v>
      </c>
      <c r="B9" s="7" t="str">
        <f t="shared" si="1"/>
        <v>Silviculture and other forestry activities</v>
      </c>
      <c r="C9" s="7" t="b">
        <f>ISNUMBER(MATCH(A9, NormalizedMappingTable[nace_level_3_code], 0))</f>
        <v>0</v>
      </c>
      <c r="D9" s="7" t="s">
        <v>94</v>
      </c>
    </row>
    <row r="10" spans="1:4" x14ac:dyDescent="0.4">
      <c r="A10" s="7" t="str">
        <f t="shared" si="0"/>
        <v>02.2</v>
      </c>
      <c r="B10" s="7" t="str">
        <f t="shared" si="1"/>
        <v>Logging</v>
      </c>
      <c r="C10" s="7" t="b">
        <f>ISNUMBER(MATCH(A10, NormalizedMappingTable[nace_level_3_code], 0))</f>
        <v>0</v>
      </c>
      <c r="D10" s="7" t="s">
        <v>95</v>
      </c>
    </row>
    <row r="11" spans="1:4" x14ac:dyDescent="0.4">
      <c r="A11" s="7" t="str">
        <f t="shared" si="0"/>
        <v>02.3</v>
      </c>
      <c r="B11" s="7" t="str">
        <f t="shared" si="1"/>
        <v>Gathering of wild growing non-wood products</v>
      </c>
      <c r="C11" s="7" t="b">
        <f>ISNUMBER(MATCH(A11, NormalizedMappingTable[nace_level_3_code], 0))</f>
        <v>0</v>
      </c>
      <c r="D11" s="7" t="s">
        <v>96</v>
      </c>
    </row>
    <row r="12" spans="1:4" x14ac:dyDescent="0.4">
      <c r="A12" s="7" t="str">
        <f t="shared" si="0"/>
        <v>02.4</v>
      </c>
      <c r="B12" s="7" t="str">
        <f t="shared" si="1"/>
        <v>Support services to forestry</v>
      </c>
      <c r="C12" s="7" t="b">
        <f>ISNUMBER(MATCH(A12, NormalizedMappingTable[nace_level_3_code], 0))</f>
        <v>0</v>
      </c>
      <c r="D12" s="7" t="s">
        <v>97</v>
      </c>
    </row>
    <row r="13" spans="1:4" x14ac:dyDescent="0.4">
      <c r="A13" s="7" t="str">
        <f t="shared" si="0"/>
        <v>03.1</v>
      </c>
      <c r="B13" s="7" t="str">
        <f t="shared" si="1"/>
        <v>Fishing</v>
      </c>
      <c r="C13" s="7" t="b">
        <f>ISNUMBER(MATCH(A13, NormalizedMappingTable[nace_level_3_code], 0))</f>
        <v>0</v>
      </c>
      <c r="D13" s="7" t="s">
        <v>98</v>
      </c>
    </row>
    <row r="14" spans="1:4" x14ac:dyDescent="0.4">
      <c r="A14" s="7" t="str">
        <f t="shared" si="0"/>
        <v>03.2</v>
      </c>
      <c r="B14" s="7" t="str">
        <f t="shared" si="1"/>
        <v>Aquaculture</v>
      </c>
      <c r="C14" s="7" t="b">
        <f>ISNUMBER(MATCH(A14, NormalizedMappingTable[nace_level_3_code], 0))</f>
        <v>0</v>
      </c>
      <c r="D14" s="7" t="s">
        <v>99</v>
      </c>
    </row>
    <row r="15" spans="1:4" x14ac:dyDescent="0.4">
      <c r="A15" s="7" t="str">
        <f t="shared" si="0"/>
        <v>05.1</v>
      </c>
      <c r="B15" s="7" t="str">
        <f t="shared" si="1"/>
        <v>Mining of hard coal</v>
      </c>
      <c r="C15" s="7" t="b">
        <f>ISNUMBER(MATCH(A15, NormalizedMappingTable[nace_level_3_code], 0))</f>
        <v>0</v>
      </c>
      <c r="D15" s="7" t="s">
        <v>100</v>
      </c>
    </row>
    <row r="16" spans="1:4" x14ac:dyDescent="0.4">
      <c r="A16" s="7" t="str">
        <f t="shared" si="0"/>
        <v>05.2</v>
      </c>
      <c r="B16" s="7" t="str">
        <f t="shared" si="1"/>
        <v>Mining of lignite</v>
      </c>
      <c r="C16" s="7" t="b">
        <f>ISNUMBER(MATCH(A16, NormalizedMappingTable[nace_level_3_code], 0))</f>
        <v>0</v>
      </c>
      <c r="D16" s="7" t="s">
        <v>101</v>
      </c>
    </row>
    <row r="17" spans="1:4" x14ac:dyDescent="0.4">
      <c r="A17" s="7" t="str">
        <f t="shared" si="0"/>
        <v>06.1</v>
      </c>
      <c r="B17" s="7" t="str">
        <f t="shared" si="1"/>
        <v>Extraction of crude petroleum</v>
      </c>
      <c r="C17" s="7" t="b">
        <f>ISNUMBER(MATCH(A17, NormalizedMappingTable[nace_level_3_code], 0))</f>
        <v>0</v>
      </c>
      <c r="D17" s="7" t="s">
        <v>102</v>
      </c>
    </row>
    <row r="18" spans="1:4" x14ac:dyDescent="0.4">
      <c r="A18" s="7" t="str">
        <f t="shared" si="0"/>
        <v>06.2</v>
      </c>
      <c r="B18" s="7" t="str">
        <f t="shared" si="1"/>
        <v>Extraction of natural gas</v>
      </c>
      <c r="C18" s="7" t="b">
        <f>ISNUMBER(MATCH(A18, NormalizedMappingTable[nace_level_3_code], 0))</f>
        <v>0</v>
      </c>
      <c r="D18" s="7" t="s">
        <v>103</v>
      </c>
    </row>
    <row r="19" spans="1:4" x14ac:dyDescent="0.4">
      <c r="A19" s="7" t="str">
        <f t="shared" si="0"/>
        <v>07.1</v>
      </c>
      <c r="B19" s="7" t="str">
        <f t="shared" si="1"/>
        <v>Mining of iron ores</v>
      </c>
      <c r="C19" s="7" t="b">
        <f>ISNUMBER(MATCH(A19, NormalizedMappingTable[nace_level_3_code], 0))</f>
        <v>0</v>
      </c>
      <c r="D19" s="7" t="s">
        <v>104</v>
      </c>
    </row>
    <row r="20" spans="1:4" x14ac:dyDescent="0.4">
      <c r="A20" s="7" t="str">
        <f t="shared" si="0"/>
        <v>07.2</v>
      </c>
      <c r="B20" s="7" t="str">
        <f t="shared" si="1"/>
        <v>Mining of non-ferrous metal ores</v>
      </c>
      <c r="C20" s="7" t="b">
        <f>ISNUMBER(MATCH(A20, NormalizedMappingTable[nace_level_3_code], 0))</f>
        <v>0</v>
      </c>
      <c r="D20" s="7" t="s">
        <v>105</v>
      </c>
    </row>
    <row r="21" spans="1:4" x14ac:dyDescent="0.4">
      <c r="A21" s="7" t="str">
        <f t="shared" si="0"/>
        <v>08.1</v>
      </c>
      <c r="B21" s="7" t="str">
        <f t="shared" si="1"/>
        <v>Quarrying of stone, sand and clay</v>
      </c>
      <c r="C21" s="7" t="b">
        <f>ISNUMBER(MATCH(A21, NormalizedMappingTable[nace_level_3_code], 0))</f>
        <v>0</v>
      </c>
      <c r="D21" s="7" t="s">
        <v>106</v>
      </c>
    </row>
    <row r="22" spans="1:4" x14ac:dyDescent="0.4">
      <c r="A22" s="7" t="str">
        <f t="shared" si="0"/>
        <v>08.9</v>
      </c>
      <c r="B22" s="7" t="str">
        <f t="shared" si="1"/>
        <v>Mining and quarrying n.e.c.</v>
      </c>
      <c r="C22" s="7" t="b">
        <f>ISNUMBER(MATCH(A22, NormalizedMappingTable[nace_level_3_code], 0))</f>
        <v>0</v>
      </c>
      <c r="D22" s="7" t="s">
        <v>107</v>
      </c>
    </row>
    <row r="23" spans="1:4" x14ac:dyDescent="0.4">
      <c r="A23" s="7" t="str">
        <f t="shared" si="0"/>
        <v>09.1</v>
      </c>
      <c r="B23" s="7" t="str">
        <f t="shared" si="1"/>
        <v>Support activities for petroleum and natural gas extraction</v>
      </c>
      <c r="C23" s="7" t="b">
        <f>ISNUMBER(MATCH(A23, NormalizedMappingTable[nace_level_3_code], 0))</f>
        <v>0</v>
      </c>
      <c r="D23" s="7" t="s">
        <v>108</v>
      </c>
    </row>
    <row r="24" spans="1:4" x14ac:dyDescent="0.4">
      <c r="A24" s="7" t="str">
        <f t="shared" si="0"/>
        <v>09.9</v>
      </c>
      <c r="B24" s="7" t="str">
        <f t="shared" si="1"/>
        <v>Support activities for other mining and quarrying</v>
      </c>
      <c r="C24" s="7" t="b">
        <f>ISNUMBER(MATCH(A24, NormalizedMappingTable[nace_level_3_code], 0))</f>
        <v>0</v>
      </c>
      <c r="D24" s="7" t="s">
        <v>109</v>
      </c>
    </row>
    <row r="25" spans="1:4" x14ac:dyDescent="0.4">
      <c r="A25" s="7" t="str">
        <f t="shared" si="0"/>
        <v>10.1</v>
      </c>
      <c r="B25" s="7" t="str">
        <f t="shared" si="1"/>
        <v>Processing and preserving of meat and production of meat products</v>
      </c>
      <c r="C25" s="7" t="b">
        <f>ISNUMBER(MATCH(A25, NormalizedMappingTable[nace_level_3_code], 0))</f>
        <v>0</v>
      </c>
      <c r="D25" s="7" t="s">
        <v>110</v>
      </c>
    </row>
    <row r="26" spans="1:4" x14ac:dyDescent="0.4">
      <c r="A26" s="7" t="str">
        <f t="shared" si="0"/>
        <v>10.2</v>
      </c>
      <c r="B26" s="7" t="str">
        <f t="shared" si="1"/>
        <v>Processing and preserving of fish, crustaceans and molluscs</v>
      </c>
      <c r="C26" s="7" t="b">
        <f>ISNUMBER(MATCH(A26, NormalizedMappingTable[nace_level_3_code], 0))</f>
        <v>0</v>
      </c>
      <c r="D26" s="7" t="s">
        <v>111</v>
      </c>
    </row>
    <row r="27" spans="1:4" x14ac:dyDescent="0.4">
      <c r="A27" s="7" t="str">
        <f t="shared" si="0"/>
        <v>10.3</v>
      </c>
      <c r="B27" s="7" t="str">
        <f t="shared" si="1"/>
        <v>Processing and preserving of fruit and vegetables</v>
      </c>
      <c r="C27" s="7" t="b">
        <f>ISNUMBER(MATCH(A27, NormalizedMappingTable[nace_level_3_code], 0))</f>
        <v>0</v>
      </c>
      <c r="D27" s="7" t="s">
        <v>112</v>
      </c>
    </row>
    <row r="28" spans="1:4" x14ac:dyDescent="0.4">
      <c r="A28" s="7" t="str">
        <f t="shared" si="0"/>
        <v>10.4</v>
      </c>
      <c r="B28" s="7" t="str">
        <f t="shared" si="1"/>
        <v>Manufacture of vegetable and animal oils and fats</v>
      </c>
      <c r="C28" s="7" t="b">
        <f>ISNUMBER(MATCH(A28, NormalizedMappingTable[nace_level_3_code], 0))</f>
        <v>0</v>
      </c>
      <c r="D28" s="7" t="s">
        <v>113</v>
      </c>
    </row>
    <row r="29" spans="1:4" x14ac:dyDescent="0.4">
      <c r="A29" s="7" t="str">
        <f t="shared" si="0"/>
        <v>10.5</v>
      </c>
      <c r="B29" s="7" t="str">
        <f t="shared" si="1"/>
        <v>Manufacture of dairy products</v>
      </c>
      <c r="C29" s="7" t="b">
        <f>ISNUMBER(MATCH(A29, NormalizedMappingTable[nace_level_3_code], 0))</f>
        <v>0</v>
      </c>
      <c r="D29" s="7" t="s">
        <v>114</v>
      </c>
    </row>
    <row r="30" spans="1:4" x14ac:dyDescent="0.4">
      <c r="A30" s="7" t="str">
        <f t="shared" si="0"/>
        <v>10.6</v>
      </c>
      <c r="B30" s="7" t="str">
        <f t="shared" si="1"/>
        <v>Manufacture of grain mill products, starches and starch products</v>
      </c>
      <c r="C30" s="7" t="b">
        <f>ISNUMBER(MATCH(A30, NormalizedMappingTable[nace_level_3_code], 0))</f>
        <v>0</v>
      </c>
      <c r="D30" s="7" t="s">
        <v>115</v>
      </c>
    </row>
    <row r="31" spans="1:4" x14ac:dyDescent="0.4">
      <c r="A31" s="7" t="str">
        <f t="shared" si="0"/>
        <v>10.7</v>
      </c>
      <c r="B31" s="7" t="str">
        <f t="shared" si="1"/>
        <v>Manufacture of bakery and farinaceous products</v>
      </c>
      <c r="C31" s="7" t="b">
        <f>ISNUMBER(MATCH(A31, NormalizedMappingTable[nace_level_3_code], 0))</f>
        <v>0</v>
      </c>
      <c r="D31" s="7" t="s">
        <v>116</v>
      </c>
    </row>
    <row r="32" spans="1:4" x14ac:dyDescent="0.4">
      <c r="A32" s="7" t="str">
        <f t="shared" si="0"/>
        <v>10.8</v>
      </c>
      <c r="B32" s="7" t="str">
        <f t="shared" si="1"/>
        <v>Manufacture of other food products</v>
      </c>
      <c r="C32" s="7" t="b">
        <f>ISNUMBER(MATCH(A32, NormalizedMappingTable[nace_level_3_code], 0))</f>
        <v>0</v>
      </c>
      <c r="D32" s="7" t="s">
        <v>117</v>
      </c>
    </row>
    <row r="33" spans="1:4" x14ac:dyDescent="0.4">
      <c r="A33" s="7" t="str">
        <f t="shared" si="0"/>
        <v>10.9</v>
      </c>
      <c r="B33" s="7" t="str">
        <f t="shared" si="1"/>
        <v>Manufacture of prepared animal feeds</v>
      </c>
      <c r="C33" s="7" t="b">
        <f>ISNUMBER(MATCH(A33, NormalizedMappingTable[nace_level_3_code], 0))</f>
        <v>0</v>
      </c>
      <c r="D33" s="7" t="s">
        <v>118</v>
      </c>
    </row>
    <row r="34" spans="1:4" x14ac:dyDescent="0.4">
      <c r="A34" s="7" t="str">
        <f t="shared" si="0"/>
        <v>11.0</v>
      </c>
      <c r="B34" s="7" t="str">
        <f t="shared" si="1"/>
        <v>Manufacture of beverages</v>
      </c>
      <c r="C34" s="7" t="b">
        <f>ISNUMBER(MATCH(A34, NormalizedMappingTable[nace_level_3_code], 0))</f>
        <v>0</v>
      </c>
      <c r="D34" s="7" t="s">
        <v>119</v>
      </c>
    </row>
    <row r="35" spans="1:4" x14ac:dyDescent="0.4">
      <c r="A35" s="7" t="str">
        <f t="shared" si="0"/>
        <v>12.0</v>
      </c>
      <c r="B35" s="7" t="str">
        <f t="shared" si="1"/>
        <v>Manufacture of tobacco products</v>
      </c>
      <c r="C35" s="7" t="b">
        <f>ISNUMBER(MATCH(A35, NormalizedMappingTable[nace_level_3_code], 0))</f>
        <v>0</v>
      </c>
      <c r="D35" s="7" t="s">
        <v>120</v>
      </c>
    </row>
    <row r="36" spans="1:4" x14ac:dyDescent="0.4">
      <c r="A36" s="7" t="str">
        <f t="shared" si="0"/>
        <v>13.1</v>
      </c>
      <c r="B36" s="7" t="str">
        <f t="shared" si="1"/>
        <v>Preparation and spinning of textile fibres</v>
      </c>
      <c r="C36" s="7" t="b">
        <f>ISNUMBER(MATCH(A36, NormalizedMappingTable[nace_level_3_code], 0))</f>
        <v>0</v>
      </c>
      <c r="D36" s="7" t="s">
        <v>121</v>
      </c>
    </row>
    <row r="37" spans="1:4" x14ac:dyDescent="0.4">
      <c r="A37" s="7" t="str">
        <f t="shared" si="0"/>
        <v>13.2</v>
      </c>
      <c r="B37" s="7" t="str">
        <f t="shared" si="1"/>
        <v>Weaving of textiles</v>
      </c>
      <c r="C37" s="7" t="b">
        <f>ISNUMBER(MATCH(A37, NormalizedMappingTable[nace_level_3_code], 0))</f>
        <v>0</v>
      </c>
      <c r="D37" s="7" t="s">
        <v>122</v>
      </c>
    </row>
    <row r="38" spans="1:4" x14ac:dyDescent="0.4">
      <c r="A38" s="7" t="str">
        <f t="shared" si="0"/>
        <v>13.3</v>
      </c>
      <c r="B38" s="7" t="str">
        <f t="shared" si="1"/>
        <v>Finishing of textiles</v>
      </c>
      <c r="C38" s="7" t="b">
        <f>ISNUMBER(MATCH(A38, NormalizedMappingTable[nace_level_3_code], 0))</f>
        <v>0</v>
      </c>
      <c r="D38" s="7" t="s">
        <v>123</v>
      </c>
    </row>
    <row r="39" spans="1:4" x14ac:dyDescent="0.4">
      <c r="A39" s="7" t="str">
        <f t="shared" si="0"/>
        <v>13.9</v>
      </c>
      <c r="B39" s="7" t="str">
        <f t="shared" si="1"/>
        <v>Manufacture of other textiles</v>
      </c>
      <c r="C39" s="7" t="b">
        <f>ISNUMBER(MATCH(A39, NormalizedMappingTable[nace_level_3_code], 0))</f>
        <v>0</v>
      </c>
      <c r="D39" s="7" t="s">
        <v>124</v>
      </c>
    </row>
    <row r="40" spans="1:4" x14ac:dyDescent="0.4">
      <c r="A40" s="7" t="str">
        <f t="shared" si="0"/>
        <v>14.1</v>
      </c>
      <c r="B40" s="7" t="str">
        <f t="shared" si="1"/>
        <v>Manufacture of wearing apparel, except fur apparel</v>
      </c>
      <c r="C40" s="7" t="b">
        <f>ISNUMBER(MATCH(A40, NormalizedMappingTable[nace_level_3_code], 0))</f>
        <v>0</v>
      </c>
      <c r="D40" s="7" t="s">
        <v>125</v>
      </c>
    </row>
    <row r="41" spans="1:4" x14ac:dyDescent="0.4">
      <c r="A41" s="7" t="str">
        <f t="shared" si="0"/>
        <v>14.2</v>
      </c>
      <c r="B41" s="7" t="str">
        <f t="shared" si="1"/>
        <v>Manufacture of articles of fur</v>
      </c>
      <c r="C41" s="7" t="b">
        <f>ISNUMBER(MATCH(A41, NormalizedMappingTable[nace_level_3_code], 0))</f>
        <v>0</v>
      </c>
      <c r="D41" s="7" t="s">
        <v>126</v>
      </c>
    </row>
    <row r="42" spans="1:4" x14ac:dyDescent="0.4">
      <c r="A42" s="7" t="str">
        <f t="shared" si="0"/>
        <v>14.3</v>
      </c>
      <c r="B42" s="7" t="str">
        <f t="shared" si="1"/>
        <v>Manufacture of knitted and crocheted apparel</v>
      </c>
      <c r="C42" s="7" t="b">
        <f>ISNUMBER(MATCH(A42, NormalizedMappingTable[nace_level_3_code], 0))</f>
        <v>0</v>
      </c>
      <c r="D42" s="7" t="s">
        <v>127</v>
      </c>
    </row>
    <row r="43" spans="1:4" x14ac:dyDescent="0.4">
      <c r="A43" s="7" t="str">
        <f t="shared" si="0"/>
        <v>15.1</v>
      </c>
      <c r="B43" s="7" t="str">
        <f t="shared" si="1"/>
        <v>Tanning and dressing of leather; manufacture of luggage, handbags, saddlery and harness; dressing and dyeing of fur</v>
      </c>
      <c r="C43" s="7" t="b">
        <f>ISNUMBER(MATCH(A43, NormalizedMappingTable[nace_level_3_code], 0))</f>
        <v>0</v>
      </c>
      <c r="D43" s="7" t="s">
        <v>128</v>
      </c>
    </row>
    <row r="44" spans="1:4" x14ac:dyDescent="0.4">
      <c r="A44" s="7" t="str">
        <f t="shared" si="0"/>
        <v>15.2</v>
      </c>
      <c r="B44" s="7" t="str">
        <f t="shared" si="1"/>
        <v>Manufacture of footwear</v>
      </c>
      <c r="C44" s="7" t="b">
        <f>ISNUMBER(MATCH(A44, NormalizedMappingTable[nace_level_3_code], 0))</f>
        <v>0</v>
      </c>
      <c r="D44" s="7" t="s">
        <v>129</v>
      </c>
    </row>
    <row r="45" spans="1:4" x14ac:dyDescent="0.4">
      <c r="A45" s="7" t="str">
        <f t="shared" si="0"/>
        <v>16.1</v>
      </c>
      <c r="B45" s="7" t="str">
        <f t="shared" si="1"/>
        <v>Sawmilling and planing of wood</v>
      </c>
      <c r="C45" s="7" t="b">
        <f>ISNUMBER(MATCH(A45, NormalizedMappingTable[nace_level_3_code], 0))</f>
        <v>0</v>
      </c>
      <c r="D45" s="7" t="s">
        <v>130</v>
      </c>
    </row>
    <row r="46" spans="1:4" x14ac:dyDescent="0.4">
      <c r="A46" s="7" t="str">
        <f t="shared" si="0"/>
        <v>16.2</v>
      </c>
      <c r="B46" s="7" t="str">
        <f t="shared" si="1"/>
        <v>Manufacture of products of wood, cork, straw and plaiting materials</v>
      </c>
      <c r="C46" s="7" t="b">
        <f>ISNUMBER(MATCH(A46, NormalizedMappingTable[nace_level_3_code], 0))</f>
        <v>0</v>
      </c>
      <c r="D46" s="7" t="s">
        <v>131</v>
      </c>
    </row>
    <row r="47" spans="1:4" x14ac:dyDescent="0.4">
      <c r="A47" s="7" t="str">
        <f t="shared" si="0"/>
        <v>17.1</v>
      </c>
      <c r="B47" s="7" t="str">
        <f t="shared" si="1"/>
        <v>Manufacture of pulp, paper and paperboard</v>
      </c>
      <c r="C47" s="7" t="b">
        <f>ISNUMBER(MATCH(A47, NormalizedMappingTable[nace_level_3_code], 0))</f>
        <v>1</v>
      </c>
      <c r="D47" s="7" t="s">
        <v>132</v>
      </c>
    </row>
    <row r="48" spans="1:4" x14ac:dyDescent="0.4">
      <c r="A48" s="7" t="str">
        <f t="shared" si="0"/>
        <v>17.2</v>
      </c>
      <c r="B48" s="7" t="str">
        <f t="shared" si="1"/>
        <v>Manufacture of articles of paper and paperboard</v>
      </c>
      <c r="C48" s="7" t="b">
        <f>ISNUMBER(MATCH(A48, NormalizedMappingTable[nace_level_3_code], 0))</f>
        <v>1</v>
      </c>
      <c r="D48" s="7" t="s">
        <v>133</v>
      </c>
    </row>
    <row r="49" spans="1:4" x14ac:dyDescent="0.4">
      <c r="A49" s="7" t="str">
        <f t="shared" si="0"/>
        <v>18.1</v>
      </c>
      <c r="B49" s="7" t="str">
        <f t="shared" si="1"/>
        <v>Printing and service activities related to printing</v>
      </c>
      <c r="C49" s="7" t="b">
        <f>ISNUMBER(MATCH(A49, NormalizedMappingTable[nace_level_3_code], 0))</f>
        <v>0</v>
      </c>
      <c r="D49" s="7" t="s">
        <v>134</v>
      </c>
    </row>
    <row r="50" spans="1:4" x14ac:dyDescent="0.4">
      <c r="A50" s="7" t="str">
        <f t="shared" si="0"/>
        <v>18.2</v>
      </c>
      <c r="B50" s="7" t="str">
        <f t="shared" si="1"/>
        <v>Reproduction of recorded media</v>
      </c>
      <c r="C50" s="7" t="b">
        <f>ISNUMBER(MATCH(A50, NormalizedMappingTable[nace_level_3_code], 0))</f>
        <v>0</v>
      </c>
      <c r="D50" s="7" t="s">
        <v>135</v>
      </c>
    </row>
    <row r="51" spans="1:4" x14ac:dyDescent="0.4">
      <c r="A51" s="7" t="str">
        <f t="shared" si="0"/>
        <v>19.1</v>
      </c>
      <c r="B51" s="7" t="str">
        <f t="shared" si="1"/>
        <v>Manufacture of coke oven products</v>
      </c>
      <c r="C51" s="7" t="b">
        <f>ISNUMBER(MATCH(A51, NormalizedMappingTable[nace_level_3_code], 0))</f>
        <v>1</v>
      </c>
      <c r="D51" s="7" t="s">
        <v>136</v>
      </c>
    </row>
    <row r="52" spans="1:4" x14ac:dyDescent="0.4">
      <c r="A52" s="7" t="str">
        <f t="shared" si="0"/>
        <v>19.2</v>
      </c>
      <c r="B52" s="7" t="str">
        <f t="shared" si="1"/>
        <v>Manufacture of refined petroleum products</v>
      </c>
      <c r="C52" s="7" t="b">
        <f>ISNUMBER(MATCH(A52, NormalizedMappingTable[nace_level_3_code], 0))</f>
        <v>1</v>
      </c>
      <c r="D52" s="7" t="s">
        <v>137</v>
      </c>
    </row>
    <row r="53" spans="1:4" x14ac:dyDescent="0.4">
      <c r="A53" s="7" t="str">
        <f t="shared" si="0"/>
        <v>20.1</v>
      </c>
      <c r="B53" s="7" t="str">
        <f t="shared" si="1"/>
        <v>Manufacture of basic chemicals, fertilisers and nitrogen compounds, plastics and synthetic rubber in primary forms</v>
      </c>
      <c r="C53" s="7" t="b">
        <f>ISNUMBER(MATCH(A53, NormalizedMappingTable[nace_level_3_code], 0))</f>
        <v>1</v>
      </c>
      <c r="D53" s="7" t="s">
        <v>138</v>
      </c>
    </row>
    <row r="54" spans="1:4" x14ac:dyDescent="0.4">
      <c r="A54" s="7" t="str">
        <f t="shared" si="0"/>
        <v>20.2</v>
      </c>
      <c r="B54" s="7" t="str">
        <f t="shared" si="1"/>
        <v>Manufacture of pesticides and other agrochemical products</v>
      </c>
      <c r="C54" s="7" t="b">
        <f>ISNUMBER(MATCH(A54, NormalizedMappingTable[nace_level_3_code], 0))</f>
        <v>0</v>
      </c>
      <c r="D54" s="7" t="s">
        <v>139</v>
      </c>
    </row>
    <row r="55" spans="1:4" x14ac:dyDescent="0.4">
      <c r="A55" s="7" t="str">
        <f t="shared" si="0"/>
        <v>20.3</v>
      </c>
      <c r="B55" s="7" t="str">
        <f t="shared" si="1"/>
        <v>Manufacture of paints, varnishes and similar coatings, printing ink and mastics</v>
      </c>
      <c r="C55" s="7" t="b">
        <f>ISNUMBER(MATCH(A55, NormalizedMappingTable[nace_level_3_code], 0))</f>
        <v>0</v>
      </c>
      <c r="D55" s="7" t="s">
        <v>140</v>
      </c>
    </row>
    <row r="56" spans="1:4" x14ac:dyDescent="0.4">
      <c r="A56" s="7" t="str">
        <f t="shared" si="0"/>
        <v>20.4</v>
      </c>
      <c r="B56" s="7" t="str">
        <f t="shared" si="1"/>
        <v>Manufacture of soap and detergents, cleaning and polishing preparations, perfumes and toilet preparations</v>
      </c>
      <c r="C56" s="7" t="b">
        <f>ISNUMBER(MATCH(A56, NormalizedMappingTable[nace_level_3_code], 0))</f>
        <v>0</v>
      </c>
      <c r="D56" s="7" t="s">
        <v>141</v>
      </c>
    </row>
    <row r="57" spans="1:4" x14ac:dyDescent="0.4">
      <c r="A57" s="7" t="str">
        <f t="shared" si="0"/>
        <v>20.5</v>
      </c>
      <c r="B57" s="7" t="str">
        <f t="shared" si="1"/>
        <v>Manufacture of other chemical products</v>
      </c>
      <c r="C57" s="7" t="b">
        <f>ISNUMBER(MATCH(A57, NormalizedMappingTable[nace_level_3_code], 0))</f>
        <v>0</v>
      </c>
      <c r="D57" s="7" t="s">
        <v>142</v>
      </c>
    </row>
    <row r="58" spans="1:4" x14ac:dyDescent="0.4">
      <c r="A58" s="7" t="str">
        <f t="shared" si="0"/>
        <v>20.6</v>
      </c>
      <c r="B58" s="7" t="str">
        <f t="shared" si="1"/>
        <v>Manufacture of man-made fibres</v>
      </c>
      <c r="C58" s="7" t="b">
        <f>ISNUMBER(MATCH(A58, NormalizedMappingTable[nace_level_3_code], 0))</f>
        <v>0</v>
      </c>
      <c r="D58" s="7" t="s">
        <v>143</v>
      </c>
    </row>
    <row r="59" spans="1:4" x14ac:dyDescent="0.4">
      <c r="A59" s="7" t="str">
        <f t="shared" si="0"/>
        <v>21.1</v>
      </c>
      <c r="B59" s="7" t="str">
        <f t="shared" si="1"/>
        <v>Manufacture of basic pharmaceutical products</v>
      </c>
      <c r="C59" s="7" t="b">
        <f>ISNUMBER(MATCH(A59, NormalizedMappingTable[nace_level_3_code], 0))</f>
        <v>0</v>
      </c>
      <c r="D59" s="7" t="s">
        <v>144</v>
      </c>
    </row>
    <row r="60" spans="1:4" x14ac:dyDescent="0.4">
      <c r="A60" s="7" t="str">
        <f t="shared" si="0"/>
        <v>21.2</v>
      </c>
      <c r="B60" s="7" t="str">
        <f t="shared" si="1"/>
        <v>Manufacture of pharmaceutical preparations</v>
      </c>
      <c r="C60" s="7" t="b">
        <f>ISNUMBER(MATCH(A60, NormalizedMappingTable[nace_level_3_code], 0))</f>
        <v>0</v>
      </c>
      <c r="D60" s="7" t="s">
        <v>145</v>
      </c>
    </row>
    <row r="61" spans="1:4" x14ac:dyDescent="0.4">
      <c r="A61" s="7" t="str">
        <f t="shared" si="0"/>
        <v>22.1</v>
      </c>
      <c r="B61" s="7" t="str">
        <f t="shared" si="1"/>
        <v>Manufacture of rubber products</v>
      </c>
      <c r="C61" s="7" t="b">
        <f>ISNUMBER(MATCH(A61, NormalizedMappingTable[nace_level_3_code], 0))</f>
        <v>0</v>
      </c>
      <c r="D61" s="7" t="s">
        <v>146</v>
      </c>
    </row>
    <row r="62" spans="1:4" x14ac:dyDescent="0.4">
      <c r="A62" s="7" t="str">
        <f t="shared" si="0"/>
        <v>22.2</v>
      </c>
      <c r="B62" s="7" t="str">
        <f t="shared" si="1"/>
        <v>Manufacture of plastic products</v>
      </c>
      <c r="C62" s="7" t="b">
        <f>ISNUMBER(MATCH(A62, NormalizedMappingTable[nace_level_3_code], 0))</f>
        <v>0</v>
      </c>
      <c r="D62" s="7" t="s">
        <v>147</v>
      </c>
    </row>
    <row r="63" spans="1:4" x14ac:dyDescent="0.4">
      <c r="A63" s="7" t="str">
        <f t="shared" si="0"/>
        <v>23.1</v>
      </c>
      <c r="B63" s="7" t="str">
        <f t="shared" si="1"/>
        <v>Manufacture of glass and glass products</v>
      </c>
      <c r="C63" s="7" t="b">
        <f>ISNUMBER(MATCH(A63, NormalizedMappingTable[nace_level_3_code], 0))</f>
        <v>1</v>
      </c>
      <c r="D63" s="7" t="s">
        <v>148</v>
      </c>
    </row>
    <row r="64" spans="1:4" x14ac:dyDescent="0.4">
      <c r="A64" s="7" t="str">
        <f t="shared" si="0"/>
        <v>23.2</v>
      </c>
      <c r="B64" s="7" t="str">
        <f t="shared" si="1"/>
        <v>Manufacture of refractory products</v>
      </c>
      <c r="C64" s="7" t="b">
        <f>ISNUMBER(MATCH(A64, NormalizedMappingTable[nace_level_3_code], 0))</f>
        <v>1</v>
      </c>
      <c r="D64" s="7" t="s">
        <v>149</v>
      </c>
    </row>
    <row r="65" spans="1:4" x14ac:dyDescent="0.4">
      <c r="A65" s="7" t="str">
        <f t="shared" si="0"/>
        <v>23.3</v>
      </c>
      <c r="B65" s="7" t="str">
        <f t="shared" si="1"/>
        <v>Manufacture of clay building materials</v>
      </c>
      <c r="C65" s="7" t="b">
        <f>ISNUMBER(MATCH(A65, NormalizedMappingTable[nace_level_3_code], 0))</f>
        <v>1</v>
      </c>
      <c r="D65" s="7" t="s">
        <v>150</v>
      </c>
    </row>
    <row r="66" spans="1:4" x14ac:dyDescent="0.4">
      <c r="A66" s="7" t="str">
        <f t="shared" ref="A66:A129" si="2">LEFT(D66,4)</f>
        <v>23.4</v>
      </c>
      <c r="B66" s="7" t="str">
        <f t="shared" si="1"/>
        <v>Manufacture of other porcelain and ceramic products</v>
      </c>
      <c r="C66" s="7" t="b">
        <f>ISNUMBER(MATCH(A66, NormalizedMappingTable[nace_level_3_code], 0))</f>
        <v>1</v>
      </c>
      <c r="D66" s="7" t="s">
        <v>151</v>
      </c>
    </row>
    <row r="67" spans="1:4" x14ac:dyDescent="0.4">
      <c r="A67" s="7" t="str">
        <f t="shared" si="2"/>
        <v>23.5</v>
      </c>
      <c r="B67" s="7" t="str">
        <f t="shared" ref="B67:B130" si="3">SUBSTITUTE(SUBSTITUTE(D67,A67&amp;" ",""),RIGHT(D67,5),"")</f>
        <v>Manufacture of cement, lime and plaster</v>
      </c>
      <c r="C67" s="7" t="b">
        <f>ISNUMBER(MATCH(A67, NormalizedMappingTable[nace_level_3_code], 0))</f>
        <v>1</v>
      </c>
      <c r="D67" s="7" t="s">
        <v>152</v>
      </c>
    </row>
    <row r="68" spans="1:4" x14ac:dyDescent="0.4">
      <c r="A68" s="7" t="str">
        <f t="shared" si="2"/>
        <v>23.6</v>
      </c>
      <c r="B68" s="7" t="str">
        <f t="shared" si="3"/>
        <v>Manufacture of articles of concrete, cement and plaster</v>
      </c>
      <c r="C68" s="7" t="b">
        <f>ISNUMBER(MATCH(A68, NormalizedMappingTable[nace_level_3_code], 0))</f>
        <v>1</v>
      </c>
      <c r="D68" s="7" t="s">
        <v>153</v>
      </c>
    </row>
    <row r="69" spans="1:4" x14ac:dyDescent="0.4">
      <c r="A69" s="7" t="str">
        <f t="shared" si="2"/>
        <v>23.7</v>
      </c>
      <c r="B69" s="7" t="str">
        <f t="shared" si="3"/>
        <v>Cutting, shaping and finishing of stone</v>
      </c>
      <c r="C69" s="7" t="b">
        <f>ISNUMBER(MATCH(A69, NormalizedMappingTable[nace_level_3_code], 0))</f>
        <v>0</v>
      </c>
      <c r="D69" s="7" t="s">
        <v>154</v>
      </c>
    </row>
    <row r="70" spans="1:4" x14ac:dyDescent="0.4">
      <c r="A70" s="7" t="str">
        <f t="shared" si="2"/>
        <v>23.9</v>
      </c>
      <c r="B70" s="7" t="str">
        <f t="shared" si="3"/>
        <v>Manufacture of abrasive products and non-metallic mineral products n.e.c.</v>
      </c>
      <c r="C70" s="7" t="b">
        <f>ISNUMBER(MATCH(A70, NormalizedMappingTable[nace_level_3_code], 0))</f>
        <v>1</v>
      </c>
      <c r="D70" s="7" t="s">
        <v>155</v>
      </c>
    </row>
    <row r="71" spans="1:4" x14ac:dyDescent="0.4">
      <c r="A71" s="7" t="str">
        <f t="shared" si="2"/>
        <v>24.1</v>
      </c>
      <c r="B71" s="7" t="str">
        <f t="shared" si="3"/>
        <v>Manufacture of basic iron and steel and of ferro-alloys</v>
      </c>
      <c r="C71" s="7" t="b">
        <f>ISNUMBER(MATCH(A71, NormalizedMappingTable[nace_level_3_code], 0))</f>
        <v>1</v>
      </c>
      <c r="D71" s="7" t="s">
        <v>156</v>
      </c>
    </row>
    <row r="72" spans="1:4" x14ac:dyDescent="0.4">
      <c r="A72" s="7" t="str">
        <f t="shared" si="2"/>
        <v>24.2</v>
      </c>
      <c r="B72" s="7" t="str">
        <f t="shared" si="3"/>
        <v>Manufacture of tubes, pipes, hollow profiles and related fittings, of steel</v>
      </c>
      <c r="C72" s="7" t="b">
        <f>ISNUMBER(MATCH(A72, NormalizedMappingTable[nace_level_3_code], 0))</f>
        <v>1</v>
      </c>
      <c r="D72" s="7" t="s">
        <v>157</v>
      </c>
    </row>
    <row r="73" spans="1:4" x14ac:dyDescent="0.4">
      <c r="A73" s="7" t="str">
        <f t="shared" si="2"/>
        <v>24.3</v>
      </c>
      <c r="B73" s="7" t="str">
        <f t="shared" si="3"/>
        <v>Manufacture of other products of first processing of steel</v>
      </c>
      <c r="C73" s="7" t="b">
        <f>ISNUMBER(MATCH(A73, NormalizedMappingTable[nace_level_3_code], 0))</f>
        <v>1</v>
      </c>
      <c r="D73" s="7" t="s">
        <v>158</v>
      </c>
    </row>
    <row r="74" spans="1:4" x14ac:dyDescent="0.4">
      <c r="A74" s="7" t="str">
        <f t="shared" si="2"/>
        <v>24.4</v>
      </c>
      <c r="B74" s="7" t="str">
        <f t="shared" si="3"/>
        <v>Manufacture of basic precious and other non-ferrous metals</v>
      </c>
      <c r="C74" s="7" t="b">
        <f>ISNUMBER(MATCH(A74, NormalizedMappingTable[nace_level_3_code], 0))</f>
        <v>1</v>
      </c>
      <c r="D74" s="7" t="s">
        <v>159</v>
      </c>
    </row>
    <row r="75" spans="1:4" x14ac:dyDescent="0.4">
      <c r="A75" s="7" t="str">
        <f t="shared" si="2"/>
        <v>24.5</v>
      </c>
      <c r="B75" s="7" t="str">
        <f t="shared" si="3"/>
        <v>Casting of metals</v>
      </c>
      <c r="C75" s="7" t="b">
        <f>ISNUMBER(MATCH(A75, NormalizedMappingTable[nace_level_3_code], 0))</f>
        <v>0</v>
      </c>
      <c r="D75" s="7" t="s">
        <v>160</v>
      </c>
    </row>
    <row r="76" spans="1:4" x14ac:dyDescent="0.4">
      <c r="A76" s="7" t="str">
        <f t="shared" si="2"/>
        <v>25.1</v>
      </c>
      <c r="B76" s="7" t="str">
        <f t="shared" si="3"/>
        <v>Manufacture of structural metal products</v>
      </c>
      <c r="C76" s="7" t="b">
        <f>ISNUMBER(MATCH(A76, NormalizedMappingTable[nace_level_3_code], 0))</f>
        <v>0</v>
      </c>
      <c r="D76" s="7" t="s">
        <v>161</v>
      </c>
    </row>
    <row r="77" spans="1:4" x14ac:dyDescent="0.4">
      <c r="A77" s="7" t="str">
        <f t="shared" si="2"/>
        <v>25.2</v>
      </c>
      <c r="B77" s="7" t="str">
        <f t="shared" si="3"/>
        <v>Manufacture of tanks, reservoirs and containers of metal</v>
      </c>
      <c r="C77" s="7" t="b">
        <f>ISNUMBER(MATCH(A77, NormalizedMappingTable[nace_level_3_code], 0))</f>
        <v>0</v>
      </c>
      <c r="D77" s="7" t="s">
        <v>162</v>
      </c>
    </row>
    <row r="78" spans="1:4" x14ac:dyDescent="0.4">
      <c r="A78" s="7" t="str">
        <f t="shared" si="2"/>
        <v>25.3</v>
      </c>
      <c r="B78" s="7" t="str">
        <f t="shared" si="3"/>
        <v>Manufacture of steam generators, except central heating hot water boilers</v>
      </c>
      <c r="C78" s="7" t="b">
        <f>ISNUMBER(MATCH(A78, NormalizedMappingTable[nace_level_3_code], 0))</f>
        <v>0</v>
      </c>
      <c r="D78" s="7" t="s">
        <v>163</v>
      </c>
    </row>
    <row r="79" spans="1:4" x14ac:dyDescent="0.4">
      <c r="A79" s="7" t="str">
        <f t="shared" si="2"/>
        <v>25.4</v>
      </c>
      <c r="B79" s="7" t="str">
        <f t="shared" si="3"/>
        <v>Manufacture of weapons and ammunition</v>
      </c>
      <c r="C79" s="7" t="b">
        <f>ISNUMBER(MATCH(A79, NormalizedMappingTable[nace_level_3_code], 0))</f>
        <v>0</v>
      </c>
      <c r="D79" s="7" t="s">
        <v>164</v>
      </c>
    </row>
    <row r="80" spans="1:4" x14ac:dyDescent="0.4">
      <c r="A80" s="7" t="str">
        <f t="shared" si="2"/>
        <v>25.5</v>
      </c>
      <c r="B80" s="7" t="str">
        <f t="shared" si="3"/>
        <v>Forging, pressing, stamping and roll-forming of metal; powder metallurgy</v>
      </c>
      <c r="C80" s="7" t="b">
        <f>ISNUMBER(MATCH(A80, NormalizedMappingTable[nace_level_3_code], 0))</f>
        <v>0</v>
      </c>
      <c r="D80" s="7" t="s">
        <v>165</v>
      </c>
    </row>
    <row r="81" spans="1:4" x14ac:dyDescent="0.4">
      <c r="A81" s="7" t="str">
        <f t="shared" si="2"/>
        <v>25.6</v>
      </c>
      <c r="B81" s="7" t="str">
        <f t="shared" si="3"/>
        <v>Treatment and coating of metals; machining</v>
      </c>
      <c r="C81" s="7" t="b">
        <f>ISNUMBER(MATCH(A81, NormalizedMappingTable[nace_level_3_code], 0))</f>
        <v>0</v>
      </c>
      <c r="D81" s="7" t="s">
        <v>166</v>
      </c>
    </row>
    <row r="82" spans="1:4" x14ac:dyDescent="0.4">
      <c r="A82" s="7" t="str">
        <f t="shared" si="2"/>
        <v>25.7</v>
      </c>
      <c r="B82" s="7" t="str">
        <f t="shared" si="3"/>
        <v>Manufacture of cutlery, tools and general hardware</v>
      </c>
      <c r="C82" s="7" t="b">
        <f>ISNUMBER(MATCH(A82, NormalizedMappingTable[nace_level_3_code], 0))</f>
        <v>0</v>
      </c>
      <c r="D82" s="7" t="s">
        <v>167</v>
      </c>
    </row>
    <row r="83" spans="1:4" x14ac:dyDescent="0.4">
      <c r="A83" s="7" t="str">
        <f t="shared" si="2"/>
        <v>25.9</v>
      </c>
      <c r="B83" s="7" t="str">
        <f t="shared" si="3"/>
        <v>Manufacture of other fabricated metal products</v>
      </c>
      <c r="C83" s="7" t="b">
        <f>ISNUMBER(MATCH(A83, NormalizedMappingTable[nace_level_3_code], 0))</f>
        <v>0</v>
      </c>
      <c r="D83" s="7" t="s">
        <v>168</v>
      </c>
    </row>
    <row r="84" spans="1:4" x14ac:dyDescent="0.4">
      <c r="A84" s="7" t="str">
        <f t="shared" si="2"/>
        <v>26.1</v>
      </c>
      <c r="B84" s="7" t="str">
        <f t="shared" si="3"/>
        <v>Manufacture of electronic components and boards</v>
      </c>
      <c r="C84" s="7" t="b">
        <f>ISNUMBER(MATCH(A84, NormalizedMappingTable[nace_level_3_code], 0))</f>
        <v>0</v>
      </c>
      <c r="D84" s="7" t="s">
        <v>169</v>
      </c>
    </row>
    <row r="85" spans="1:4" x14ac:dyDescent="0.4">
      <c r="A85" s="7" t="str">
        <f t="shared" si="2"/>
        <v>26.2</v>
      </c>
      <c r="B85" s="7" t="str">
        <f t="shared" si="3"/>
        <v>Manufacture of computers and peripheral equipment</v>
      </c>
      <c r="C85" s="7" t="b">
        <f>ISNUMBER(MATCH(A85, NormalizedMappingTable[nace_level_3_code], 0))</f>
        <v>0</v>
      </c>
      <c r="D85" s="7" t="s">
        <v>170</v>
      </c>
    </row>
    <row r="86" spans="1:4" x14ac:dyDescent="0.4">
      <c r="A86" s="7" t="str">
        <f t="shared" si="2"/>
        <v>26.3</v>
      </c>
      <c r="B86" s="7" t="str">
        <f t="shared" si="3"/>
        <v>Manufacture of communication equipment</v>
      </c>
      <c r="C86" s="7" t="b">
        <f>ISNUMBER(MATCH(A86, NormalizedMappingTable[nace_level_3_code], 0))</f>
        <v>0</v>
      </c>
      <c r="D86" s="7" t="s">
        <v>171</v>
      </c>
    </row>
    <row r="87" spans="1:4" x14ac:dyDescent="0.4">
      <c r="A87" s="7" t="str">
        <f t="shared" si="2"/>
        <v>26.4</v>
      </c>
      <c r="B87" s="7" t="str">
        <f t="shared" si="3"/>
        <v>Manufacture of consumer electronics</v>
      </c>
      <c r="C87" s="7" t="b">
        <f>ISNUMBER(MATCH(A87, NormalizedMappingTable[nace_level_3_code], 0))</f>
        <v>0</v>
      </c>
      <c r="D87" s="7" t="s">
        <v>172</v>
      </c>
    </row>
    <row r="88" spans="1:4" x14ac:dyDescent="0.4">
      <c r="A88" s="7" t="str">
        <f t="shared" si="2"/>
        <v>26.5</v>
      </c>
      <c r="B88" s="7" t="str">
        <f t="shared" si="3"/>
        <v>Manufacture of instruments and appliances for measuring, testing and navigation; watches and clocks</v>
      </c>
      <c r="C88" s="7" t="b">
        <f>ISNUMBER(MATCH(A88, NormalizedMappingTable[nace_level_3_code], 0))</f>
        <v>0</v>
      </c>
      <c r="D88" s="7" t="s">
        <v>173</v>
      </c>
    </row>
    <row r="89" spans="1:4" x14ac:dyDescent="0.4">
      <c r="A89" s="7" t="str">
        <f t="shared" si="2"/>
        <v>26.6</v>
      </c>
      <c r="B89" s="7" t="str">
        <f t="shared" si="3"/>
        <v>Manufacture of irradiation, electromedical and electrotherapeutic equipment</v>
      </c>
      <c r="C89" s="7" t="b">
        <f>ISNUMBER(MATCH(A89, NormalizedMappingTable[nace_level_3_code], 0))</f>
        <v>0</v>
      </c>
      <c r="D89" s="7" t="s">
        <v>174</v>
      </c>
    </row>
    <row r="90" spans="1:4" x14ac:dyDescent="0.4">
      <c r="A90" s="7" t="str">
        <f t="shared" si="2"/>
        <v>26.7</v>
      </c>
      <c r="B90" s="7" t="str">
        <f t="shared" si="3"/>
        <v>Manufacture of optical instruments and photographic equipment</v>
      </c>
      <c r="C90" s="7" t="b">
        <f>ISNUMBER(MATCH(A90, NormalizedMappingTable[nace_level_3_code], 0))</f>
        <v>0</v>
      </c>
      <c r="D90" s="7" t="s">
        <v>175</v>
      </c>
    </row>
    <row r="91" spans="1:4" x14ac:dyDescent="0.4">
      <c r="A91" s="7" t="str">
        <f t="shared" si="2"/>
        <v>26.8</v>
      </c>
      <c r="B91" s="7" t="str">
        <f t="shared" si="3"/>
        <v>Manufacture of magnetic and optical media</v>
      </c>
      <c r="C91" s="7" t="b">
        <f>ISNUMBER(MATCH(A91, NormalizedMappingTable[nace_level_3_code], 0))</f>
        <v>0</v>
      </c>
      <c r="D91" s="7" t="s">
        <v>176</v>
      </c>
    </row>
    <row r="92" spans="1:4" x14ac:dyDescent="0.4">
      <c r="A92" s="7" t="str">
        <f t="shared" si="2"/>
        <v>27.1</v>
      </c>
      <c r="B92" s="7" t="str">
        <f t="shared" si="3"/>
        <v>Manufacture of electric motors, generators, transformers and electricity distribution and control apparatus</v>
      </c>
      <c r="C92" s="7" t="b">
        <f>ISNUMBER(MATCH(A92, NormalizedMappingTable[nace_level_3_code], 0))</f>
        <v>0</v>
      </c>
      <c r="D92" s="7" t="s">
        <v>177</v>
      </c>
    </row>
    <row r="93" spans="1:4" x14ac:dyDescent="0.4">
      <c r="A93" s="7" t="str">
        <f t="shared" si="2"/>
        <v>27.2</v>
      </c>
      <c r="B93" s="7" t="str">
        <f t="shared" si="3"/>
        <v>Manufacture of batteries and accumulators</v>
      </c>
      <c r="C93" s="7" t="b">
        <f>ISNUMBER(MATCH(A93, NormalizedMappingTable[nace_level_3_code], 0))</f>
        <v>0</v>
      </c>
      <c r="D93" s="7" t="s">
        <v>178</v>
      </c>
    </row>
    <row r="94" spans="1:4" x14ac:dyDescent="0.4">
      <c r="A94" s="7" t="str">
        <f t="shared" si="2"/>
        <v>27.3</v>
      </c>
      <c r="B94" s="7" t="str">
        <f t="shared" si="3"/>
        <v>Manufacture of wiring and wiring devices</v>
      </c>
      <c r="C94" s="7" t="b">
        <f>ISNUMBER(MATCH(A94, NormalizedMappingTable[nace_level_3_code], 0))</f>
        <v>0</v>
      </c>
      <c r="D94" s="7" t="s">
        <v>179</v>
      </c>
    </row>
    <row r="95" spans="1:4" x14ac:dyDescent="0.4">
      <c r="A95" s="7" t="str">
        <f t="shared" si="2"/>
        <v>27.4</v>
      </c>
      <c r="B95" s="7" t="str">
        <f t="shared" si="3"/>
        <v>Manufacture of electric lighting equipment</v>
      </c>
      <c r="C95" s="7" t="b">
        <f>ISNUMBER(MATCH(A95, NormalizedMappingTable[nace_level_3_code], 0))</f>
        <v>0</v>
      </c>
      <c r="D95" s="7" t="s">
        <v>180</v>
      </c>
    </row>
    <row r="96" spans="1:4" x14ac:dyDescent="0.4">
      <c r="A96" s="7" t="str">
        <f t="shared" si="2"/>
        <v>27.5</v>
      </c>
      <c r="B96" s="7" t="str">
        <f t="shared" si="3"/>
        <v>Manufacture of domestic appliances</v>
      </c>
      <c r="C96" s="7" t="b">
        <f>ISNUMBER(MATCH(A96, NormalizedMappingTable[nace_level_3_code], 0))</f>
        <v>0</v>
      </c>
      <c r="D96" s="7" t="s">
        <v>181</v>
      </c>
    </row>
    <row r="97" spans="1:4" x14ac:dyDescent="0.4">
      <c r="A97" s="7" t="str">
        <f t="shared" si="2"/>
        <v>27.9</v>
      </c>
      <c r="B97" s="7" t="str">
        <f t="shared" si="3"/>
        <v>Manufacture of other electrical equipment</v>
      </c>
      <c r="C97" s="7" t="b">
        <f>ISNUMBER(MATCH(A97, NormalizedMappingTable[nace_level_3_code], 0))</f>
        <v>0</v>
      </c>
      <c r="D97" s="7" t="s">
        <v>182</v>
      </c>
    </row>
    <row r="98" spans="1:4" x14ac:dyDescent="0.4">
      <c r="A98" s="7" t="str">
        <f t="shared" si="2"/>
        <v>28.1</v>
      </c>
      <c r="B98" s="7" t="str">
        <f t="shared" si="3"/>
        <v>Manufacture of general-purpose machinery</v>
      </c>
      <c r="C98" s="7" t="b">
        <f>ISNUMBER(MATCH(A98, NormalizedMappingTable[nace_level_3_code], 0))</f>
        <v>0</v>
      </c>
      <c r="D98" s="7" t="s">
        <v>183</v>
      </c>
    </row>
    <row r="99" spans="1:4" x14ac:dyDescent="0.4">
      <c r="A99" s="7" t="str">
        <f t="shared" si="2"/>
        <v>28.2</v>
      </c>
      <c r="B99" s="7" t="str">
        <f t="shared" si="3"/>
        <v>Manufacture of other general-purpose machinery</v>
      </c>
      <c r="C99" s="7" t="b">
        <f>ISNUMBER(MATCH(A99, NormalizedMappingTable[nace_level_3_code], 0))</f>
        <v>0</v>
      </c>
      <c r="D99" s="7" t="s">
        <v>184</v>
      </c>
    </row>
    <row r="100" spans="1:4" x14ac:dyDescent="0.4">
      <c r="A100" s="7" t="str">
        <f t="shared" si="2"/>
        <v>28.3</v>
      </c>
      <c r="B100" s="7" t="str">
        <f t="shared" si="3"/>
        <v>Manufacture of agricultural and forestry machinery</v>
      </c>
      <c r="C100" s="7" t="b">
        <f>ISNUMBER(MATCH(A100, NormalizedMappingTable[nace_level_3_code], 0))</f>
        <v>0</v>
      </c>
      <c r="D100" s="7" t="s">
        <v>185</v>
      </c>
    </row>
    <row r="101" spans="1:4" x14ac:dyDescent="0.4">
      <c r="A101" s="7" t="str">
        <f t="shared" si="2"/>
        <v>28.4</v>
      </c>
      <c r="B101" s="7" t="str">
        <f t="shared" si="3"/>
        <v>Manufacture of metal forming machinery and machine tools</v>
      </c>
      <c r="C101" s="7" t="b">
        <f>ISNUMBER(MATCH(A101, NormalizedMappingTable[nace_level_3_code], 0))</f>
        <v>0</v>
      </c>
      <c r="D101" s="7" t="s">
        <v>186</v>
      </c>
    </row>
    <row r="102" spans="1:4" x14ac:dyDescent="0.4">
      <c r="A102" s="7" t="str">
        <f t="shared" si="2"/>
        <v>28.9</v>
      </c>
      <c r="B102" s="7" t="str">
        <f t="shared" si="3"/>
        <v>Manufacture of other special-purpose machinery</v>
      </c>
      <c r="C102" s="7" t="b">
        <f>ISNUMBER(MATCH(A102, NormalizedMappingTable[nace_level_3_code], 0))</f>
        <v>0</v>
      </c>
      <c r="D102" s="7" t="s">
        <v>187</v>
      </c>
    </row>
    <row r="103" spans="1:4" x14ac:dyDescent="0.4">
      <c r="A103" s="7" t="str">
        <f t="shared" si="2"/>
        <v>29.1</v>
      </c>
      <c r="B103" s="7" t="str">
        <f t="shared" si="3"/>
        <v>Manufacture of motor vehicles</v>
      </c>
      <c r="C103" s="7" t="b">
        <f>ISNUMBER(MATCH(A103, NormalizedMappingTable[nace_level_3_code], 0))</f>
        <v>0</v>
      </c>
      <c r="D103" s="7" t="s">
        <v>188</v>
      </c>
    </row>
    <row r="104" spans="1:4" x14ac:dyDescent="0.4">
      <c r="A104" s="7" t="str">
        <f t="shared" si="2"/>
        <v>29.2</v>
      </c>
      <c r="B104" s="7" t="str">
        <f t="shared" si="3"/>
        <v>Manufacture of bodies (coachwork) for motor vehicles; manufacture of trailers and semi-trailers</v>
      </c>
      <c r="C104" s="7" t="b">
        <f>ISNUMBER(MATCH(A104, NormalizedMappingTable[nace_level_3_code], 0))</f>
        <v>0</v>
      </c>
      <c r="D104" s="7" t="s">
        <v>189</v>
      </c>
    </row>
    <row r="105" spans="1:4" x14ac:dyDescent="0.4">
      <c r="A105" s="7" t="str">
        <f t="shared" si="2"/>
        <v>29.3</v>
      </c>
      <c r="B105" s="7" t="str">
        <f t="shared" si="3"/>
        <v>Manufacture of parts and accessories for motor vehicles</v>
      </c>
      <c r="C105" s="7" t="b">
        <f>ISNUMBER(MATCH(A105, NormalizedMappingTable[nace_level_3_code], 0))</f>
        <v>0</v>
      </c>
      <c r="D105" s="7" t="s">
        <v>190</v>
      </c>
    </row>
    <row r="106" spans="1:4" x14ac:dyDescent="0.4">
      <c r="A106" s="7" t="str">
        <f t="shared" si="2"/>
        <v>30.1</v>
      </c>
      <c r="B106" s="7" t="str">
        <f t="shared" si="3"/>
        <v>Building of ships and boats</v>
      </c>
      <c r="C106" s="7" t="b">
        <f>ISNUMBER(MATCH(A106, NormalizedMappingTable[nace_level_3_code], 0))</f>
        <v>0</v>
      </c>
      <c r="D106" s="7" t="s">
        <v>191</v>
      </c>
    </row>
    <row r="107" spans="1:4" x14ac:dyDescent="0.4">
      <c r="A107" s="7" t="str">
        <f t="shared" si="2"/>
        <v>30.2</v>
      </c>
      <c r="B107" s="7" t="str">
        <f t="shared" si="3"/>
        <v>Manufacture of railway locomotives and rolling stock</v>
      </c>
      <c r="C107" s="7" t="b">
        <f>ISNUMBER(MATCH(A107, NormalizedMappingTable[nace_level_3_code], 0))</f>
        <v>0</v>
      </c>
      <c r="D107" s="7" t="s">
        <v>192</v>
      </c>
    </row>
    <row r="108" spans="1:4" x14ac:dyDescent="0.4">
      <c r="A108" s="7" t="str">
        <f t="shared" si="2"/>
        <v>30.3</v>
      </c>
      <c r="B108" s="7" t="str">
        <f t="shared" si="3"/>
        <v>Manufacture of air and spacecraft and related machinery</v>
      </c>
      <c r="C108" s="7" t="b">
        <f>ISNUMBER(MATCH(A108, NormalizedMappingTable[nace_level_3_code], 0))</f>
        <v>0</v>
      </c>
      <c r="D108" s="7" t="s">
        <v>193</v>
      </c>
    </row>
    <row r="109" spans="1:4" x14ac:dyDescent="0.4">
      <c r="A109" s="7" t="str">
        <f t="shared" si="2"/>
        <v>30.4</v>
      </c>
      <c r="B109" s="7" t="str">
        <f t="shared" si="3"/>
        <v>Manufacture of military fighting vehicles</v>
      </c>
      <c r="C109" s="7" t="b">
        <f>ISNUMBER(MATCH(A109, NormalizedMappingTable[nace_level_3_code], 0))</f>
        <v>0</v>
      </c>
      <c r="D109" s="7" t="s">
        <v>194</v>
      </c>
    </row>
    <row r="110" spans="1:4" x14ac:dyDescent="0.4">
      <c r="A110" s="7" t="str">
        <f t="shared" si="2"/>
        <v>30.9</v>
      </c>
      <c r="B110" s="7" t="str">
        <f t="shared" si="3"/>
        <v>Manufacture of transport equipment n.e.c.</v>
      </c>
      <c r="C110" s="7" t="b">
        <f>ISNUMBER(MATCH(A110, NormalizedMappingTable[nace_level_3_code], 0))</f>
        <v>0</v>
      </c>
      <c r="D110" s="7" t="s">
        <v>195</v>
      </c>
    </row>
    <row r="111" spans="1:4" x14ac:dyDescent="0.4">
      <c r="A111" s="7" t="str">
        <f t="shared" si="2"/>
        <v>31.0</v>
      </c>
      <c r="B111" s="7" t="str">
        <f t="shared" si="3"/>
        <v>Manufacture of furniture</v>
      </c>
      <c r="C111" s="7" t="b">
        <f>ISNUMBER(MATCH(A111, NormalizedMappingTable[nace_level_3_code], 0))</f>
        <v>0</v>
      </c>
      <c r="D111" s="7" t="s">
        <v>196</v>
      </c>
    </row>
    <row r="112" spans="1:4" x14ac:dyDescent="0.4">
      <c r="A112" s="7" t="str">
        <f t="shared" si="2"/>
        <v>32.1</v>
      </c>
      <c r="B112" s="7" t="str">
        <f t="shared" si="3"/>
        <v>Manufacture of jewellery, bijouterie and related articles</v>
      </c>
      <c r="C112" s="7" t="b">
        <f>ISNUMBER(MATCH(A112, NormalizedMappingTable[nace_level_3_code], 0))</f>
        <v>0</v>
      </c>
      <c r="D112" s="7" t="s">
        <v>197</v>
      </c>
    </row>
    <row r="113" spans="1:4" x14ac:dyDescent="0.4">
      <c r="A113" s="7" t="str">
        <f t="shared" si="2"/>
        <v>32.2</v>
      </c>
      <c r="B113" s="7" t="str">
        <f t="shared" si="3"/>
        <v>Manufacture of musical instruments</v>
      </c>
      <c r="C113" s="7" t="b">
        <f>ISNUMBER(MATCH(A113, NormalizedMappingTable[nace_level_3_code], 0))</f>
        <v>0</v>
      </c>
      <c r="D113" s="7" t="s">
        <v>198</v>
      </c>
    </row>
    <row r="114" spans="1:4" x14ac:dyDescent="0.4">
      <c r="A114" s="7" t="str">
        <f t="shared" si="2"/>
        <v>32.3</v>
      </c>
      <c r="B114" s="7" t="str">
        <f t="shared" si="3"/>
        <v>Manufacture of sports goods</v>
      </c>
      <c r="C114" s="7" t="b">
        <f>ISNUMBER(MATCH(A114, NormalizedMappingTable[nace_level_3_code], 0))</f>
        <v>0</v>
      </c>
      <c r="D114" s="7" t="s">
        <v>199</v>
      </c>
    </row>
    <row r="115" spans="1:4" x14ac:dyDescent="0.4">
      <c r="A115" s="7" t="str">
        <f t="shared" si="2"/>
        <v>32.4</v>
      </c>
      <c r="B115" s="7" t="str">
        <f t="shared" si="3"/>
        <v>Manufacture of games and toys</v>
      </c>
      <c r="C115" s="7" t="b">
        <f>ISNUMBER(MATCH(A115, NormalizedMappingTable[nace_level_3_code], 0))</f>
        <v>0</v>
      </c>
      <c r="D115" s="7" t="s">
        <v>200</v>
      </c>
    </row>
    <row r="116" spans="1:4" x14ac:dyDescent="0.4">
      <c r="A116" s="7" t="str">
        <f t="shared" si="2"/>
        <v>32.5</v>
      </c>
      <c r="B116" s="7" t="str">
        <f t="shared" si="3"/>
        <v>Manufacture of medical and dental instruments and supplies</v>
      </c>
      <c r="C116" s="7" t="b">
        <f>ISNUMBER(MATCH(A116, NormalizedMappingTable[nace_level_3_code], 0))</f>
        <v>0</v>
      </c>
      <c r="D116" s="7" t="s">
        <v>201</v>
      </c>
    </row>
    <row r="117" spans="1:4" x14ac:dyDescent="0.4">
      <c r="A117" s="7" t="str">
        <f t="shared" si="2"/>
        <v>32.9</v>
      </c>
      <c r="B117" s="7" t="str">
        <f t="shared" si="3"/>
        <v>Manufacturing n.e.c.</v>
      </c>
      <c r="C117" s="7" t="b">
        <f>ISNUMBER(MATCH(A117, NormalizedMappingTable[nace_level_3_code], 0))</f>
        <v>0</v>
      </c>
      <c r="D117" s="7" t="s">
        <v>202</v>
      </c>
    </row>
    <row r="118" spans="1:4" x14ac:dyDescent="0.4">
      <c r="A118" s="7" t="str">
        <f t="shared" si="2"/>
        <v>33.1</v>
      </c>
      <c r="B118" s="7" t="str">
        <f t="shared" si="3"/>
        <v>Repair of fabricated metal products, machinery and equipment</v>
      </c>
      <c r="C118" s="7" t="b">
        <f>ISNUMBER(MATCH(A118, NormalizedMappingTable[nace_level_3_code], 0))</f>
        <v>0</v>
      </c>
      <c r="D118" s="7" t="s">
        <v>203</v>
      </c>
    </row>
    <row r="119" spans="1:4" x14ac:dyDescent="0.4">
      <c r="A119" s="7" t="str">
        <f t="shared" si="2"/>
        <v>33.2</v>
      </c>
      <c r="B119" s="7" t="str">
        <f t="shared" si="3"/>
        <v>Installation of industrial machinery and equipment</v>
      </c>
      <c r="C119" s="7" t="b">
        <f>ISNUMBER(MATCH(A119, NormalizedMappingTable[nace_level_3_code], 0))</f>
        <v>0</v>
      </c>
      <c r="D119" s="7" t="s">
        <v>204</v>
      </c>
    </row>
    <row r="120" spans="1:4" x14ac:dyDescent="0.4">
      <c r="A120" s="7" t="str">
        <f t="shared" si="2"/>
        <v>35.1</v>
      </c>
      <c r="B120" s="7" t="str">
        <f t="shared" si="3"/>
        <v>Electric power generation, transmission and distribution</v>
      </c>
      <c r="C120" s="7" t="b">
        <f>ISNUMBER(MATCH(A120, NormalizedMappingTable[nace_level_3_code], 0))</f>
        <v>1</v>
      </c>
      <c r="D120" s="7" t="s">
        <v>205</v>
      </c>
    </row>
    <row r="121" spans="1:4" x14ac:dyDescent="0.4">
      <c r="A121" s="7" t="str">
        <f t="shared" si="2"/>
        <v>35.2</v>
      </c>
      <c r="B121" s="7" t="str">
        <f t="shared" si="3"/>
        <v>Manufacture of gas; distribution of gaseous fuels through mains</v>
      </c>
      <c r="C121" s="7" t="b">
        <f>ISNUMBER(MATCH(A121, NormalizedMappingTable[nace_level_3_code], 0))</f>
        <v>1</v>
      </c>
      <c r="D121" s="7" t="s">
        <v>206</v>
      </c>
    </row>
    <row r="122" spans="1:4" x14ac:dyDescent="0.4">
      <c r="A122" s="7" t="str">
        <f t="shared" si="2"/>
        <v>35.3</v>
      </c>
      <c r="B122" s="7" t="str">
        <f t="shared" si="3"/>
        <v>Steam and air conditioning supply</v>
      </c>
      <c r="C122" s="7" t="b">
        <f>ISNUMBER(MATCH(A122, NormalizedMappingTable[nace_level_3_code], 0))</f>
        <v>1</v>
      </c>
      <c r="D122" s="7" t="s">
        <v>207</v>
      </c>
    </row>
    <row r="123" spans="1:4" x14ac:dyDescent="0.4">
      <c r="A123" s="7" t="str">
        <f t="shared" si="2"/>
        <v>36.0</v>
      </c>
      <c r="B123" s="7" t="str">
        <f t="shared" si="3"/>
        <v>Water collection, treatment and supply</v>
      </c>
      <c r="C123" s="7" t="b">
        <f>ISNUMBER(MATCH(A123, NormalizedMappingTable[nace_level_3_code], 0))</f>
        <v>0</v>
      </c>
      <c r="D123" s="7" t="s">
        <v>208</v>
      </c>
    </row>
    <row r="124" spans="1:4" x14ac:dyDescent="0.4">
      <c r="A124" s="7" t="str">
        <f t="shared" si="2"/>
        <v>37.0</v>
      </c>
      <c r="B124" s="7" t="str">
        <f t="shared" si="3"/>
        <v>Sewerage</v>
      </c>
      <c r="C124" s="7" t="b">
        <f>ISNUMBER(MATCH(A124, NormalizedMappingTable[nace_level_3_code], 0))</f>
        <v>0</v>
      </c>
      <c r="D124" s="7" t="s">
        <v>209</v>
      </c>
    </row>
    <row r="125" spans="1:4" x14ac:dyDescent="0.4">
      <c r="A125" s="7" t="str">
        <f t="shared" si="2"/>
        <v>38.1</v>
      </c>
      <c r="B125" s="7" t="str">
        <f t="shared" si="3"/>
        <v>Waste collection</v>
      </c>
      <c r="C125" s="7" t="b">
        <f>ISNUMBER(MATCH(A125, NormalizedMappingTable[nace_level_3_code], 0))</f>
        <v>0</v>
      </c>
      <c r="D125" s="7" t="s">
        <v>210</v>
      </c>
    </row>
    <row r="126" spans="1:4" x14ac:dyDescent="0.4">
      <c r="A126" s="7" t="str">
        <f t="shared" si="2"/>
        <v>38.2</v>
      </c>
      <c r="B126" s="7" t="str">
        <f t="shared" si="3"/>
        <v>Waste treatment and disposal</v>
      </c>
      <c r="C126" s="7" t="b">
        <f>ISNUMBER(MATCH(A126, NormalizedMappingTable[nace_level_3_code], 0))</f>
        <v>0</v>
      </c>
      <c r="D126" s="7" t="s">
        <v>211</v>
      </c>
    </row>
    <row r="127" spans="1:4" x14ac:dyDescent="0.4">
      <c r="A127" s="7" t="str">
        <f t="shared" si="2"/>
        <v>38.3</v>
      </c>
      <c r="B127" s="7" t="str">
        <f t="shared" si="3"/>
        <v>Materials recovery</v>
      </c>
      <c r="C127" s="7" t="b">
        <f>ISNUMBER(MATCH(A127, NormalizedMappingTable[nace_level_3_code], 0))</f>
        <v>0</v>
      </c>
      <c r="D127" s="7" t="s">
        <v>212</v>
      </c>
    </row>
    <row r="128" spans="1:4" x14ac:dyDescent="0.4">
      <c r="A128" s="7" t="str">
        <f t="shared" si="2"/>
        <v>39.0</v>
      </c>
      <c r="B128" s="7" t="str">
        <f t="shared" si="3"/>
        <v>Remediation activities and other waste management services</v>
      </c>
      <c r="C128" s="7" t="b">
        <f>ISNUMBER(MATCH(A128, NormalizedMappingTable[nace_level_3_code], 0))</f>
        <v>1</v>
      </c>
      <c r="D128" s="7" t="s">
        <v>213</v>
      </c>
    </row>
    <row r="129" spans="1:4" x14ac:dyDescent="0.4">
      <c r="A129" s="7" t="str">
        <f t="shared" si="2"/>
        <v>41.1</v>
      </c>
      <c r="B129" s="7" t="str">
        <f t="shared" si="3"/>
        <v>Development of building projects</v>
      </c>
      <c r="C129" s="7" t="b">
        <f>ISNUMBER(MATCH(A129, NormalizedMappingTable[nace_level_3_code], 0))</f>
        <v>0</v>
      </c>
      <c r="D129" s="7" t="s">
        <v>214</v>
      </c>
    </row>
    <row r="130" spans="1:4" x14ac:dyDescent="0.4">
      <c r="A130" s="7" t="str">
        <f t="shared" ref="A130:A193" si="4">LEFT(D130,4)</f>
        <v>41.2</v>
      </c>
      <c r="B130" s="7" t="str">
        <f t="shared" si="3"/>
        <v>Construction of residential and non-residential buildings</v>
      </c>
      <c r="C130" s="7" t="b">
        <f>ISNUMBER(MATCH(A130, NormalizedMappingTable[nace_level_3_code], 0))</f>
        <v>0</v>
      </c>
      <c r="D130" s="7" t="s">
        <v>215</v>
      </c>
    </row>
    <row r="131" spans="1:4" x14ac:dyDescent="0.4">
      <c r="A131" s="7" t="str">
        <f t="shared" si="4"/>
        <v>42.1</v>
      </c>
      <c r="B131" s="7" t="str">
        <f t="shared" ref="B131:B194" si="5">SUBSTITUTE(SUBSTITUTE(D131,A131&amp;" ",""),RIGHT(D131,5),"")</f>
        <v>Construction of roads and railways</v>
      </c>
      <c r="C131" s="7" t="b">
        <f>ISNUMBER(MATCH(A131, NormalizedMappingTable[nace_level_3_code], 0))</f>
        <v>0</v>
      </c>
      <c r="D131" s="7" t="s">
        <v>216</v>
      </c>
    </row>
    <row r="132" spans="1:4" x14ac:dyDescent="0.4">
      <c r="A132" s="7" t="str">
        <f t="shared" si="4"/>
        <v>42.2</v>
      </c>
      <c r="B132" s="7" t="str">
        <f t="shared" si="5"/>
        <v>Construction of utility projects</v>
      </c>
      <c r="C132" s="7" t="b">
        <f>ISNUMBER(MATCH(A132, NormalizedMappingTable[nace_level_3_code], 0))</f>
        <v>0</v>
      </c>
      <c r="D132" s="7" t="s">
        <v>217</v>
      </c>
    </row>
    <row r="133" spans="1:4" x14ac:dyDescent="0.4">
      <c r="A133" s="7" t="str">
        <f t="shared" si="4"/>
        <v>42.9</v>
      </c>
      <c r="B133" s="7" t="str">
        <f t="shared" si="5"/>
        <v>Construction of other civil engineering projects</v>
      </c>
      <c r="C133" s="7" t="b">
        <f>ISNUMBER(MATCH(A133, NormalizedMappingTable[nace_level_3_code], 0))</f>
        <v>0</v>
      </c>
      <c r="D133" s="7" t="s">
        <v>218</v>
      </c>
    </row>
    <row r="134" spans="1:4" x14ac:dyDescent="0.4">
      <c r="A134" s="7" t="str">
        <f t="shared" si="4"/>
        <v>43.1</v>
      </c>
      <c r="B134" s="7" t="str">
        <f t="shared" si="5"/>
        <v>Demolition and site preparation</v>
      </c>
      <c r="C134" s="7" t="b">
        <f>ISNUMBER(MATCH(A134, NormalizedMappingTable[nace_level_3_code], 0))</f>
        <v>0</v>
      </c>
      <c r="D134" s="7" t="s">
        <v>219</v>
      </c>
    </row>
    <row r="135" spans="1:4" x14ac:dyDescent="0.4">
      <c r="A135" s="7" t="str">
        <f t="shared" si="4"/>
        <v>43.2</v>
      </c>
      <c r="B135" s="7" t="str">
        <f t="shared" si="5"/>
        <v>Electrical, plumbing and other construction installation activities</v>
      </c>
      <c r="C135" s="7" t="b">
        <f>ISNUMBER(MATCH(A135, NormalizedMappingTable[nace_level_3_code], 0))</f>
        <v>0</v>
      </c>
      <c r="D135" s="7" t="s">
        <v>220</v>
      </c>
    </row>
    <row r="136" spans="1:4" x14ac:dyDescent="0.4">
      <c r="A136" s="7" t="str">
        <f t="shared" si="4"/>
        <v>43.3</v>
      </c>
      <c r="B136" s="7" t="str">
        <f t="shared" si="5"/>
        <v>Building completion and finishing</v>
      </c>
      <c r="C136" s="7" t="b">
        <f>ISNUMBER(MATCH(A136, NormalizedMappingTable[nace_level_3_code], 0))</f>
        <v>0</v>
      </c>
      <c r="D136" s="7" t="s">
        <v>221</v>
      </c>
    </row>
    <row r="137" spans="1:4" x14ac:dyDescent="0.4">
      <c r="A137" s="7" t="str">
        <f t="shared" si="4"/>
        <v>43.9</v>
      </c>
      <c r="B137" s="7" t="str">
        <f t="shared" si="5"/>
        <v>Other specialised construction activities</v>
      </c>
      <c r="C137" s="7" t="b">
        <f>ISNUMBER(MATCH(A137, NormalizedMappingTable[nace_level_3_code], 0))</f>
        <v>0</v>
      </c>
      <c r="D137" s="7" t="s">
        <v>222</v>
      </c>
    </row>
    <row r="138" spans="1:4" x14ac:dyDescent="0.4">
      <c r="A138" s="7" t="str">
        <f t="shared" si="4"/>
        <v>45.1</v>
      </c>
      <c r="B138" s="7" t="str">
        <f t="shared" si="5"/>
        <v>Sale of motor vehicles</v>
      </c>
      <c r="C138" s="7" t="b">
        <f>ISNUMBER(MATCH(A138, NormalizedMappingTable[nace_level_3_code], 0))</f>
        <v>0</v>
      </c>
      <c r="D138" s="7" t="s">
        <v>223</v>
      </c>
    </row>
    <row r="139" spans="1:4" x14ac:dyDescent="0.4">
      <c r="A139" s="7" t="str">
        <f t="shared" si="4"/>
        <v>45.2</v>
      </c>
      <c r="B139" s="7" t="str">
        <f t="shared" si="5"/>
        <v>Maintenance and repair of motor vehicles</v>
      </c>
      <c r="C139" s="7" t="b">
        <f>ISNUMBER(MATCH(A139, NormalizedMappingTable[nace_level_3_code], 0))</f>
        <v>0</v>
      </c>
      <c r="D139" s="7" t="s">
        <v>224</v>
      </c>
    </row>
    <row r="140" spans="1:4" x14ac:dyDescent="0.4">
      <c r="A140" s="7" t="str">
        <f t="shared" si="4"/>
        <v>45.3</v>
      </c>
      <c r="B140" s="7" t="str">
        <f t="shared" si="5"/>
        <v>Sale of motor vehicle parts and accessories</v>
      </c>
      <c r="C140" s="7" t="b">
        <f>ISNUMBER(MATCH(A140, NormalizedMappingTable[nace_level_3_code], 0))</f>
        <v>0</v>
      </c>
      <c r="D140" s="7" t="s">
        <v>225</v>
      </c>
    </row>
    <row r="141" spans="1:4" x14ac:dyDescent="0.4">
      <c r="A141" s="7" t="str">
        <f t="shared" si="4"/>
        <v>45.4</v>
      </c>
      <c r="B141" s="7" t="str">
        <f t="shared" si="5"/>
        <v>Sale, maintenance and repair of motorcycles and related parts and accessories</v>
      </c>
      <c r="C141" s="7" t="b">
        <f>ISNUMBER(MATCH(A141, NormalizedMappingTable[nace_level_3_code], 0))</f>
        <v>0</v>
      </c>
      <c r="D141" s="7" t="s">
        <v>226</v>
      </c>
    </row>
    <row r="142" spans="1:4" x14ac:dyDescent="0.4">
      <c r="A142" s="7" t="str">
        <f t="shared" si="4"/>
        <v>46.1</v>
      </c>
      <c r="B142" s="7" t="str">
        <f t="shared" si="5"/>
        <v>Wholesale on a fee or contract basis</v>
      </c>
      <c r="C142" s="7" t="b">
        <f>ISNUMBER(MATCH(A142, NormalizedMappingTable[nace_level_3_code], 0))</f>
        <v>0</v>
      </c>
      <c r="D142" s="7" t="s">
        <v>227</v>
      </c>
    </row>
    <row r="143" spans="1:4" x14ac:dyDescent="0.4">
      <c r="A143" s="7" t="str">
        <f t="shared" si="4"/>
        <v>46.2</v>
      </c>
      <c r="B143" s="7" t="str">
        <f t="shared" si="5"/>
        <v>Wholesale of agricultural raw materials and live animals</v>
      </c>
      <c r="C143" s="7" t="b">
        <f>ISNUMBER(MATCH(A143, NormalizedMappingTable[nace_level_3_code], 0))</f>
        <v>0</v>
      </c>
      <c r="D143" s="7" t="s">
        <v>228</v>
      </c>
    </row>
    <row r="144" spans="1:4" x14ac:dyDescent="0.4">
      <c r="A144" s="7" t="str">
        <f t="shared" si="4"/>
        <v>46.3</v>
      </c>
      <c r="B144" s="7" t="str">
        <f t="shared" si="5"/>
        <v>Wholesale of food, beverages and tobacco</v>
      </c>
      <c r="C144" s="7" t="b">
        <f>ISNUMBER(MATCH(A144, NormalizedMappingTable[nace_level_3_code], 0))</f>
        <v>0</v>
      </c>
      <c r="D144" s="7" t="s">
        <v>229</v>
      </c>
    </row>
    <row r="145" spans="1:4" x14ac:dyDescent="0.4">
      <c r="A145" s="7" t="str">
        <f t="shared" si="4"/>
        <v>46.4</v>
      </c>
      <c r="B145" s="7" t="str">
        <f t="shared" si="5"/>
        <v>Wholesale of household goods</v>
      </c>
      <c r="C145" s="7" t="b">
        <f>ISNUMBER(MATCH(A145, NormalizedMappingTable[nace_level_3_code], 0))</f>
        <v>0</v>
      </c>
      <c r="D145" s="7" t="s">
        <v>230</v>
      </c>
    </row>
    <row r="146" spans="1:4" x14ac:dyDescent="0.4">
      <c r="A146" s="7" t="str">
        <f t="shared" si="4"/>
        <v>46.5</v>
      </c>
      <c r="B146" s="7" t="str">
        <f t="shared" si="5"/>
        <v>Wholesale of information and communication equipment</v>
      </c>
      <c r="C146" s="7" t="b">
        <f>ISNUMBER(MATCH(A146, NormalizedMappingTable[nace_level_3_code], 0))</f>
        <v>0</v>
      </c>
      <c r="D146" s="7" t="s">
        <v>231</v>
      </c>
    </row>
    <row r="147" spans="1:4" x14ac:dyDescent="0.4">
      <c r="A147" s="7" t="str">
        <f t="shared" si="4"/>
        <v>46.6</v>
      </c>
      <c r="B147" s="7" t="str">
        <f t="shared" si="5"/>
        <v>Wholesale of other machinery, equipment and supplies</v>
      </c>
      <c r="C147" s="7" t="b">
        <f>ISNUMBER(MATCH(A147, NormalizedMappingTable[nace_level_3_code], 0))</f>
        <v>0</v>
      </c>
      <c r="D147" s="7" t="s">
        <v>232</v>
      </c>
    </row>
    <row r="148" spans="1:4" x14ac:dyDescent="0.4">
      <c r="A148" s="7" t="str">
        <f t="shared" si="4"/>
        <v>46.7</v>
      </c>
      <c r="B148" s="7" t="str">
        <f t="shared" si="5"/>
        <v>Other specialised wholesale</v>
      </c>
      <c r="C148" s="7" t="b">
        <f>ISNUMBER(MATCH(A148, NormalizedMappingTable[nace_level_3_code], 0))</f>
        <v>0</v>
      </c>
      <c r="D148" s="7" t="s">
        <v>233</v>
      </c>
    </row>
    <row r="149" spans="1:4" x14ac:dyDescent="0.4">
      <c r="A149" s="7" t="str">
        <f t="shared" si="4"/>
        <v>46.9</v>
      </c>
      <c r="B149" s="7" t="str">
        <f t="shared" si="5"/>
        <v>Non-specialised wholesale trade</v>
      </c>
      <c r="C149" s="7" t="b">
        <f>ISNUMBER(MATCH(A149, NormalizedMappingTable[nace_level_3_code], 0))</f>
        <v>0</v>
      </c>
      <c r="D149" s="7" t="s">
        <v>234</v>
      </c>
    </row>
    <row r="150" spans="1:4" x14ac:dyDescent="0.4">
      <c r="A150" s="7" t="str">
        <f t="shared" si="4"/>
        <v>47.1</v>
      </c>
      <c r="B150" s="7" t="str">
        <f t="shared" si="5"/>
        <v>Retail sale in non-specialised stores</v>
      </c>
      <c r="C150" s="7" t="b">
        <f>ISNUMBER(MATCH(A150, NormalizedMappingTable[nace_level_3_code], 0))</f>
        <v>0</v>
      </c>
      <c r="D150" s="7" t="s">
        <v>235</v>
      </c>
    </row>
    <row r="151" spans="1:4" x14ac:dyDescent="0.4">
      <c r="A151" s="7" t="str">
        <f t="shared" si="4"/>
        <v>47.2</v>
      </c>
      <c r="B151" s="7" t="str">
        <f t="shared" si="5"/>
        <v>Retail sale of food, beverages and tobacco in specialised stores</v>
      </c>
      <c r="C151" s="7" t="b">
        <f>ISNUMBER(MATCH(A151, NormalizedMappingTable[nace_level_3_code], 0))</f>
        <v>0</v>
      </c>
      <c r="D151" s="7" t="s">
        <v>236</v>
      </c>
    </row>
    <row r="152" spans="1:4" x14ac:dyDescent="0.4">
      <c r="A152" s="7" t="str">
        <f t="shared" si="4"/>
        <v>47.3</v>
      </c>
      <c r="B152" s="7" t="str">
        <f t="shared" si="5"/>
        <v>Retail sale of automotive fuel in specialised stores</v>
      </c>
      <c r="C152" s="7" t="b">
        <f>ISNUMBER(MATCH(A152, NormalizedMappingTable[nace_level_3_code], 0))</f>
        <v>0</v>
      </c>
      <c r="D152" s="7" t="s">
        <v>237</v>
      </c>
    </row>
    <row r="153" spans="1:4" x14ac:dyDescent="0.4">
      <c r="A153" s="7" t="str">
        <f t="shared" si="4"/>
        <v>47.4</v>
      </c>
      <c r="B153" s="7" t="str">
        <f t="shared" si="5"/>
        <v>Retail sale of information and communication equipment in specialised stores</v>
      </c>
      <c r="C153" s="7" t="b">
        <f>ISNUMBER(MATCH(A153, NormalizedMappingTable[nace_level_3_code], 0))</f>
        <v>0</v>
      </c>
      <c r="D153" s="7" t="s">
        <v>238</v>
      </c>
    </row>
    <row r="154" spans="1:4" x14ac:dyDescent="0.4">
      <c r="A154" s="7" t="str">
        <f t="shared" si="4"/>
        <v>47.5</v>
      </c>
      <c r="B154" s="7" t="str">
        <f t="shared" si="5"/>
        <v>Retail sale of other household equipment in specialised stores</v>
      </c>
      <c r="C154" s="7" t="b">
        <f>ISNUMBER(MATCH(A154, NormalizedMappingTable[nace_level_3_code], 0))</f>
        <v>0</v>
      </c>
      <c r="D154" s="7" t="s">
        <v>239</v>
      </c>
    </row>
    <row r="155" spans="1:4" x14ac:dyDescent="0.4">
      <c r="A155" s="7" t="str">
        <f t="shared" si="4"/>
        <v>47.6</v>
      </c>
      <c r="B155" s="7" t="str">
        <f t="shared" si="5"/>
        <v>Retail sale of cultural and recreation goods in specialised stores</v>
      </c>
      <c r="C155" s="7" t="b">
        <f>ISNUMBER(MATCH(A155, NormalizedMappingTable[nace_level_3_code], 0))</f>
        <v>0</v>
      </c>
      <c r="D155" s="7" t="s">
        <v>240</v>
      </c>
    </row>
    <row r="156" spans="1:4" x14ac:dyDescent="0.4">
      <c r="A156" s="7" t="str">
        <f t="shared" si="4"/>
        <v>47.7</v>
      </c>
      <c r="B156" s="7" t="str">
        <f t="shared" si="5"/>
        <v>Retail sale of other goods in specialised stores</v>
      </c>
      <c r="C156" s="7" t="b">
        <f>ISNUMBER(MATCH(A156, NormalizedMappingTable[nace_level_3_code], 0))</f>
        <v>0</v>
      </c>
      <c r="D156" s="7" t="s">
        <v>241</v>
      </c>
    </row>
    <row r="157" spans="1:4" x14ac:dyDescent="0.4">
      <c r="A157" s="7" t="str">
        <f t="shared" si="4"/>
        <v>47.8</v>
      </c>
      <c r="B157" s="7" t="str">
        <f t="shared" si="5"/>
        <v>Retail sale via stalls and markets</v>
      </c>
      <c r="C157" s="7" t="b">
        <f>ISNUMBER(MATCH(A157, NormalizedMappingTable[nace_level_3_code], 0))</f>
        <v>0</v>
      </c>
      <c r="D157" s="7" t="s">
        <v>242</v>
      </c>
    </row>
    <row r="158" spans="1:4" x14ac:dyDescent="0.4">
      <c r="A158" s="7" t="str">
        <f t="shared" si="4"/>
        <v>47.9</v>
      </c>
      <c r="B158" s="7" t="str">
        <f t="shared" si="5"/>
        <v>Retail trade not in stores, stalls or markets</v>
      </c>
      <c r="C158" s="7" t="b">
        <f>ISNUMBER(MATCH(A158, NormalizedMappingTable[nace_level_3_code], 0))</f>
        <v>0</v>
      </c>
      <c r="D158" s="7" t="s">
        <v>243</v>
      </c>
    </row>
    <row r="159" spans="1:4" x14ac:dyDescent="0.4">
      <c r="A159" s="7" t="str">
        <f t="shared" si="4"/>
        <v>49.1</v>
      </c>
      <c r="B159" s="7" t="str">
        <f t="shared" si="5"/>
        <v>Passenger rail transport, interurban</v>
      </c>
      <c r="C159" s="7" t="b">
        <f>ISNUMBER(MATCH(A159, NormalizedMappingTable[nace_level_3_code], 0))</f>
        <v>0</v>
      </c>
      <c r="D159" s="7" t="s">
        <v>244</v>
      </c>
    </row>
    <row r="160" spans="1:4" x14ac:dyDescent="0.4">
      <c r="A160" s="7" t="str">
        <f t="shared" si="4"/>
        <v>49.2</v>
      </c>
      <c r="B160" s="7" t="str">
        <f t="shared" si="5"/>
        <v>Freight rail transport</v>
      </c>
      <c r="C160" s="7" t="b">
        <f>ISNUMBER(MATCH(A160, NormalizedMappingTable[nace_level_3_code], 0))</f>
        <v>0</v>
      </c>
      <c r="D160" s="7" t="s">
        <v>245</v>
      </c>
    </row>
    <row r="161" spans="1:4" x14ac:dyDescent="0.4">
      <c r="A161" s="7" t="str">
        <f t="shared" si="4"/>
        <v>49.3</v>
      </c>
      <c r="B161" s="7" t="str">
        <f t="shared" si="5"/>
        <v>Other passenger land transport</v>
      </c>
      <c r="C161" s="7" t="b">
        <f>ISNUMBER(MATCH(A161, NormalizedMappingTable[nace_level_3_code], 0))</f>
        <v>0</v>
      </c>
      <c r="D161" s="7" t="s">
        <v>246</v>
      </c>
    </row>
    <row r="162" spans="1:4" x14ac:dyDescent="0.4">
      <c r="A162" s="7" t="str">
        <f t="shared" si="4"/>
        <v>49.4</v>
      </c>
      <c r="B162" s="7" t="str">
        <f t="shared" si="5"/>
        <v>Freight transport by road and removal services</v>
      </c>
      <c r="C162" s="7" t="b">
        <f>ISNUMBER(MATCH(A162, NormalizedMappingTable[nace_level_3_code], 0))</f>
        <v>0</v>
      </c>
      <c r="D162" s="7" t="s">
        <v>247</v>
      </c>
    </row>
    <row r="163" spans="1:4" x14ac:dyDescent="0.4">
      <c r="A163" s="7" t="str">
        <f t="shared" si="4"/>
        <v>49.5</v>
      </c>
      <c r="B163" s="7" t="str">
        <f t="shared" si="5"/>
        <v>Transport via pipeline</v>
      </c>
      <c r="C163" s="7" t="b">
        <f>ISNUMBER(MATCH(A163, NormalizedMappingTable[nace_level_3_code], 0))</f>
        <v>0</v>
      </c>
      <c r="D163" s="7" t="s">
        <v>248</v>
      </c>
    </row>
    <row r="164" spans="1:4" x14ac:dyDescent="0.4">
      <c r="A164" s="7" t="str">
        <f t="shared" si="4"/>
        <v>50.1</v>
      </c>
      <c r="B164" s="7" t="str">
        <f t="shared" si="5"/>
        <v>Sea and coastal passenger water transport</v>
      </c>
      <c r="C164" s="7" t="b">
        <f>ISNUMBER(MATCH(A164, NormalizedMappingTable[nace_level_3_code], 0))</f>
        <v>1</v>
      </c>
      <c r="D164" s="7" t="s">
        <v>249</v>
      </c>
    </row>
    <row r="165" spans="1:4" x14ac:dyDescent="0.4">
      <c r="A165" s="7" t="str">
        <f t="shared" si="4"/>
        <v>50.2</v>
      </c>
      <c r="B165" s="7" t="str">
        <f t="shared" si="5"/>
        <v>Sea and coastal freight water transport</v>
      </c>
      <c r="C165" s="7" t="b">
        <f>ISNUMBER(MATCH(A165, NormalizedMappingTable[nace_level_3_code], 0))</f>
        <v>1</v>
      </c>
      <c r="D165" s="7" t="s">
        <v>250</v>
      </c>
    </row>
    <row r="166" spans="1:4" x14ac:dyDescent="0.4">
      <c r="A166" s="7" t="str">
        <f t="shared" si="4"/>
        <v>50.3</v>
      </c>
      <c r="B166" s="7" t="str">
        <f t="shared" si="5"/>
        <v>Inland passenger water transport</v>
      </c>
      <c r="C166" s="7" t="b">
        <f>ISNUMBER(MATCH(A166, NormalizedMappingTable[nace_level_3_code], 0))</f>
        <v>0</v>
      </c>
      <c r="D166" s="7" t="s">
        <v>251</v>
      </c>
    </row>
    <row r="167" spans="1:4" x14ac:dyDescent="0.4">
      <c r="A167" s="7" t="str">
        <f t="shared" si="4"/>
        <v>50.4</v>
      </c>
      <c r="B167" s="7" t="str">
        <f t="shared" si="5"/>
        <v>Inland freight water transport</v>
      </c>
      <c r="C167" s="7" t="b">
        <f>ISNUMBER(MATCH(A167, NormalizedMappingTable[nace_level_3_code], 0))</f>
        <v>0</v>
      </c>
      <c r="D167" s="7" t="s">
        <v>252</v>
      </c>
    </row>
    <row r="168" spans="1:4" x14ac:dyDescent="0.4">
      <c r="A168" s="7" t="str">
        <f t="shared" si="4"/>
        <v>51.1</v>
      </c>
      <c r="B168" s="7" t="str">
        <f t="shared" si="5"/>
        <v>Passenger air transport</v>
      </c>
      <c r="C168" s="7" t="b">
        <f>ISNUMBER(MATCH(A168, NormalizedMappingTable[nace_level_3_code], 0))</f>
        <v>1</v>
      </c>
      <c r="D168" s="7" t="s">
        <v>253</v>
      </c>
    </row>
    <row r="169" spans="1:4" x14ac:dyDescent="0.4">
      <c r="A169" s="7" t="str">
        <f t="shared" si="4"/>
        <v>51.2</v>
      </c>
      <c r="B169" s="7" t="str">
        <f t="shared" si="5"/>
        <v>Freight air transport and space transport</v>
      </c>
      <c r="C169" s="7" t="b">
        <f>ISNUMBER(MATCH(A169, NormalizedMappingTable[nace_level_3_code], 0))</f>
        <v>1</v>
      </c>
      <c r="D169" s="7" t="s">
        <v>254</v>
      </c>
    </row>
    <row r="170" spans="1:4" x14ac:dyDescent="0.4">
      <c r="A170" s="7" t="str">
        <f t="shared" si="4"/>
        <v>52.1</v>
      </c>
      <c r="B170" s="7" t="str">
        <f t="shared" si="5"/>
        <v>Warehousing and storage</v>
      </c>
      <c r="C170" s="7" t="b">
        <f>ISNUMBER(MATCH(A170, NormalizedMappingTable[nace_level_3_code], 0))</f>
        <v>0</v>
      </c>
      <c r="D170" s="7" t="s">
        <v>255</v>
      </c>
    </row>
    <row r="171" spans="1:4" x14ac:dyDescent="0.4">
      <c r="A171" s="7" t="str">
        <f t="shared" si="4"/>
        <v>52.2</v>
      </c>
      <c r="B171" s="7" t="str">
        <f t="shared" si="5"/>
        <v>Support activities for transportation</v>
      </c>
      <c r="C171" s="7" t="b">
        <f>ISNUMBER(MATCH(A171, NormalizedMappingTable[nace_level_3_code], 0))</f>
        <v>0</v>
      </c>
      <c r="D171" s="7" t="s">
        <v>256</v>
      </c>
    </row>
    <row r="172" spans="1:4" x14ac:dyDescent="0.4">
      <c r="A172" s="7" t="str">
        <f t="shared" si="4"/>
        <v>53.1</v>
      </c>
      <c r="B172" s="7" t="str">
        <f t="shared" si="5"/>
        <v>Postal activities under universal service obligation</v>
      </c>
      <c r="C172" s="7" t="b">
        <f>ISNUMBER(MATCH(A172, NormalizedMappingTable[nace_level_3_code], 0))</f>
        <v>0</v>
      </c>
      <c r="D172" s="7" t="s">
        <v>257</v>
      </c>
    </row>
    <row r="173" spans="1:4" x14ac:dyDescent="0.4">
      <c r="A173" s="7" t="str">
        <f t="shared" si="4"/>
        <v>53.2</v>
      </c>
      <c r="B173" s="7" t="str">
        <f t="shared" si="5"/>
        <v>Other postal and courier activities</v>
      </c>
      <c r="C173" s="7" t="b">
        <f>ISNUMBER(MATCH(A173, NormalizedMappingTable[nace_level_3_code], 0))</f>
        <v>0</v>
      </c>
      <c r="D173" s="7" t="s">
        <v>258</v>
      </c>
    </row>
    <row r="174" spans="1:4" x14ac:dyDescent="0.4">
      <c r="A174" s="7" t="str">
        <f t="shared" si="4"/>
        <v>55.1</v>
      </c>
      <c r="B174" s="7" t="str">
        <f t="shared" si="5"/>
        <v>Hotels and similar accommodation</v>
      </c>
      <c r="C174" s="7" t="b">
        <f>ISNUMBER(MATCH(A174, NormalizedMappingTable[nace_level_3_code], 0))</f>
        <v>0</v>
      </c>
      <c r="D174" s="7" t="s">
        <v>259</v>
      </c>
    </row>
    <row r="175" spans="1:4" x14ac:dyDescent="0.4">
      <c r="A175" s="7" t="str">
        <f t="shared" si="4"/>
        <v>55.2</v>
      </c>
      <c r="B175" s="7" t="str">
        <f t="shared" si="5"/>
        <v>Holiday and other short-stay accommodation</v>
      </c>
      <c r="C175" s="7" t="b">
        <f>ISNUMBER(MATCH(A175, NormalizedMappingTable[nace_level_3_code], 0))</f>
        <v>0</v>
      </c>
      <c r="D175" s="7" t="s">
        <v>260</v>
      </c>
    </row>
    <row r="176" spans="1:4" x14ac:dyDescent="0.4">
      <c r="A176" s="7" t="str">
        <f t="shared" si="4"/>
        <v>55.3</v>
      </c>
      <c r="B176" s="7" t="str">
        <f t="shared" si="5"/>
        <v>Camping grounds, recreational vehicle parks and trailer parks</v>
      </c>
      <c r="C176" s="7" t="b">
        <f>ISNUMBER(MATCH(A176, NormalizedMappingTable[nace_level_3_code], 0))</f>
        <v>0</v>
      </c>
      <c r="D176" s="7" t="s">
        <v>261</v>
      </c>
    </row>
    <row r="177" spans="1:4" x14ac:dyDescent="0.4">
      <c r="A177" s="7" t="str">
        <f t="shared" si="4"/>
        <v>55.9</v>
      </c>
      <c r="B177" s="7" t="str">
        <f t="shared" si="5"/>
        <v>Other accommodation</v>
      </c>
      <c r="C177" s="7" t="b">
        <f>ISNUMBER(MATCH(A177, NormalizedMappingTable[nace_level_3_code], 0))</f>
        <v>0</v>
      </c>
      <c r="D177" s="7" t="s">
        <v>262</v>
      </c>
    </row>
    <row r="178" spans="1:4" x14ac:dyDescent="0.4">
      <c r="A178" s="7" t="str">
        <f t="shared" si="4"/>
        <v>56.1</v>
      </c>
      <c r="B178" s="7" t="str">
        <f t="shared" si="5"/>
        <v>Restaurants and mobile food service activities</v>
      </c>
      <c r="C178" s="7" t="b">
        <f>ISNUMBER(MATCH(A178, NormalizedMappingTable[nace_level_3_code], 0))</f>
        <v>0</v>
      </c>
      <c r="D178" s="7" t="s">
        <v>263</v>
      </c>
    </row>
    <row r="179" spans="1:4" x14ac:dyDescent="0.4">
      <c r="A179" s="7" t="str">
        <f t="shared" si="4"/>
        <v>56.2</v>
      </c>
      <c r="B179" s="7" t="str">
        <f t="shared" si="5"/>
        <v>Event catering and other food service activities</v>
      </c>
      <c r="C179" s="7" t="b">
        <f>ISNUMBER(MATCH(A179, NormalizedMappingTable[nace_level_3_code], 0))</f>
        <v>0</v>
      </c>
      <c r="D179" s="7" t="s">
        <v>264</v>
      </c>
    </row>
    <row r="180" spans="1:4" x14ac:dyDescent="0.4">
      <c r="A180" s="7" t="str">
        <f t="shared" si="4"/>
        <v>56.3</v>
      </c>
      <c r="B180" s="7" t="str">
        <f t="shared" si="5"/>
        <v>Beverage serving activities</v>
      </c>
      <c r="C180" s="7" t="b">
        <f>ISNUMBER(MATCH(A180, NormalizedMappingTable[nace_level_3_code], 0))</f>
        <v>0</v>
      </c>
      <c r="D180" s="7" t="s">
        <v>265</v>
      </c>
    </row>
    <row r="181" spans="1:4" x14ac:dyDescent="0.4">
      <c r="A181" s="7" t="str">
        <f t="shared" si="4"/>
        <v>58.1</v>
      </c>
      <c r="B181" s="7" t="str">
        <f t="shared" si="5"/>
        <v>Publishing of books, periodicals and other publishing activities</v>
      </c>
      <c r="C181" s="7" t="b">
        <f>ISNUMBER(MATCH(A181, NormalizedMappingTable[nace_level_3_code], 0))</f>
        <v>0</v>
      </c>
      <c r="D181" s="7" t="s">
        <v>266</v>
      </c>
    </row>
    <row r="182" spans="1:4" x14ac:dyDescent="0.4">
      <c r="A182" s="7" t="str">
        <f t="shared" si="4"/>
        <v>58.2</v>
      </c>
      <c r="B182" s="7" t="str">
        <f t="shared" si="5"/>
        <v>Software publishing</v>
      </c>
      <c r="C182" s="7" t="b">
        <f>ISNUMBER(MATCH(A182, NormalizedMappingTable[nace_level_3_code], 0))</f>
        <v>0</v>
      </c>
      <c r="D182" s="7" t="s">
        <v>267</v>
      </c>
    </row>
    <row r="183" spans="1:4" x14ac:dyDescent="0.4">
      <c r="A183" s="7" t="str">
        <f t="shared" si="4"/>
        <v>59.1</v>
      </c>
      <c r="B183" s="7" t="str">
        <f t="shared" si="5"/>
        <v>Motion picture, video and television programme activities</v>
      </c>
      <c r="C183" s="7" t="b">
        <f>ISNUMBER(MATCH(A183, NormalizedMappingTable[nace_level_3_code], 0))</f>
        <v>0</v>
      </c>
      <c r="D183" s="7" t="s">
        <v>268</v>
      </c>
    </row>
    <row r="184" spans="1:4" x14ac:dyDescent="0.4">
      <c r="A184" s="7" t="str">
        <f t="shared" si="4"/>
        <v>59.2</v>
      </c>
      <c r="B184" s="7" t="str">
        <f t="shared" si="5"/>
        <v>Sound recording and music publishing activities</v>
      </c>
      <c r="C184" s="7" t="b">
        <f>ISNUMBER(MATCH(A184, NormalizedMappingTable[nace_level_3_code], 0))</f>
        <v>0</v>
      </c>
      <c r="D184" s="7" t="s">
        <v>269</v>
      </c>
    </row>
    <row r="185" spans="1:4" x14ac:dyDescent="0.4">
      <c r="A185" s="7" t="str">
        <f t="shared" si="4"/>
        <v>60.1</v>
      </c>
      <c r="B185" s="7" t="str">
        <f t="shared" si="5"/>
        <v>Radio broadcasting</v>
      </c>
      <c r="C185" s="7" t="b">
        <f>ISNUMBER(MATCH(A185, NormalizedMappingTable[nace_level_3_code], 0))</f>
        <v>0</v>
      </c>
      <c r="D185" s="7" t="s">
        <v>270</v>
      </c>
    </row>
    <row r="186" spans="1:4" x14ac:dyDescent="0.4">
      <c r="A186" s="7" t="str">
        <f t="shared" si="4"/>
        <v>60.2</v>
      </c>
      <c r="B186" s="7" t="str">
        <f t="shared" si="5"/>
        <v>Television programming and broadcasting activities</v>
      </c>
      <c r="C186" s="7" t="b">
        <f>ISNUMBER(MATCH(A186, NormalizedMappingTable[nace_level_3_code], 0))</f>
        <v>0</v>
      </c>
      <c r="D186" s="7" t="s">
        <v>271</v>
      </c>
    </row>
    <row r="187" spans="1:4" x14ac:dyDescent="0.4">
      <c r="A187" s="7" t="str">
        <f t="shared" si="4"/>
        <v>61.1</v>
      </c>
      <c r="B187" s="7" t="str">
        <f t="shared" si="5"/>
        <v>Wired telecommunications activities</v>
      </c>
      <c r="C187" s="7" t="b">
        <f>ISNUMBER(MATCH(A187, NormalizedMappingTable[nace_level_3_code], 0))</f>
        <v>0</v>
      </c>
      <c r="D187" s="7" t="s">
        <v>272</v>
      </c>
    </row>
    <row r="188" spans="1:4" x14ac:dyDescent="0.4">
      <c r="A188" s="7" t="str">
        <f t="shared" si="4"/>
        <v>61.2</v>
      </c>
      <c r="B188" s="7" t="str">
        <f t="shared" si="5"/>
        <v>Wireless telecommunications activities</v>
      </c>
      <c r="C188" s="7" t="b">
        <f>ISNUMBER(MATCH(A188, NormalizedMappingTable[nace_level_3_code], 0))</f>
        <v>0</v>
      </c>
      <c r="D188" s="7" t="s">
        <v>273</v>
      </c>
    </row>
    <row r="189" spans="1:4" x14ac:dyDescent="0.4">
      <c r="A189" s="7" t="str">
        <f t="shared" si="4"/>
        <v>61.3</v>
      </c>
      <c r="B189" s="7" t="str">
        <f t="shared" si="5"/>
        <v>Satellite telecommunications activities</v>
      </c>
      <c r="C189" s="7" t="b">
        <f>ISNUMBER(MATCH(A189, NormalizedMappingTable[nace_level_3_code], 0))</f>
        <v>0</v>
      </c>
      <c r="D189" s="7" t="s">
        <v>274</v>
      </c>
    </row>
    <row r="190" spans="1:4" x14ac:dyDescent="0.4">
      <c r="A190" s="7" t="str">
        <f t="shared" si="4"/>
        <v>61.9</v>
      </c>
      <c r="B190" s="7" t="str">
        <f t="shared" si="5"/>
        <v>Other telecommunications activities</v>
      </c>
      <c r="C190" s="7" t="b">
        <f>ISNUMBER(MATCH(A190, NormalizedMappingTable[nace_level_3_code], 0))</f>
        <v>0</v>
      </c>
      <c r="D190" s="7" t="s">
        <v>275</v>
      </c>
    </row>
    <row r="191" spans="1:4" x14ac:dyDescent="0.4">
      <c r="A191" s="7" t="str">
        <f t="shared" si="4"/>
        <v>62.0</v>
      </c>
      <c r="B191" s="7" t="str">
        <f t="shared" si="5"/>
        <v>Computer programming, consultancy and related activities</v>
      </c>
      <c r="C191" s="7" t="b">
        <f>ISNUMBER(MATCH(A191, NormalizedMappingTable[nace_level_3_code], 0))</f>
        <v>0</v>
      </c>
      <c r="D191" s="7" t="s">
        <v>276</v>
      </c>
    </row>
    <row r="192" spans="1:4" x14ac:dyDescent="0.4">
      <c r="A192" s="7" t="str">
        <f t="shared" si="4"/>
        <v>63.1</v>
      </c>
      <c r="B192" s="7" t="str">
        <f t="shared" si="5"/>
        <v>Data processing, hosting and related activities; web portals</v>
      </c>
      <c r="C192" s="7" t="b">
        <f>ISNUMBER(MATCH(A192, NormalizedMappingTable[nace_level_3_code], 0))</f>
        <v>0</v>
      </c>
      <c r="D192" s="7" t="s">
        <v>277</v>
      </c>
    </row>
    <row r="193" spans="1:4" x14ac:dyDescent="0.4">
      <c r="A193" s="7" t="str">
        <f t="shared" si="4"/>
        <v>63.9</v>
      </c>
      <c r="B193" s="7" t="str">
        <f t="shared" si="5"/>
        <v>Other information service activities</v>
      </c>
      <c r="C193" s="7" t="b">
        <f>ISNUMBER(MATCH(A193, NormalizedMappingTable[nace_level_3_code], 0))</f>
        <v>0</v>
      </c>
      <c r="D193" s="7" t="s">
        <v>278</v>
      </c>
    </row>
    <row r="194" spans="1:4" x14ac:dyDescent="0.4">
      <c r="A194" s="7" t="str">
        <f t="shared" ref="A194:A257" si="6">LEFT(D194,4)</f>
        <v>64.1</v>
      </c>
      <c r="B194" s="7" t="str">
        <f t="shared" si="5"/>
        <v>Monetary intermediation</v>
      </c>
      <c r="C194" s="7" t="b">
        <f>ISNUMBER(MATCH(A194, NormalizedMappingTable[nace_level_3_code], 0))</f>
        <v>0</v>
      </c>
      <c r="D194" s="7" t="s">
        <v>279</v>
      </c>
    </row>
    <row r="195" spans="1:4" x14ac:dyDescent="0.4">
      <c r="A195" s="7" t="str">
        <f t="shared" si="6"/>
        <v>64.2</v>
      </c>
      <c r="B195" s="7" t="str">
        <f t="shared" ref="B195:B258" si="7">SUBSTITUTE(SUBSTITUTE(D195,A195&amp;" ",""),RIGHT(D195,5),"")</f>
        <v>Activities of holding companies</v>
      </c>
      <c r="C195" s="7" t="b">
        <f>ISNUMBER(MATCH(A195, NormalizedMappingTable[nace_level_3_code], 0))</f>
        <v>0</v>
      </c>
      <c r="D195" s="7" t="s">
        <v>280</v>
      </c>
    </row>
    <row r="196" spans="1:4" x14ac:dyDescent="0.4">
      <c r="A196" s="7" t="str">
        <f t="shared" si="6"/>
        <v>64.3</v>
      </c>
      <c r="B196" s="7" t="str">
        <f t="shared" si="7"/>
        <v>Trusts, funds and similar financial entities</v>
      </c>
      <c r="C196" s="7" t="b">
        <f>ISNUMBER(MATCH(A196, NormalizedMappingTable[nace_level_3_code], 0))</f>
        <v>0</v>
      </c>
      <c r="D196" s="7" t="s">
        <v>281</v>
      </c>
    </row>
    <row r="197" spans="1:4" x14ac:dyDescent="0.4">
      <c r="A197" s="7" t="str">
        <f t="shared" si="6"/>
        <v>64.9</v>
      </c>
      <c r="B197" s="7" t="str">
        <f t="shared" si="7"/>
        <v>Other financial service activities, except insurance and pension funding</v>
      </c>
      <c r="C197" s="7" t="b">
        <f>ISNUMBER(MATCH(A197, NormalizedMappingTable[nace_level_3_code], 0))</f>
        <v>0</v>
      </c>
      <c r="D197" s="7" t="s">
        <v>282</v>
      </c>
    </row>
    <row r="198" spans="1:4" x14ac:dyDescent="0.4">
      <c r="A198" s="7" t="str">
        <f t="shared" si="6"/>
        <v>65.1</v>
      </c>
      <c r="B198" s="7" t="str">
        <f t="shared" si="7"/>
        <v>Insurance</v>
      </c>
      <c r="C198" s="7" t="b">
        <f>ISNUMBER(MATCH(A198, NormalizedMappingTable[nace_level_3_code], 0))</f>
        <v>0</v>
      </c>
      <c r="D198" s="7" t="s">
        <v>283</v>
      </c>
    </row>
    <row r="199" spans="1:4" x14ac:dyDescent="0.4">
      <c r="A199" s="7" t="str">
        <f t="shared" si="6"/>
        <v>65.2</v>
      </c>
      <c r="B199" s="7" t="str">
        <f t="shared" si="7"/>
        <v>Reinsurance</v>
      </c>
      <c r="C199" s="7" t="b">
        <f>ISNUMBER(MATCH(A199, NormalizedMappingTable[nace_level_3_code], 0))</f>
        <v>0</v>
      </c>
      <c r="D199" s="7" t="s">
        <v>284</v>
      </c>
    </row>
    <row r="200" spans="1:4" x14ac:dyDescent="0.4">
      <c r="A200" s="7" t="str">
        <f t="shared" si="6"/>
        <v>65.3</v>
      </c>
      <c r="B200" s="7" t="str">
        <f t="shared" si="7"/>
        <v>Pension funding</v>
      </c>
      <c r="C200" s="7" t="b">
        <f>ISNUMBER(MATCH(A200, NormalizedMappingTable[nace_level_3_code], 0))</f>
        <v>0</v>
      </c>
      <c r="D200" s="7" t="s">
        <v>285</v>
      </c>
    </row>
    <row r="201" spans="1:4" x14ac:dyDescent="0.4">
      <c r="A201" s="7" t="str">
        <f t="shared" si="6"/>
        <v>66.1</v>
      </c>
      <c r="B201" s="7" t="str">
        <f t="shared" si="7"/>
        <v>Activities auxiliary to financial services, except insurance and pension funding</v>
      </c>
      <c r="C201" s="7" t="b">
        <f>ISNUMBER(MATCH(A201, NormalizedMappingTable[nace_level_3_code], 0))</f>
        <v>0</v>
      </c>
      <c r="D201" s="7" t="s">
        <v>286</v>
      </c>
    </row>
    <row r="202" spans="1:4" x14ac:dyDescent="0.4">
      <c r="A202" s="7" t="str">
        <f t="shared" si="6"/>
        <v>66.2</v>
      </c>
      <c r="B202" s="7" t="str">
        <f t="shared" si="7"/>
        <v>Activities auxiliary to insurance and pension funding</v>
      </c>
      <c r="C202" s="7" t="b">
        <f>ISNUMBER(MATCH(A202, NormalizedMappingTable[nace_level_3_code], 0))</f>
        <v>0</v>
      </c>
      <c r="D202" s="7" t="s">
        <v>287</v>
      </c>
    </row>
    <row r="203" spans="1:4" x14ac:dyDescent="0.4">
      <c r="A203" s="7" t="str">
        <f t="shared" si="6"/>
        <v>66.3</v>
      </c>
      <c r="B203" s="7" t="str">
        <f t="shared" si="7"/>
        <v>Fund management activities</v>
      </c>
      <c r="C203" s="7" t="b">
        <f>ISNUMBER(MATCH(A203, NormalizedMappingTable[nace_level_3_code], 0))</f>
        <v>0</v>
      </c>
      <c r="D203" s="7" t="s">
        <v>288</v>
      </c>
    </row>
    <row r="204" spans="1:4" x14ac:dyDescent="0.4">
      <c r="A204" s="7" t="str">
        <f t="shared" si="6"/>
        <v>68.1</v>
      </c>
      <c r="B204" s="7" t="str">
        <f t="shared" si="7"/>
        <v>Buying and selling of own real estate</v>
      </c>
      <c r="C204" s="7" t="b">
        <f>ISNUMBER(MATCH(A204, NormalizedMappingTable[nace_level_3_code], 0))</f>
        <v>0</v>
      </c>
      <c r="D204" s="7" t="s">
        <v>289</v>
      </c>
    </row>
    <row r="205" spans="1:4" x14ac:dyDescent="0.4">
      <c r="A205" s="7" t="str">
        <f t="shared" si="6"/>
        <v>68.2</v>
      </c>
      <c r="B205" s="7" t="str">
        <f t="shared" si="7"/>
        <v>Rental and operating of own or leased real estate</v>
      </c>
      <c r="C205" s="7" t="b">
        <f>ISNUMBER(MATCH(A205, NormalizedMappingTable[nace_level_3_code], 0))</f>
        <v>0</v>
      </c>
      <c r="D205" s="7" t="s">
        <v>290</v>
      </c>
    </row>
    <row r="206" spans="1:4" x14ac:dyDescent="0.4">
      <c r="A206" s="7" t="str">
        <f t="shared" si="6"/>
        <v>68.3</v>
      </c>
      <c r="B206" s="7" t="str">
        <f t="shared" si="7"/>
        <v>Real estate activities on a fee or contract basis</v>
      </c>
      <c r="C206" s="7" t="b">
        <f>ISNUMBER(MATCH(A206, NormalizedMappingTable[nace_level_3_code], 0))</f>
        <v>0</v>
      </c>
      <c r="D206" s="7" t="s">
        <v>291</v>
      </c>
    </row>
    <row r="207" spans="1:4" x14ac:dyDescent="0.4">
      <c r="A207" s="7" t="str">
        <f t="shared" si="6"/>
        <v>69.1</v>
      </c>
      <c r="B207" s="7" t="str">
        <f t="shared" si="7"/>
        <v>Legal activities</v>
      </c>
      <c r="C207" s="7" t="b">
        <f>ISNUMBER(MATCH(A207, NormalizedMappingTable[nace_level_3_code], 0))</f>
        <v>0</v>
      </c>
      <c r="D207" s="7" t="s">
        <v>292</v>
      </c>
    </row>
    <row r="208" spans="1:4" x14ac:dyDescent="0.4">
      <c r="A208" s="7" t="str">
        <f t="shared" si="6"/>
        <v>69.2</v>
      </c>
      <c r="B208" s="7" t="str">
        <f t="shared" si="7"/>
        <v>Accounting, bookkeeping and auditing activities; tax consultancy</v>
      </c>
      <c r="C208" s="7" t="b">
        <f>ISNUMBER(MATCH(A208, NormalizedMappingTable[nace_level_3_code], 0))</f>
        <v>0</v>
      </c>
      <c r="D208" s="7" t="s">
        <v>293</v>
      </c>
    </row>
    <row r="209" spans="1:4" x14ac:dyDescent="0.4">
      <c r="A209" s="7" t="str">
        <f t="shared" si="6"/>
        <v>70.1</v>
      </c>
      <c r="B209" s="7" t="str">
        <f t="shared" si="7"/>
        <v>Activities of head offices</v>
      </c>
      <c r="C209" s="7" t="b">
        <f>ISNUMBER(MATCH(A209, NormalizedMappingTable[nace_level_3_code], 0))</f>
        <v>0</v>
      </c>
      <c r="D209" s="7" t="s">
        <v>294</v>
      </c>
    </row>
    <row r="210" spans="1:4" x14ac:dyDescent="0.4">
      <c r="A210" s="7" t="str">
        <f t="shared" si="6"/>
        <v>70.2</v>
      </c>
      <c r="B210" s="7" t="str">
        <f t="shared" si="7"/>
        <v>Management consultancy activities</v>
      </c>
      <c r="C210" s="7" t="b">
        <f>ISNUMBER(MATCH(A210, NormalizedMappingTable[nace_level_3_code], 0))</f>
        <v>0</v>
      </c>
      <c r="D210" s="7" t="s">
        <v>295</v>
      </c>
    </row>
    <row r="211" spans="1:4" x14ac:dyDescent="0.4">
      <c r="A211" s="7" t="str">
        <f t="shared" si="6"/>
        <v>71.1</v>
      </c>
      <c r="B211" s="7" t="str">
        <f t="shared" si="7"/>
        <v>Architectural and engineering activities and related technical consultancy</v>
      </c>
      <c r="C211" s="7" t="b">
        <f>ISNUMBER(MATCH(A211, NormalizedMappingTable[nace_level_3_code], 0))</f>
        <v>0</v>
      </c>
      <c r="D211" s="7" t="s">
        <v>296</v>
      </c>
    </row>
    <row r="212" spans="1:4" x14ac:dyDescent="0.4">
      <c r="A212" s="7" t="str">
        <f t="shared" si="6"/>
        <v>71.2</v>
      </c>
      <c r="B212" s="7" t="str">
        <f t="shared" si="7"/>
        <v>Technical testing and analysis</v>
      </c>
      <c r="C212" s="7" t="b">
        <f>ISNUMBER(MATCH(A212, NormalizedMappingTable[nace_level_3_code], 0))</f>
        <v>0</v>
      </c>
      <c r="D212" s="7" t="s">
        <v>297</v>
      </c>
    </row>
    <row r="213" spans="1:4" x14ac:dyDescent="0.4">
      <c r="A213" s="7" t="str">
        <f t="shared" si="6"/>
        <v>72.1</v>
      </c>
      <c r="B213" s="7" t="str">
        <f t="shared" si="7"/>
        <v>Research and experimental development on natural sciences and engineering</v>
      </c>
      <c r="C213" s="7" t="b">
        <f>ISNUMBER(MATCH(A213, NormalizedMappingTable[nace_level_3_code], 0))</f>
        <v>0</v>
      </c>
      <c r="D213" s="7" t="s">
        <v>298</v>
      </c>
    </row>
    <row r="214" spans="1:4" x14ac:dyDescent="0.4">
      <c r="A214" s="7" t="str">
        <f t="shared" si="6"/>
        <v>72.2</v>
      </c>
      <c r="B214" s="7" t="str">
        <f t="shared" si="7"/>
        <v>Research and experimental development on social sciences and humanities</v>
      </c>
      <c r="C214" s="7" t="b">
        <f>ISNUMBER(MATCH(A214, NormalizedMappingTable[nace_level_3_code], 0))</f>
        <v>0</v>
      </c>
      <c r="D214" s="7" t="s">
        <v>299</v>
      </c>
    </row>
    <row r="215" spans="1:4" x14ac:dyDescent="0.4">
      <c r="A215" s="7" t="str">
        <f t="shared" si="6"/>
        <v>73.1</v>
      </c>
      <c r="B215" s="7" t="str">
        <f t="shared" si="7"/>
        <v>Advertising</v>
      </c>
      <c r="C215" s="7" t="b">
        <f>ISNUMBER(MATCH(A215, NormalizedMappingTable[nace_level_3_code], 0))</f>
        <v>0</v>
      </c>
      <c r="D215" s="7" t="s">
        <v>300</v>
      </c>
    </row>
    <row r="216" spans="1:4" x14ac:dyDescent="0.4">
      <c r="A216" s="7" t="str">
        <f t="shared" si="6"/>
        <v>73.2</v>
      </c>
      <c r="B216" s="7" t="str">
        <f t="shared" si="7"/>
        <v>Market research and public opinion polling</v>
      </c>
      <c r="C216" s="7" t="b">
        <f>ISNUMBER(MATCH(A216, NormalizedMappingTable[nace_level_3_code], 0))</f>
        <v>0</v>
      </c>
      <c r="D216" s="7" t="s">
        <v>301</v>
      </c>
    </row>
    <row r="217" spans="1:4" x14ac:dyDescent="0.4">
      <c r="A217" s="7" t="str">
        <f t="shared" si="6"/>
        <v>74.1</v>
      </c>
      <c r="B217" s="7" t="str">
        <f t="shared" si="7"/>
        <v>Specialised design activities</v>
      </c>
      <c r="C217" s="7" t="b">
        <f>ISNUMBER(MATCH(A217, NormalizedMappingTable[nace_level_3_code], 0))</f>
        <v>0</v>
      </c>
      <c r="D217" s="7" t="s">
        <v>302</v>
      </c>
    </row>
    <row r="218" spans="1:4" x14ac:dyDescent="0.4">
      <c r="A218" s="7" t="str">
        <f t="shared" si="6"/>
        <v>74.2</v>
      </c>
      <c r="B218" s="7" t="str">
        <f t="shared" si="7"/>
        <v>Photographic activities</v>
      </c>
      <c r="C218" s="7" t="b">
        <f>ISNUMBER(MATCH(A218, NormalizedMappingTable[nace_level_3_code], 0))</f>
        <v>0</v>
      </c>
      <c r="D218" s="7" t="s">
        <v>303</v>
      </c>
    </row>
    <row r="219" spans="1:4" x14ac:dyDescent="0.4">
      <c r="A219" s="7" t="str">
        <f t="shared" si="6"/>
        <v>74.3</v>
      </c>
      <c r="B219" s="7" t="str">
        <f t="shared" si="7"/>
        <v>Translation and interpretation activities</v>
      </c>
      <c r="C219" s="7" t="b">
        <f>ISNUMBER(MATCH(A219, NormalizedMappingTable[nace_level_3_code], 0))</f>
        <v>0</v>
      </c>
      <c r="D219" s="7" t="s">
        <v>304</v>
      </c>
    </row>
    <row r="220" spans="1:4" x14ac:dyDescent="0.4">
      <c r="A220" s="7" t="str">
        <f t="shared" si="6"/>
        <v>74.9</v>
      </c>
      <c r="B220" s="7" t="str">
        <f t="shared" si="7"/>
        <v>Other professional, scientific and technical activities n.e.c.</v>
      </c>
      <c r="C220" s="7" t="b">
        <f>ISNUMBER(MATCH(A220, NormalizedMappingTable[nace_level_3_code], 0))</f>
        <v>0</v>
      </c>
      <c r="D220" s="7" t="s">
        <v>305</v>
      </c>
    </row>
    <row r="221" spans="1:4" x14ac:dyDescent="0.4">
      <c r="A221" s="7" t="str">
        <f t="shared" si="6"/>
        <v>75.0</v>
      </c>
      <c r="B221" s="7" t="str">
        <f t="shared" si="7"/>
        <v>Veterinary activities</v>
      </c>
      <c r="C221" s="7" t="b">
        <f>ISNUMBER(MATCH(A221, NormalizedMappingTable[nace_level_3_code], 0))</f>
        <v>0</v>
      </c>
      <c r="D221" s="7" t="s">
        <v>306</v>
      </c>
    </row>
    <row r="222" spans="1:4" x14ac:dyDescent="0.4">
      <c r="A222" s="7" t="str">
        <f t="shared" si="6"/>
        <v>77.1</v>
      </c>
      <c r="B222" s="7" t="str">
        <f t="shared" si="7"/>
        <v>Rental and leasing of motor vehicles</v>
      </c>
      <c r="C222" s="7" t="b">
        <f>ISNUMBER(MATCH(A222, NormalizedMappingTable[nace_level_3_code], 0))</f>
        <v>0</v>
      </c>
      <c r="D222" s="7" t="s">
        <v>307</v>
      </c>
    </row>
    <row r="223" spans="1:4" x14ac:dyDescent="0.4">
      <c r="A223" s="7" t="str">
        <f t="shared" si="6"/>
        <v>77.2</v>
      </c>
      <c r="B223" s="7" t="str">
        <f t="shared" si="7"/>
        <v>Rental and leasing of personal and household goods</v>
      </c>
      <c r="C223" s="7" t="b">
        <f>ISNUMBER(MATCH(A223, NormalizedMappingTable[nace_level_3_code], 0))</f>
        <v>0</v>
      </c>
      <c r="D223" s="7" t="s">
        <v>308</v>
      </c>
    </row>
    <row r="224" spans="1:4" x14ac:dyDescent="0.4">
      <c r="A224" s="7" t="str">
        <f t="shared" si="6"/>
        <v>77.3</v>
      </c>
      <c r="B224" s="7" t="str">
        <f t="shared" si="7"/>
        <v>Rental and leasing of other machinery, equipment and tangible goods</v>
      </c>
      <c r="C224" s="7" t="b">
        <f>ISNUMBER(MATCH(A224, NormalizedMappingTable[nace_level_3_code], 0))</f>
        <v>0</v>
      </c>
      <c r="D224" s="7" t="s">
        <v>309</v>
      </c>
    </row>
    <row r="225" spans="1:4" x14ac:dyDescent="0.4">
      <c r="A225" s="7" t="str">
        <f t="shared" si="6"/>
        <v>77.4</v>
      </c>
      <c r="B225" s="7" t="str">
        <f t="shared" si="7"/>
        <v>Leasing of intellectual property and similar products, except copyrighted works</v>
      </c>
      <c r="C225" s="7" t="b">
        <f>ISNUMBER(MATCH(A225, NormalizedMappingTable[nace_level_3_code], 0))</f>
        <v>0</v>
      </c>
      <c r="D225" s="7" t="s">
        <v>310</v>
      </c>
    </row>
    <row r="226" spans="1:4" x14ac:dyDescent="0.4">
      <c r="A226" s="7" t="str">
        <f t="shared" si="6"/>
        <v>78.1</v>
      </c>
      <c r="B226" s="7" t="str">
        <f t="shared" si="7"/>
        <v>Activities of employment placement agencies</v>
      </c>
      <c r="C226" s="7" t="b">
        <f>ISNUMBER(MATCH(A226, NormalizedMappingTable[nace_level_3_code], 0))</f>
        <v>0</v>
      </c>
      <c r="D226" s="7" t="s">
        <v>311</v>
      </c>
    </row>
    <row r="227" spans="1:4" x14ac:dyDescent="0.4">
      <c r="A227" s="7" t="str">
        <f t="shared" si="6"/>
        <v>78.2</v>
      </c>
      <c r="B227" s="7" t="str">
        <f t="shared" si="7"/>
        <v>Temporary employment agency activities</v>
      </c>
      <c r="C227" s="7" t="b">
        <f>ISNUMBER(MATCH(A227, NormalizedMappingTable[nace_level_3_code], 0))</f>
        <v>0</v>
      </c>
      <c r="D227" s="7" t="s">
        <v>312</v>
      </c>
    </row>
    <row r="228" spans="1:4" x14ac:dyDescent="0.4">
      <c r="A228" s="7" t="str">
        <f t="shared" si="6"/>
        <v>78.3</v>
      </c>
      <c r="B228" s="7" t="str">
        <f t="shared" si="7"/>
        <v>Other human resources provision</v>
      </c>
      <c r="C228" s="7" t="b">
        <f>ISNUMBER(MATCH(A228, NormalizedMappingTable[nace_level_3_code], 0))</f>
        <v>0</v>
      </c>
      <c r="D228" s="7" t="s">
        <v>313</v>
      </c>
    </row>
    <row r="229" spans="1:4" x14ac:dyDescent="0.4">
      <c r="A229" s="7" t="str">
        <f t="shared" si="6"/>
        <v>79.1</v>
      </c>
      <c r="B229" s="7" t="str">
        <f t="shared" si="7"/>
        <v>Travel agency and tour operator activities</v>
      </c>
      <c r="C229" s="7" t="b">
        <f>ISNUMBER(MATCH(A229, NormalizedMappingTable[nace_level_3_code], 0))</f>
        <v>0</v>
      </c>
      <c r="D229" s="7" t="s">
        <v>314</v>
      </c>
    </row>
    <row r="230" spans="1:4" x14ac:dyDescent="0.4">
      <c r="A230" s="7" t="str">
        <f t="shared" si="6"/>
        <v>79.9</v>
      </c>
      <c r="B230" s="7" t="str">
        <f t="shared" si="7"/>
        <v>Other reservation service and related activities</v>
      </c>
      <c r="C230" s="7" t="b">
        <f>ISNUMBER(MATCH(A230, NormalizedMappingTable[nace_level_3_code], 0))</f>
        <v>0</v>
      </c>
      <c r="D230" s="7" t="s">
        <v>315</v>
      </c>
    </row>
    <row r="231" spans="1:4" x14ac:dyDescent="0.4">
      <c r="A231" s="7" t="str">
        <f t="shared" si="6"/>
        <v>80.1</v>
      </c>
      <c r="B231" s="7" t="str">
        <f t="shared" si="7"/>
        <v>Private security activities</v>
      </c>
      <c r="C231" s="7" t="b">
        <f>ISNUMBER(MATCH(A231, NormalizedMappingTable[nace_level_3_code], 0))</f>
        <v>0</v>
      </c>
      <c r="D231" s="7" t="s">
        <v>316</v>
      </c>
    </row>
    <row r="232" spans="1:4" x14ac:dyDescent="0.4">
      <c r="A232" s="7" t="str">
        <f t="shared" si="6"/>
        <v>80.2</v>
      </c>
      <c r="B232" s="7" t="str">
        <f t="shared" si="7"/>
        <v>Security systems service activities</v>
      </c>
      <c r="C232" s="7" t="b">
        <f>ISNUMBER(MATCH(A232, NormalizedMappingTable[nace_level_3_code], 0))</f>
        <v>0</v>
      </c>
      <c r="D232" s="7" t="s">
        <v>317</v>
      </c>
    </row>
    <row r="233" spans="1:4" x14ac:dyDescent="0.4">
      <c r="A233" s="7" t="str">
        <f t="shared" si="6"/>
        <v>80.3</v>
      </c>
      <c r="B233" s="7" t="str">
        <f t="shared" si="7"/>
        <v>Investigation activities</v>
      </c>
      <c r="C233" s="7" t="b">
        <f>ISNUMBER(MATCH(A233, NormalizedMappingTable[nace_level_3_code], 0))</f>
        <v>0</v>
      </c>
      <c r="D233" s="7" t="s">
        <v>318</v>
      </c>
    </row>
    <row r="234" spans="1:4" x14ac:dyDescent="0.4">
      <c r="A234" s="7" t="str">
        <f t="shared" si="6"/>
        <v>81.1</v>
      </c>
      <c r="B234" s="7" t="str">
        <f t="shared" si="7"/>
        <v>Combined facilities support activities</v>
      </c>
      <c r="C234" s="7" t="b">
        <f>ISNUMBER(MATCH(A234, NormalizedMappingTable[nace_level_3_code], 0))</f>
        <v>0</v>
      </c>
      <c r="D234" s="7" t="s">
        <v>319</v>
      </c>
    </row>
    <row r="235" spans="1:4" x14ac:dyDescent="0.4">
      <c r="A235" s="7" t="str">
        <f t="shared" si="6"/>
        <v>81.2</v>
      </c>
      <c r="B235" s="7" t="str">
        <f t="shared" si="7"/>
        <v>Cleaning activities</v>
      </c>
      <c r="C235" s="7" t="b">
        <f>ISNUMBER(MATCH(A235, NormalizedMappingTable[nace_level_3_code], 0))</f>
        <v>0</v>
      </c>
      <c r="D235" s="7" t="s">
        <v>320</v>
      </c>
    </row>
    <row r="236" spans="1:4" x14ac:dyDescent="0.4">
      <c r="A236" s="7" t="str">
        <f t="shared" si="6"/>
        <v>81.3</v>
      </c>
      <c r="B236" s="7" t="str">
        <f t="shared" si="7"/>
        <v>Landscape service activities</v>
      </c>
      <c r="C236" s="7" t="b">
        <f>ISNUMBER(MATCH(A236, NormalizedMappingTable[nace_level_3_code], 0))</f>
        <v>0</v>
      </c>
      <c r="D236" s="7" t="s">
        <v>321</v>
      </c>
    </row>
    <row r="237" spans="1:4" x14ac:dyDescent="0.4">
      <c r="A237" s="7" t="str">
        <f t="shared" si="6"/>
        <v>82.1</v>
      </c>
      <c r="B237" s="7" t="str">
        <f t="shared" si="7"/>
        <v>Office administrative and support activities</v>
      </c>
      <c r="C237" s="7" t="b">
        <f>ISNUMBER(MATCH(A237, NormalizedMappingTable[nace_level_3_code], 0))</f>
        <v>0</v>
      </c>
      <c r="D237" s="7" t="s">
        <v>322</v>
      </c>
    </row>
    <row r="238" spans="1:4" x14ac:dyDescent="0.4">
      <c r="A238" s="7" t="str">
        <f t="shared" si="6"/>
        <v>82.2</v>
      </c>
      <c r="B238" s="7" t="str">
        <f t="shared" si="7"/>
        <v>Activities of call centres</v>
      </c>
      <c r="C238" s="7" t="b">
        <f>ISNUMBER(MATCH(A238, NormalizedMappingTable[nace_level_3_code], 0))</f>
        <v>0</v>
      </c>
      <c r="D238" s="7" t="s">
        <v>323</v>
      </c>
    </row>
    <row r="239" spans="1:4" x14ac:dyDescent="0.4">
      <c r="A239" s="7" t="str">
        <f t="shared" si="6"/>
        <v>82.3</v>
      </c>
      <c r="B239" s="7" t="str">
        <f t="shared" si="7"/>
        <v>Organisation of conventions and trade shows</v>
      </c>
      <c r="C239" s="7" t="b">
        <f>ISNUMBER(MATCH(A239, NormalizedMappingTable[nace_level_3_code], 0))</f>
        <v>0</v>
      </c>
      <c r="D239" s="7" t="s">
        <v>324</v>
      </c>
    </row>
    <row r="240" spans="1:4" x14ac:dyDescent="0.4">
      <c r="A240" s="7" t="str">
        <f t="shared" si="6"/>
        <v>82.9</v>
      </c>
      <c r="B240" s="7" t="str">
        <f t="shared" si="7"/>
        <v>Business support service activities n.e.c.</v>
      </c>
      <c r="C240" s="7" t="b">
        <f>ISNUMBER(MATCH(A240, NormalizedMappingTable[nace_level_3_code], 0))</f>
        <v>0</v>
      </c>
      <c r="D240" s="7" t="s">
        <v>325</v>
      </c>
    </row>
    <row r="241" spans="1:4" x14ac:dyDescent="0.4">
      <c r="A241" s="7" t="str">
        <f t="shared" si="6"/>
        <v>84.1</v>
      </c>
      <c r="B241" s="7" t="str">
        <f t="shared" si="7"/>
        <v>Administration of the State and the economic and social policy of the community</v>
      </c>
      <c r="C241" s="7" t="b">
        <f>ISNUMBER(MATCH(A241, NormalizedMappingTable[nace_level_3_code], 0))</f>
        <v>0</v>
      </c>
      <c r="D241" s="7" t="s">
        <v>326</v>
      </c>
    </row>
    <row r="242" spans="1:4" x14ac:dyDescent="0.4">
      <c r="A242" s="7" t="str">
        <f t="shared" si="6"/>
        <v>84.2</v>
      </c>
      <c r="B242" s="7" t="str">
        <f t="shared" si="7"/>
        <v>Provision of services to the community as a whole</v>
      </c>
      <c r="C242" s="7" t="b">
        <f>ISNUMBER(MATCH(A242, NormalizedMappingTable[nace_level_3_code], 0))</f>
        <v>0</v>
      </c>
      <c r="D242" s="7" t="s">
        <v>327</v>
      </c>
    </row>
    <row r="243" spans="1:4" x14ac:dyDescent="0.4">
      <c r="A243" s="7" t="str">
        <f t="shared" si="6"/>
        <v>84.3</v>
      </c>
      <c r="B243" s="7" t="str">
        <f t="shared" si="7"/>
        <v>Compulsory social security activities</v>
      </c>
      <c r="C243" s="7" t="b">
        <f>ISNUMBER(MATCH(A243, NormalizedMappingTable[nace_level_3_code], 0))</f>
        <v>0</v>
      </c>
      <c r="D243" s="7" t="s">
        <v>328</v>
      </c>
    </row>
    <row r="244" spans="1:4" x14ac:dyDescent="0.4">
      <c r="A244" s="7" t="str">
        <f t="shared" si="6"/>
        <v>85.1</v>
      </c>
      <c r="B244" s="7" t="str">
        <f t="shared" si="7"/>
        <v>Pre-primary education</v>
      </c>
      <c r="C244" s="7" t="b">
        <f>ISNUMBER(MATCH(A244, NormalizedMappingTable[nace_level_3_code], 0))</f>
        <v>0</v>
      </c>
      <c r="D244" s="7" t="s">
        <v>329</v>
      </c>
    </row>
    <row r="245" spans="1:4" x14ac:dyDescent="0.4">
      <c r="A245" s="7" t="str">
        <f t="shared" si="6"/>
        <v>85.2</v>
      </c>
      <c r="B245" s="7" t="str">
        <f t="shared" si="7"/>
        <v>Primary education</v>
      </c>
      <c r="C245" s="7" t="b">
        <f>ISNUMBER(MATCH(A245, NormalizedMappingTable[nace_level_3_code], 0))</f>
        <v>0</v>
      </c>
      <c r="D245" s="7" t="s">
        <v>330</v>
      </c>
    </row>
    <row r="246" spans="1:4" x14ac:dyDescent="0.4">
      <c r="A246" s="7" t="str">
        <f t="shared" si="6"/>
        <v>85.3</v>
      </c>
      <c r="B246" s="7" t="str">
        <f t="shared" si="7"/>
        <v>Secondary education</v>
      </c>
      <c r="C246" s="7" t="b">
        <f>ISNUMBER(MATCH(A246, NormalizedMappingTable[nace_level_3_code], 0))</f>
        <v>0</v>
      </c>
      <c r="D246" s="7" t="s">
        <v>331</v>
      </c>
    </row>
    <row r="247" spans="1:4" x14ac:dyDescent="0.4">
      <c r="A247" s="7" t="str">
        <f t="shared" si="6"/>
        <v>85.4</v>
      </c>
      <c r="B247" s="7" t="str">
        <f t="shared" si="7"/>
        <v>Higher education</v>
      </c>
      <c r="C247" s="7" t="b">
        <f>ISNUMBER(MATCH(A247, NormalizedMappingTable[nace_level_3_code], 0))</f>
        <v>0</v>
      </c>
      <c r="D247" s="7" t="s">
        <v>332</v>
      </c>
    </row>
    <row r="248" spans="1:4" x14ac:dyDescent="0.4">
      <c r="A248" s="7" t="str">
        <f t="shared" si="6"/>
        <v>85.5</v>
      </c>
      <c r="B248" s="7" t="str">
        <f t="shared" si="7"/>
        <v>Other education</v>
      </c>
      <c r="C248" s="7" t="b">
        <f>ISNUMBER(MATCH(A248, NormalizedMappingTable[nace_level_3_code], 0))</f>
        <v>0</v>
      </c>
      <c r="D248" s="7" t="s">
        <v>333</v>
      </c>
    </row>
    <row r="249" spans="1:4" x14ac:dyDescent="0.4">
      <c r="A249" s="7" t="str">
        <f t="shared" si="6"/>
        <v>85.6</v>
      </c>
      <c r="B249" s="7" t="str">
        <f t="shared" si="7"/>
        <v>Educational support activities</v>
      </c>
      <c r="C249" s="7" t="b">
        <f>ISNUMBER(MATCH(A249, NormalizedMappingTable[nace_level_3_code], 0))</f>
        <v>0</v>
      </c>
      <c r="D249" s="7" t="s">
        <v>334</v>
      </c>
    </row>
    <row r="250" spans="1:4" x14ac:dyDescent="0.4">
      <c r="A250" s="7" t="str">
        <f t="shared" si="6"/>
        <v>86.1</v>
      </c>
      <c r="B250" s="7" t="str">
        <f t="shared" si="7"/>
        <v>Hospital activities</v>
      </c>
      <c r="C250" s="7" t="b">
        <f>ISNUMBER(MATCH(A250, NormalizedMappingTable[nace_level_3_code], 0))</f>
        <v>0</v>
      </c>
      <c r="D250" s="7" t="s">
        <v>335</v>
      </c>
    </row>
    <row r="251" spans="1:4" x14ac:dyDescent="0.4">
      <c r="A251" s="7" t="str">
        <f t="shared" si="6"/>
        <v>86.2</v>
      </c>
      <c r="B251" s="7" t="str">
        <f t="shared" si="7"/>
        <v>Medical and dental practice activities</v>
      </c>
      <c r="C251" s="7" t="b">
        <f>ISNUMBER(MATCH(A251, NormalizedMappingTable[nace_level_3_code], 0))</f>
        <v>0</v>
      </c>
      <c r="D251" s="7" t="s">
        <v>336</v>
      </c>
    </row>
    <row r="252" spans="1:4" x14ac:dyDescent="0.4">
      <c r="A252" s="7" t="str">
        <f t="shared" si="6"/>
        <v>86.9</v>
      </c>
      <c r="B252" s="7" t="str">
        <f t="shared" si="7"/>
        <v>Other human health activities</v>
      </c>
      <c r="C252" s="7" t="b">
        <f>ISNUMBER(MATCH(A252, NormalizedMappingTable[nace_level_3_code], 0))</f>
        <v>0</v>
      </c>
      <c r="D252" s="7" t="s">
        <v>337</v>
      </c>
    </row>
    <row r="253" spans="1:4" x14ac:dyDescent="0.4">
      <c r="A253" s="7" t="str">
        <f t="shared" si="6"/>
        <v>87.1</v>
      </c>
      <c r="B253" s="7" t="str">
        <f t="shared" si="7"/>
        <v>Residential nursing care activities</v>
      </c>
      <c r="C253" s="7" t="b">
        <f>ISNUMBER(MATCH(A253, NormalizedMappingTable[nace_level_3_code], 0))</f>
        <v>0</v>
      </c>
      <c r="D253" s="7" t="s">
        <v>338</v>
      </c>
    </row>
    <row r="254" spans="1:4" x14ac:dyDescent="0.4">
      <c r="A254" s="7" t="str">
        <f t="shared" si="6"/>
        <v>87.2</v>
      </c>
      <c r="B254" s="7" t="str">
        <f t="shared" si="7"/>
        <v>Residential care activities for mental retardation, mental health and substance abuse</v>
      </c>
      <c r="C254" s="7" t="b">
        <f>ISNUMBER(MATCH(A254, NormalizedMappingTable[nace_level_3_code], 0))</f>
        <v>0</v>
      </c>
      <c r="D254" s="7" t="s">
        <v>339</v>
      </c>
    </row>
    <row r="255" spans="1:4" x14ac:dyDescent="0.4">
      <c r="A255" s="7" t="str">
        <f t="shared" si="6"/>
        <v>87.3</v>
      </c>
      <c r="B255" s="7" t="str">
        <f t="shared" si="7"/>
        <v>Residential care activities for the elderly and disabled</v>
      </c>
      <c r="C255" s="7" t="b">
        <f>ISNUMBER(MATCH(A255, NormalizedMappingTable[nace_level_3_code], 0))</f>
        <v>0</v>
      </c>
      <c r="D255" s="7" t="s">
        <v>340</v>
      </c>
    </row>
    <row r="256" spans="1:4" x14ac:dyDescent="0.4">
      <c r="A256" s="7" t="str">
        <f t="shared" si="6"/>
        <v>87.9</v>
      </c>
      <c r="B256" s="7" t="str">
        <f t="shared" si="7"/>
        <v>Other residential care activities</v>
      </c>
      <c r="C256" s="7" t="b">
        <f>ISNUMBER(MATCH(A256, NormalizedMappingTable[nace_level_3_code], 0))</f>
        <v>0</v>
      </c>
      <c r="D256" s="7" t="s">
        <v>341</v>
      </c>
    </row>
    <row r="257" spans="1:4" x14ac:dyDescent="0.4">
      <c r="A257" s="7" t="str">
        <f t="shared" si="6"/>
        <v>88.1</v>
      </c>
      <c r="B257" s="7" t="str">
        <f t="shared" si="7"/>
        <v>Social work activities without accommodation for the elderly and disabled</v>
      </c>
      <c r="C257" s="7" t="b">
        <f>ISNUMBER(MATCH(A257, NormalizedMappingTable[nace_level_3_code], 0))</f>
        <v>0</v>
      </c>
      <c r="D257" s="7" t="s">
        <v>342</v>
      </c>
    </row>
    <row r="258" spans="1:4" x14ac:dyDescent="0.4">
      <c r="A258" s="7" t="str">
        <f t="shared" ref="A258:A273" si="8">LEFT(D258,4)</f>
        <v>88.9</v>
      </c>
      <c r="B258" s="7" t="str">
        <f t="shared" si="7"/>
        <v>Other social work activities without accommodation</v>
      </c>
      <c r="C258" s="7" t="b">
        <f>ISNUMBER(MATCH(A258, NormalizedMappingTable[nace_level_3_code], 0))</f>
        <v>0</v>
      </c>
      <c r="D258" s="7" t="s">
        <v>343</v>
      </c>
    </row>
    <row r="259" spans="1:4" x14ac:dyDescent="0.4">
      <c r="A259" s="7" t="str">
        <f t="shared" si="8"/>
        <v>90.0</v>
      </c>
      <c r="B259" s="7" t="str">
        <f t="shared" ref="B259:B273" si="9">SUBSTITUTE(SUBSTITUTE(D259,A259&amp;" ",""),RIGHT(D259,5),"")</f>
        <v>Creative, arts and entertainment activities</v>
      </c>
      <c r="C259" s="7" t="b">
        <f>ISNUMBER(MATCH(A259, NormalizedMappingTable[nace_level_3_code], 0))</f>
        <v>0</v>
      </c>
      <c r="D259" s="7" t="s">
        <v>344</v>
      </c>
    </row>
    <row r="260" spans="1:4" x14ac:dyDescent="0.4">
      <c r="A260" s="7" t="str">
        <f t="shared" si="8"/>
        <v>91.0</v>
      </c>
      <c r="B260" s="7" t="str">
        <f t="shared" si="9"/>
        <v>Libraries, archives, museums and other cultural activities</v>
      </c>
      <c r="C260" s="7" t="b">
        <f>ISNUMBER(MATCH(A260, NormalizedMappingTable[nace_level_3_code], 0))</f>
        <v>0</v>
      </c>
      <c r="D260" s="7" t="s">
        <v>345</v>
      </c>
    </row>
    <row r="261" spans="1:4" x14ac:dyDescent="0.4">
      <c r="A261" s="7" t="str">
        <f t="shared" si="8"/>
        <v>92.0</v>
      </c>
      <c r="B261" s="7" t="str">
        <f t="shared" si="9"/>
        <v>Gambling and betting activities</v>
      </c>
      <c r="C261" s="7" t="b">
        <f>ISNUMBER(MATCH(A261, NormalizedMappingTable[nace_level_3_code], 0))</f>
        <v>0</v>
      </c>
      <c r="D261" s="7" t="s">
        <v>346</v>
      </c>
    </row>
    <row r="262" spans="1:4" x14ac:dyDescent="0.4">
      <c r="A262" s="7" t="str">
        <f t="shared" si="8"/>
        <v>93.1</v>
      </c>
      <c r="B262" s="7" t="str">
        <f t="shared" si="9"/>
        <v>Sports activities</v>
      </c>
      <c r="C262" s="7" t="b">
        <f>ISNUMBER(MATCH(A262, NormalizedMappingTable[nace_level_3_code], 0))</f>
        <v>0</v>
      </c>
      <c r="D262" s="7" t="s">
        <v>347</v>
      </c>
    </row>
    <row r="263" spans="1:4" x14ac:dyDescent="0.4">
      <c r="A263" s="7" t="str">
        <f t="shared" si="8"/>
        <v>93.2</v>
      </c>
      <c r="B263" s="7" t="str">
        <f t="shared" si="9"/>
        <v>Amusement and recreation activities</v>
      </c>
      <c r="C263" s="7" t="b">
        <f>ISNUMBER(MATCH(A263, NormalizedMappingTable[nace_level_3_code], 0))</f>
        <v>0</v>
      </c>
      <c r="D263" s="7" t="s">
        <v>348</v>
      </c>
    </row>
    <row r="264" spans="1:4" x14ac:dyDescent="0.4">
      <c r="A264" s="7" t="str">
        <f t="shared" si="8"/>
        <v>94.1</v>
      </c>
      <c r="B264" s="7" t="str">
        <f t="shared" si="9"/>
        <v>Activities of business, employers and professional membership organisations</v>
      </c>
      <c r="C264" s="7" t="b">
        <f>ISNUMBER(MATCH(A264, NormalizedMappingTable[nace_level_3_code], 0))</f>
        <v>0</v>
      </c>
      <c r="D264" s="7" t="s">
        <v>349</v>
      </c>
    </row>
    <row r="265" spans="1:4" x14ac:dyDescent="0.4">
      <c r="A265" s="7" t="str">
        <f t="shared" si="8"/>
        <v>94.2</v>
      </c>
      <c r="B265" s="7" t="str">
        <f t="shared" si="9"/>
        <v>Activities of trade unions</v>
      </c>
      <c r="C265" s="7" t="b">
        <f>ISNUMBER(MATCH(A265, NormalizedMappingTable[nace_level_3_code], 0))</f>
        <v>0</v>
      </c>
      <c r="D265" s="7" t="s">
        <v>350</v>
      </c>
    </row>
    <row r="266" spans="1:4" x14ac:dyDescent="0.4">
      <c r="A266" s="7" t="str">
        <f t="shared" si="8"/>
        <v>94.9</v>
      </c>
      <c r="B266" s="7" t="str">
        <f t="shared" si="9"/>
        <v>Activities of other membership organisations</v>
      </c>
      <c r="C266" s="7" t="b">
        <f>ISNUMBER(MATCH(A266, NormalizedMappingTable[nace_level_3_code], 0))</f>
        <v>0</v>
      </c>
      <c r="D266" s="7" t="s">
        <v>351</v>
      </c>
    </row>
    <row r="267" spans="1:4" x14ac:dyDescent="0.4">
      <c r="A267" s="7" t="str">
        <f t="shared" si="8"/>
        <v>95.1</v>
      </c>
      <c r="B267" s="7" t="str">
        <f t="shared" si="9"/>
        <v>Repair of computers and communication equipment</v>
      </c>
      <c r="C267" s="7" t="b">
        <f>ISNUMBER(MATCH(A267, NormalizedMappingTable[nace_level_3_code], 0))</f>
        <v>0</v>
      </c>
      <c r="D267" s="7" t="s">
        <v>352</v>
      </c>
    </row>
    <row r="268" spans="1:4" x14ac:dyDescent="0.4">
      <c r="A268" s="7" t="str">
        <f t="shared" si="8"/>
        <v>95.2</v>
      </c>
      <c r="B268" s="7" t="str">
        <f t="shared" si="9"/>
        <v>Repair of personal and household goods</v>
      </c>
      <c r="C268" s="7" t="b">
        <f>ISNUMBER(MATCH(A268, NormalizedMappingTable[nace_level_3_code], 0))</f>
        <v>0</v>
      </c>
      <c r="D268" s="7" t="s">
        <v>353</v>
      </c>
    </row>
    <row r="269" spans="1:4" x14ac:dyDescent="0.4">
      <c r="A269" s="7" t="str">
        <f t="shared" si="8"/>
        <v>96.0</v>
      </c>
      <c r="B269" s="7" t="str">
        <f t="shared" si="9"/>
        <v>Other personal service activities</v>
      </c>
      <c r="C269" s="7" t="b">
        <f>ISNUMBER(MATCH(A269, NormalizedMappingTable[nace_level_3_code], 0))</f>
        <v>0</v>
      </c>
      <c r="D269" s="7" t="s">
        <v>354</v>
      </c>
    </row>
    <row r="270" spans="1:4" x14ac:dyDescent="0.4">
      <c r="A270" s="7" t="str">
        <f t="shared" si="8"/>
        <v>97.0</v>
      </c>
      <c r="B270" s="7" t="str">
        <f t="shared" si="9"/>
        <v>Activities of households as employers of domestic personnel</v>
      </c>
      <c r="C270" s="7" t="b">
        <f>ISNUMBER(MATCH(A270, NormalizedMappingTable[nace_level_3_code], 0))</f>
        <v>0</v>
      </c>
      <c r="D270" s="7" t="s">
        <v>355</v>
      </c>
    </row>
    <row r="271" spans="1:4" x14ac:dyDescent="0.4">
      <c r="A271" s="7" t="str">
        <f t="shared" si="8"/>
        <v>98.1</v>
      </c>
      <c r="B271" s="7" t="str">
        <f t="shared" si="9"/>
        <v>Undifferentiated goods-producing activities of private households for own use</v>
      </c>
      <c r="C271" s="7" t="b">
        <f>ISNUMBER(MATCH(A271, NormalizedMappingTable[nace_level_3_code], 0))</f>
        <v>0</v>
      </c>
      <c r="D271" s="7" t="s">
        <v>356</v>
      </c>
    </row>
    <row r="272" spans="1:4" x14ac:dyDescent="0.4">
      <c r="A272" s="7" t="str">
        <f t="shared" si="8"/>
        <v>98.2</v>
      </c>
      <c r="B272" s="7" t="str">
        <f t="shared" si="9"/>
        <v>Undifferentiated service-producing activities of private households for own use</v>
      </c>
      <c r="C272" s="7" t="b">
        <f>ISNUMBER(MATCH(A272, NormalizedMappingTable[nace_level_3_code], 0))</f>
        <v>0</v>
      </c>
      <c r="D272" s="7" t="s">
        <v>357</v>
      </c>
    </row>
    <row r="273" spans="1:4" x14ac:dyDescent="0.4">
      <c r="A273" s="7" t="str">
        <f t="shared" si="8"/>
        <v>99.0</v>
      </c>
      <c r="B273" s="7" t="str">
        <f t="shared" si="9"/>
        <v>Activities of extraterritorial organisations and bodies</v>
      </c>
      <c r="C273" s="7" t="b">
        <f>ISNUMBER(MATCH(A273, NormalizedMappingTable[nace_level_3_code], 0))</f>
        <v>0</v>
      </c>
      <c r="D273" s="7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ETS activities</vt:lpstr>
      <vt:lpstr>NACE Rev. 2 Level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Reischl</dc:creator>
  <cp:lastModifiedBy>TU-Pseudonym 17597817373210480660874232332</cp:lastModifiedBy>
  <cp:lastPrinted>2026-06-21T17:16:03Z</cp:lastPrinted>
  <dcterms:created xsi:type="dcterms:W3CDTF">2026-06-21T17:16:31Z</dcterms:created>
  <dcterms:modified xsi:type="dcterms:W3CDTF">2026-06-23T23:37:13Z</dcterms:modified>
</cp:coreProperties>
</file>