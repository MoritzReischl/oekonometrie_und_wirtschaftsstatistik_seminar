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08" yWindow="-108" windowWidth="23256" windowHeight="12456" firstSheet="0" activeTab="4"/>
  </bookViews>
  <sheets>
    <sheet name="Mapping" sheetId="9" state="visible" r:id="rId1"/>
    <sheet name="NACE Rev. All Levels" sheetId="5" state="visible" r:id="rId2"/>
    <sheet name="ETS activities" sheetId="3" state="visible" r:id="rId3"/>
    <sheet name="NACE Rev. 2 Level 3" sheetId="4" state="visible" r:id="rId4"/>
    <sheet name="Mapping All Nace Activities" sheetId="10" state="visible" r:id="rId5"/>
  </sheets>
  <definedNames>
    <definedName name="_xlnm._FilterDatabase" localSheetId="4" hidden="1">'Mapping All Nace Activities'!$A$1:$N$182</definedName>
  </definedNames>
  <calcPr calcId="191029"/>
</workbook>
</file>

<file path=xl/sharedStrings.xml><?xml version="1.0" encoding="utf-8"?>
<sst xmlns="http://schemas.openxmlformats.org/spreadsheetml/2006/main" count="4231" uniqueCount="4231">
  <si>
    <t>10</t>
  </si>
  <si>
    <t>Aviation</t>
  </si>
  <si>
    <t>20</t>
  </si>
  <si>
    <t>Combustion of fuels</t>
  </si>
  <si>
    <t>20-99</t>
  </si>
  <si>
    <t>All stationary installations</t>
  </si>
  <si>
    <t>21</t>
  </si>
  <si>
    <t>Refining of mineral oil</t>
  </si>
  <si>
    <t>21-99</t>
  </si>
  <si>
    <t>All industrial installations (excl. combustion)</t>
  </si>
  <si>
    <t>22</t>
  </si>
  <si>
    <t>Production of coke</t>
  </si>
  <si>
    <t>23</t>
  </si>
  <si>
    <t>Metal ore roasting or sintering</t>
  </si>
  <si>
    <t>24</t>
  </si>
  <si>
    <t>Production of pig iron or steel</t>
  </si>
  <si>
    <t>25</t>
  </si>
  <si>
    <t>Production or processing of ferrous metals</t>
  </si>
  <si>
    <t>26</t>
  </si>
  <si>
    <t>Production of primary aluminium</t>
  </si>
  <si>
    <t>27</t>
  </si>
  <si>
    <t>Production of secondary aluminium</t>
  </si>
  <si>
    <t>28</t>
  </si>
  <si>
    <t>Production or processing of non-ferrous metals</t>
  </si>
  <si>
    <t>29</t>
  </si>
  <si>
    <t>Production of cement clinker</t>
  </si>
  <si>
    <t>30</t>
  </si>
  <si>
    <t>Production of lime, or calcination of dolomite/magnesite</t>
  </si>
  <si>
    <t>31</t>
  </si>
  <si>
    <t>Manufacture of glass</t>
  </si>
  <si>
    <t>32</t>
  </si>
  <si>
    <t>Manufacture of ceramics</t>
  </si>
  <si>
    <t>33</t>
  </si>
  <si>
    <t>Manufacture of mineral wool</t>
  </si>
  <si>
    <t>34</t>
  </si>
  <si>
    <t>Production or processing of gypsum or plasterboard</t>
  </si>
  <si>
    <t>35</t>
  </si>
  <si>
    <t>Production of pulp</t>
  </si>
  <si>
    <t>36</t>
  </si>
  <si>
    <t>Production of paper or cardboard</t>
  </si>
  <si>
    <t>37</t>
  </si>
  <si>
    <t>Production of carbon black</t>
  </si>
  <si>
    <t>38</t>
  </si>
  <si>
    <t>Production of nitric acid</t>
  </si>
  <si>
    <t>39</t>
  </si>
  <si>
    <t>Production of adipic acid</t>
  </si>
  <si>
    <t>40</t>
  </si>
  <si>
    <t>Production of glyoxal and glyoxylic acid</t>
  </si>
  <si>
    <t>41</t>
  </si>
  <si>
    <t>Production of ammonia</t>
  </si>
  <si>
    <t>42</t>
  </si>
  <si>
    <t>Production of bulk chemicals</t>
  </si>
  <si>
    <t>43</t>
  </si>
  <si>
    <t>Production of hydrogen and synthesis gas</t>
  </si>
  <si>
    <t>44</t>
  </si>
  <si>
    <t>Production of soda ash and sodium bicarbonate</t>
  </si>
  <si>
    <t>45</t>
  </si>
  <si>
    <t>Capture of greenhouse gases under Directive 2009/31/EC</t>
  </si>
  <si>
    <t>50</t>
  </si>
  <si>
    <t>Maritime Transport</t>
  </si>
  <si>
    <t>99</t>
  </si>
  <si>
    <t>Other activity opted-in under Art. 24</t>
  </si>
  <si>
    <t>01.1 Growing of non-perennial crops (en)</t>
  </si>
  <si>
    <t>01.2 Growing of perennial crops (en)</t>
  </si>
  <si>
    <t>01.3 Plant propagation (en)</t>
  </si>
  <si>
    <t>01.4 Animal production (en)</t>
  </si>
  <si>
    <t>01.5 Mixed farming (en)</t>
  </si>
  <si>
    <t>01.6 Support activities to agriculture and post-harvest crop activities (en)</t>
  </si>
  <si>
    <t>01.7 Hunting, trapping and related service activities (en)</t>
  </si>
  <si>
    <t>02.1 Silviculture and other forestry activities (en)</t>
  </si>
  <si>
    <t>02.2 Logging (en)</t>
  </si>
  <si>
    <t>02.3 Gathering of wild growing non-wood products (en)</t>
  </si>
  <si>
    <t>02.4 Support services to forestry (en)</t>
  </si>
  <si>
    <t>03.1 Fishing (en)</t>
  </si>
  <si>
    <t>03.2 Aquaculture (en)</t>
  </si>
  <si>
    <t>05.1 Mining of hard coal (en)</t>
  </si>
  <si>
    <t>05.2 Mining of lignite (en)</t>
  </si>
  <si>
    <t>06.1 Extraction of crude petroleum (en)</t>
  </si>
  <si>
    <t>06.2 Extraction of natural gas (en)</t>
  </si>
  <si>
    <t>07.1 Mining of iron ores (en)</t>
  </si>
  <si>
    <t>07.2 Mining of non-ferrous metal ores (en)</t>
  </si>
  <si>
    <t>08.1 Quarrying of stone, sand and clay (en)</t>
  </si>
  <si>
    <t>08.9 Mining and quarrying n.e.c. (en)</t>
  </si>
  <si>
    <t>09.1 Support activities for petroleum and natural gas extraction (en)</t>
  </si>
  <si>
    <t>09.9 Support activities for other mining and quarrying (en)</t>
  </si>
  <si>
    <t>10.1 Processing and preserving of meat and production of meat products (en)</t>
  </si>
  <si>
    <t>10.2 Processing and preserving of fish, crustaceans and molluscs (en)</t>
  </si>
  <si>
    <t>10.3 Processing and preserving of fruit and vegetables (en)</t>
  </si>
  <si>
    <t>10.4 Manufacture of vegetable and animal oils and fats (en)</t>
  </si>
  <si>
    <t>10.5 Manufacture of dairy products (en)</t>
  </si>
  <si>
    <t>10.6 Manufacture of grain mill products, starches and starch products (en)</t>
  </si>
  <si>
    <t>10.7 Manufacture of bakery and farinaceous products (en)</t>
  </si>
  <si>
    <t>10.8 Manufacture of other food products (en)</t>
  </si>
  <si>
    <t>10.9 Manufacture of prepared animal feeds (en)</t>
  </si>
  <si>
    <t>11.0 Manufacture of beverages (en)</t>
  </si>
  <si>
    <t>12.0 Manufacture of tobacco products (en)</t>
  </si>
  <si>
    <t>13.1 Preparation and spinning of textile fibres (en)</t>
  </si>
  <si>
    <t>13.2 Weaving of textiles (en)</t>
  </si>
  <si>
    <t>13.3 Finishing of textiles (en)</t>
  </si>
  <si>
    <t>13.9 Manufacture of other textiles (en)</t>
  </si>
  <si>
    <t>14.1 Manufacture of wearing apparel, except fur apparel (en)</t>
  </si>
  <si>
    <t>14.2 Manufacture of articles of fur (en)</t>
  </si>
  <si>
    <t>14.3 Manufacture of knitted and crocheted apparel (en)</t>
  </si>
  <si>
    <t>15.1 Tanning and dressing of leather; manufacture of luggage, handbags, saddlery and harness; dressing and dyeing of fur (en)</t>
  </si>
  <si>
    <t>15.2 Manufacture of footwear (en)</t>
  </si>
  <si>
    <t>16.1 Sawmilling and planing of wood (en)</t>
  </si>
  <si>
    <t>16.2 Manufacture of products of wood, cork, straw and plaiting materials (en)</t>
  </si>
  <si>
    <t>17.1 Manufacture of pulp, paper and paperboard (en)</t>
  </si>
  <si>
    <t>17.2 Manufacture of articles of paper and paperboard (en)</t>
  </si>
  <si>
    <t>18.1 Printing and service activities related to printing (en)</t>
  </si>
  <si>
    <t>18.2 Reproduction of recorded media (en)</t>
  </si>
  <si>
    <t>19.1 Manufacture of coke oven products (en)</t>
  </si>
  <si>
    <t>19.2 Manufacture of refined petroleum products (en)</t>
  </si>
  <si>
    <t>20.1 Manufacture of basic chemicals, fertilisers and nitrogen compounds, plastics and synthetic rubber in primary forms (en)</t>
  </si>
  <si>
    <t>20.2 Manufacture of pesticides and other agrochemical products (en)</t>
  </si>
  <si>
    <t>20.3 Manufacture of paints, varnishes and similar coatings, printing ink and mastics (en)</t>
  </si>
  <si>
    <t>20.4 Manufacture of soap and detergents, cleaning and polishing preparations, perfumes and toilet preparations (en)</t>
  </si>
  <si>
    <t>20.5 Manufacture of other chemical products (en)</t>
  </si>
  <si>
    <t>20.6 Manufacture of man-made fibres (en)</t>
  </si>
  <si>
    <t>21.1 Manufacture of basic pharmaceutical products (en)</t>
  </si>
  <si>
    <t>21.2 Manufacture of pharmaceutical preparations (en)</t>
  </si>
  <si>
    <t>22.1 Manufacture of rubber products (en)</t>
  </si>
  <si>
    <t>22.2 Manufacture of plastic products (en)</t>
  </si>
  <si>
    <t>23.1 Manufacture of glass and glass products (en)</t>
  </si>
  <si>
    <t>23.2 Manufacture of refractory products (en)</t>
  </si>
  <si>
    <t>23.3 Manufacture of clay building materials (en)</t>
  </si>
  <si>
    <t>23.4 Manufacture of other porcelain and ceramic products (en)</t>
  </si>
  <si>
    <t>23.5 Manufacture of cement, lime and plaster (en)</t>
  </si>
  <si>
    <t>23.6 Manufacture of articles of concrete, cement and plaster (en)</t>
  </si>
  <si>
    <t>23.7 Cutting, shaping and finishing of stone (en)</t>
  </si>
  <si>
    <t>23.9 Manufacture of abrasive products and non-metallic mineral products n.e.c. (en)</t>
  </si>
  <si>
    <t>24.1 Manufacture of basic iron and steel and of ferro-alloys (en)</t>
  </si>
  <si>
    <t>24.2 Manufacture of tubes, pipes, hollow profiles and related fittings, of steel (en)</t>
  </si>
  <si>
    <t>24.3 Manufacture of other products of first processing of steel (en)</t>
  </si>
  <si>
    <t>24.4 Manufacture of basic precious and other non-ferrous metals (en)</t>
  </si>
  <si>
    <t>24.5 Casting of metals (en)</t>
  </si>
  <si>
    <t>25.1 Manufacture of structural metal products (en)</t>
  </si>
  <si>
    <t>25.2 Manufacture of tanks, reservoirs and containers of metal (en)</t>
  </si>
  <si>
    <t>25.3 Manufacture of steam generators, except central heating hot water boilers (en)</t>
  </si>
  <si>
    <t>25.4 Manufacture of weapons and ammunition (en)</t>
  </si>
  <si>
    <t>25.5 Forging, pressing, stamping and roll-forming of metal; powder metallurgy (en)</t>
  </si>
  <si>
    <t>25.6 Treatment and coating of metals; machining (en)</t>
  </si>
  <si>
    <t>25.7 Manufacture of cutlery, tools and general hardware (en)</t>
  </si>
  <si>
    <t>25.9 Manufacture of other fabricated metal products (en)</t>
  </si>
  <si>
    <t>26.1 Manufacture of electronic components and boards (en)</t>
  </si>
  <si>
    <t>26.2 Manufacture of computers and peripheral equipment (en)</t>
  </si>
  <si>
    <t>26.3 Manufacture of communication equipment (en)</t>
  </si>
  <si>
    <t>26.4 Manufacture of consumer electronics (en)</t>
  </si>
  <si>
    <t>26.5 Manufacture of instruments and appliances for measuring, testing and navigation; watches and clocks (en)</t>
  </si>
  <si>
    <t>26.6 Manufacture of irradiation, electromedical and electrotherapeutic equipment (en)</t>
  </si>
  <si>
    <t>26.7 Manufacture of optical instruments and photographic equipment (en)</t>
  </si>
  <si>
    <t>26.8 Manufacture of magnetic and optical media (en)</t>
  </si>
  <si>
    <t>27.1 Manufacture of electric motors, generators, transformers and electricity distribution and control apparatus (en)</t>
  </si>
  <si>
    <t>27.2 Manufacture of batteries and accumulators (en)</t>
  </si>
  <si>
    <t>27.3 Manufacture of wiring and wiring devices (en)</t>
  </si>
  <si>
    <t>27.4 Manufacture of electric lighting equipment (en)</t>
  </si>
  <si>
    <t>27.5 Manufacture of domestic appliances (en)</t>
  </si>
  <si>
    <t>27.9 Manufacture of other electrical equipment (en)</t>
  </si>
  <si>
    <t>28.1 Manufacture of general-purpose machinery (en)</t>
  </si>
  <si>
    <t>28.2 Manufacture of other general-purpose machinery (en)</t>
  </si>
  <si>
    <t>28.3 Manufacture of agricultural and forestry machinery (en)</t>
  </si>
  <si>
    <t>28.4 Manufacture of metal forming machinery and machine tools (en)</t>
  </si>
  <si>
    <t>28.9 Manufacture of other special-purpose machinery (en)</t>
  </si>
  <si>
    <t>29.1 Manufacture of motor vehicles (en)</t>
  </si>
  <si>
    <t>29.2 Manufacture of bodies (coachwork) for motor vehicles; manufacture of trailers and semi-trailers (en)</t>
  </si>
  <si>
    <t>29.3 Manufacture of parts and accessories for motor vehicles (en)</t>
  </si>
  <si>
    <t>30.1 Building of ships and boats (en)</t>
  </si>
  <si>
    <t>30.2 Manufacture of railway locomotives and rolling stock (en)</t>
  </si>
  <si>
    <t>30.3 Manufacture of air and spacecraft and related machinery (en)</t>
  </si>
  <si>
    <t>30.4 Manufacture of military fighting vehicles (en)</t>
  </si>
  <si>
    <t>30.9 Manufacture of transport equipment n.e.c. (en)</t>
  </si>
  <si>
    <t>31.0 Manufacture of furniture (en)</t>
  </si>
  <si>
    <t>32.1 Manufacture of jewellery, bijouterie and related articles (en)</t>
  </si>
  <si>
    <t>32.2 Manufacture of musical instruments (en)</t>
  </si>
  <si>
    <t>32.3 Manufacture of sports goods (en)</t>
  </si>
  <si>
    <t>32.4 Manufacture of games and toys (en)</t>
  </si>
  <si>
    <t>32.5 Manufacture of medical and dental instruments and supplies (en)</t>
  </si>
  <si>
    <t>32.9 Manufacturing n.e.c. (en)</t>
  </si>
  <si>
    <t>33.1 Repair of fabricated metal products, machinery and equipment (en)</t>
  </si>
  <si>
    <t>33.2 Installation of industrial machinery and equipment (en)</t>
  </si>
  <si>
    <t>35.1 Electric power generation, transmission and distribution (en)</t>
  </si>
  <si>
    <t>35.2 Manufacture of gas; distribution of gaseous fuels through mains (en)</t>
  </si>
  <si>
    <t>35.3 Steam and air conditioning supply (en)</t>
  </si>
  <si>
    <t>36.0 Water collection, treatment and supply (en)</t>
  </si>
  <si>
    <t>37.0 Sewerage (en)</t>
  </si>
  <si>
    <t>38.1 Waste collection (en)</t>
  </si>
  <si>
    <t>38.2 Waste treatment and disposal (en)</t>
  </si>
  <si>
    <t>38.3 Materials recovery (en)</t>
  </si>
  <si>
    <t>39.0 Remediation activities and other waste management services (en)</t>
  </si>
  <si>
    <t>41.1 Development of building projects (en)</t>
  </si>
  <si>
    <t>41.2 Construction of residential and non-residential buildings (en)</t>
  </si>
  <si>
    <t>42.1 Construction of roads and railways (en)</t>
  </si>
  <si>
    <t>42.2 Construction of utility projects (en)</t>
  </si>
  <si>
    <t>42.9 Construction of other civil engineering projects (en)</t>
  </si>
  <si>
    <t>43.1 Demolition and site preparation (en)</t>
  </si>
  <si>
    <t>43.2 Electrical, plumbing and other construction installation activities (en)</t>
  </si>
  <si>
    <t>43.3 Building completion and finishing (en)</t>
  </si>
  <si>
    <t>43.9 Other specialised construction activities (en)</t>
  </si>
  <si>
    <t>45.1 Sale of motor vehicles (en)</t>
  </si>
  <si>
    <t>45.2 Maintenance and repair of motor vehicles (en)</t>
  </si>
  <si>
    <t>45.3 Sale of motor vehicle parts and accessories (en)</t>
  </si>
  <si>
    <t>45.4 Sale, maintenance and repair of motorcycles and related parts and accessories (en)</t>
  </si>
  <si>
    <t>46.1 Wholesale on a fee or contract basis (en)</t>
  </si>
  <si>
    <t>46.2 Wholesale of agricultural raw materials and live animals (en)</t>
  </si>
  <si>
    <t>46.3 Wholesale of food, beverages and tobacco (en)</t>
  </si>
  <si>
    <t>46.4 Wholesale of household goods (en)</t>
  </si>
  <si>
    <t>46.5 Wholesale of information and communication equipment (en)</t>
  </si>
  <si>
    <t>46.6 Wholesale of other machinery, equipment and supplies (en)</t>
  </si>
  <si>
    <t>46.7 Other specialised wholesale (en)</t>
  </si>
  <si>
    <t>46.9 Non-specialised wholesale trade (en)</t>
  </si>
  <si>
    <t>47.1 Retail sale in non-specialised stores (en)</t>
  </si>
  <si>
    <t>47.2 Retail sale of food, beverages and tobacco in specialised stores (en)</t>
  </si>
  <si>
    <t>47.3 Retail sale of automotive fuel in specialised stores (en)</t>
  </si>
  <si>
    <t>47.4 Retail sale of information and communication equipment in specialised stores (en)</t>
  </si>
  <si>
    <t>47.5 Retail sale of other household equipment in specialised stores (en)</t>
  </si>
  <si>
    <t>47.6 Retail sale of cultural and recreation goods in specialised stores (en)</t>
  </si>
  <si>
    <t>47.7 Retail sale of other goods in specialised stores (en)</t>
  </si>
  <si>
    <t>47.8 Retail sale via stalls and markets (en)</t>
  </si>
  <si>
    <t>47.9 Retail trade not in stores, stalls or markets (en)</t>
  </si>
  <si>
    <t>49.1 Passenger rail transport, interurban (en)</t>
  </si>
  <si>
    <t>49.2 Freight rail transport (en)</t>
  </si>
  <si>
    <t>49.3 Other passenger land transport (en)</t>
  </si>
  <si>
    <t>49.4 Freight transport by road and removal services (en)</t>
  </si>
  <si>
    <t>49.5 Transport via pipeline (en)</t>
  </si>
  <si>
    <t>50.1 Sea and coastal passenger water transport (en)</t>
  </si>
  <si>
    <t>50.2 Sea and coastal freight water transport (en)</t>
  </si>
  <si>
    <t>50.3 Inland passenger water transport (en)</t>
  </si>
  <si>
    <t>50.4 Inland freight water transport (en)</t>
  </si>
  <si>
    <t>51.1 Passenger air transport (en)</t>
  </si>
  <si>
    <t>51.2 Freight air transport and space transport (en)</t>
  </si>
  <si>
    <t>52.1 Warehousing and storage (en)</t>
  </si>
  <si>
    <t>52.2 Support activities for transportation (en)</t>
  </si>
  <si>
    <t>53.1 Postal activities under universal service obligation (en)</t>
  </si>
  <si>
    <t>53.2 Other postal and courier activities (en)</t>
  </si>
  <si>
    <t>55.1 Hotels and similar accommodation (en)</t>
  </si>
  <si>
    <t>55.2 Holiday and other short-stay accommodation (en)</t>
  </si>
  <si>
    <t>55.3 Camping grounds, recreational vehicle parks and trailer parks (en)</t>
  </si>
  <si>
    <t>55.9 Other accommodation (en)</t>
  </si>
  <si>
    <t>56.1 Restaurants and mobile food service activities (en)</t>
  </si>
  <si>
    <t>56.2 Event catering and other food service activities (en)</t>
  </si>
  <si>
    <t>56.3 Beverage serving activities (en)</t>
  </si>
  <si>
    <t>58.1 Publishing of books, periodicals and other publishing activities (en)</t>
  </si>
  <si>
    <t>58.2 Software publishing (en)</t>
  </si>
  <si>
    <t>59.1 Motion picture, video and television programme activities (en)</t>
  </si>
  <si>
    <t>59.2 Sound recording and music publishing activities (en)</t>
  </si>
  <si>
    <t>60.1 Radio broadcasting (en)</t>
  </si>
  <si>
    <t>60.2 Television programming and broadcasting activities (en)</t>
  </si>
  <si>
    <t>61.1 Wired telecommunications activities (en)</t>
  </si>
  <si>
    <t>61.2 Wireless telecommunications activities (en)</t>
  </si>
  <si>
    <t>61.3 Satellite telecommunications activities (en)</t>
  </si>
  <si>
    <t>61.9 Other telecommunications activities (en)</t>
  </si>
  <si>
    <t>62.0 Computer programming, consultancy and related activities (en)</t>
  </si>
  <si>
    <t>63.1 Data processing, hosting and related activities; web portals (en)</t>
  </si>
  <si>
    <t>63.9 Other information service activities (en)</t>
  </si>
  <si>
    <t>64.1 Monetary intermediation (en)</t>
  </si>
  <si>
    <t>64.2 Activities of holding companies (en)</t>
  </si>
  <si>
    <t>64.3 Trusts, funds and similar financial entities (en)</t>
  </si>
  <si>
    <t>64.9 Other financial service activities, except insurance and pension funding (en)</t>
  </si>
  <si>
    <t>65.1 Insurance (en)</t>
  </si>
  <si>
    <t>65.2 Reinsurance (en)</t>
  </si>
  <si>
    <t>65.3 Pension funding (en)</t>
  </si>
  <si>
    <t>66.1 Activities auxiliary to financial services, except insurance and pension funding (en)</t>
  </si>
  <si>
    <t>66.2 Activities auxiliary to insurance and pension funding (en)</t>
  </si>
  <si>
    <t>66.3 Fund management activities (en)</t>
  </si>
  <si>
    <t>68.1 Buying and selling of own real estate (en)</t>
  </si>
  <si>
    <t>68.2 Rental and operating of own or leased real estate (en)</t>
  </si>
  <si>
    <t>68.3 Real estate activities on a fee or contract basis (en)</t>
  </si>
  <si>
    <t>69.1 Legal activities (en)</t>
  </si>
  <si>
    <t>69.2 Accounting, bookkeeping and auditing activities; tax consultancy (en)</t>
  </si>
  <si>
    <t>70.1 Activities of head offices (en)</t>
  </si>
  <si>
    <t>70.2 Management consultancy activities (en)</t>
  </si>
  <si>
    <t>71.1 Architectural and engineering activities and related technical consultancy (en)</t>
  </si>
  <si>
    <t>71.2 Technical testing and analysis (en)</t>
  </si>
  <si>
    <t>72.1 Research and experimental development on natural sciences and engineering (en)</t>
  </si>
  <si>
    <t>72.2 Research and experimental development on social sciences and humanities (en)</t>
  </si>
  <si>
    <t>73.1 Advertising (en)</t>
  </si>
  <si>
    <t>73.2 Market research and public opinion polling (en)</t>
  </si>
  <si>
    <t>74.1 Specialised design activities (en)</t>
  </si>
  <si>
    <t>74.2 Photographic activities (en)</t>
  </si>
  <si>
    <t>74.3 Translation and interpretation activities (en)</t>
  </si>
  <si>
    <t>74.9 Other professional, scientific and technical activities n.e.c. (en)</t>
  </si>
  <si>
    <t>75.0 Veterinary activities (en)</t>
  </si>
  <si>
    <t>77.1 Rental and leasing of motor vehicles (en)</t>
  </si>
  <si>
    <t>77.2 Rental and leasing of personal and household goods (en)</t>
  </si>
  <si>
    <t>77.3 Rental and leasing of other machinery, equipment and tangible goods (en)</t>
  </si>
  <si>
    <t>77.4 Leasing of intellectual property and similar products, except copyrighted works (en)</t>
  </si>
  <si>
    <t>78.1 Activities of employment placement agencies (en)</t>
  </si>
  <si>
    <t>78.2 Temporary employment agency activities (en)</t>
  </si>
  <si>
    <t>78.3 Other human resources provision (en)</t>
  </si>
  <si>
    <t>79.1 Travel agency and tour operator activities (en)</t>
  </si>
  <si>
    <t>79.9 Other reservation service and related activities (en)</t>
  </si>
  <si>
    <t>80.1 Private security activities (en)</t>
  </si>
  <si>
    <t>80.2 Security systems service activities (en)</t>
  </si>
  <si>
    <t>80.3 Investigation activities (en)</t>
  </si>
  <si>
    <t>81.1 Combined facilities support activities (en)</t>
  </si>
  <si>
    <t>81.2 Cleaning activities (en)</t>
  </si>
  <si>
    <t>81.3 Landscape service activities (en)</t>
  </si>
  <si>
    <t>82.1 Office administrative and support activities (en)</t>
  </si>
  <si>
    <t>82.2 Activities of call centres (en)</t>
  </si>
  <si>
    <t>82.3 Organisation of conventions and trade shows (en)</t>
  </si>
  <si>
    <t>82.9 Business support service activities n.e.c. (en)</t>
  </si>
  <si>
    <t>84.1 Administration of the State and the economic and social policy of the community (en)</t>
  </si>
  <si>
    <t>84.2 Provision of services to the community as a whole (en)</t>
  </si>
  <si>
    <t>84.3 Compulsory social security activities (en)</t>
  </si>
  <si>
    <t>85.1 Pre-primary education (en)</t>
  </si>
  <si>
    <t>85.2 Primary education (en)</t>
  </si>
  <si>
    <t>85.3 Secondary education (en)</t>
  </si>
  <si>
    <t>85.4 Higher education (en)</t>
  </si>
  <si>
    <t>85.5 Other education (en)</t>
  </si>
  <si>
    <t>85.6 Educational support activities (en)</t>
  </si>
  <si>
    <t>86.1 Hospital activities (en)</t>
  </si>
  <si>
    <t>86.2 Medical and dental practice activities (en)</t>
  </si>
  <si>
    <t>86.9 Other human health activities (en)</t>
  </si>
  <si>
    <t>87.1 Residential nursing care activities (en)</t>
  </si>
  <si>
    <t>87.2 Residential care activities for mental retardation, mental health and substance abuse (en)</t>
  </si>
  <si>
    <t>87.3 Residential care activities for the elderly and disabled (en)</t>
  </si>
  <si>
    <t>87.9 Other residential care activities (en)</t>
  </si>
  <si>
    <t>88.1 Social work activities without accommodation for the elderly and disabled (en)</t>
  </si>
  <si>
    <t>88.9 Other social work activities without accommodation (en)</t>
  </si>
  <si>
    <t>90.0 Creative, arts and entertainment activities (en)</t>
  </si>
  <si>
    <t>91.0 Libraries, archives, museums and other cultural activities (en)</t>
  </si>
  <si>
    <t>92.0 Gambling and betting activities (en)</t>
  </si>
  <si>
    <t>93.1 Sports activities (en)</t>
  </si>
  <si>
    <t>93.2 Amusement and recreation activities (en)</t>
  </si>
  <si>
    <t>94.1 Activities of business, employers and professional membership organisations (en)</t>
  </si>
  <si>
    <t>94.2 Activities of trade unions (en)</t>
  </si>
  <si>
    <t>94.9 Activities of other membership organisations (en)</t>
  </si>
  <si>
    <t>95.1 Repair of computers and communication equipment (en)</t>
  </si>
  <si>
    <t>95.2 Repair of personal and household goods (en)</t>
  </si>
  <si>
    <t>96.0 Other personal service activities (en)</t>
  </si>
  <si>
    <t>97.0 Activities of households as employers of domestic personnel (en)</t>
  </si>
  <si>
    <t>98.1 Undifferentiated goods-producing activities of private households for own use (en)</t>
  </si>
  <si>
    <t>98.2 Undifferentiated service-producing activities of private households for own use (en)</t>
  </si>
  <si>
    <t>99.0 Activities of extraterritorial organisations and bodies (en)</t>
  </si>
  <si>
    <t>Original</t>
  </si>
  <si>
    <t>ID</t>
  </si>
  <si>
    <t>Label</t>
  </si>
  <si>
    <t>is_ets_activity</t>
  </si>
  <si>
    <t>mapped</t>
  </si>
  <si>
    <t>ets_activity_name</t>
  </si>
  <si>
    <t>ets_activity_code</t>
  </si>
  <si>
    <t>A</t>
  </si>
  <si>
    <t>A AGRICULTURE, FORESTRY AND FISHING</t>
  </si>
  <si>
    <t>http://data.europa.eu/ux2/nace2/A</t>
  </si>
  <si>
    <t>B</t>
  </si>
  <si>
    <t>B MINING AND QUARRYING</t>
  </si>
  <si>
    <t>http://data.europa.eu/ux2/nace2/B</t>
  </si>
  <si>
    <t>C</t>
  </si>
  <si>
    <t>C MANUFACTURING</t>
  </si>
  <si>
    <t>http://data.europa.eu/ux2/nace2/C</t>
  </si>
  <si>
    <t>D</t>
  </si>
  <si>
    <t>D ELECTRICITY, GAS, STEAM AND AIR CONDITIONING SUPPLY</t>
  </si>
  <si>
    <t>http://data.europa.eu/ux2/nace2/D</t>
  </si>
  <si>
    <t>E</t>
  </si>
  <si>
    <t>E WATER SUPPLY; SEWERAGE, WASTE MANAGEMENT AND REMEDIATION ACTIVITIES</t>
  </si>
  <si>
    <t>http://data.europa.eu/ux2/nace2/E</t>
  </si>
  <si>
    <t>F</t>
  </si>
  <si>
    <t>F CONSTRUCTION</t>
  </si>
  <si>
    <t>http://data.europa.eu/ux2/nace2/F</t>
  </si>
  <si>
    <t>G</t>
  </si>
  <si>
    <t>G WHOLESALE AND RETAIL TRADE; REPAIR OF MOTOR VEHICLES AND MOTORCYCLES</t>
  </si>
  <si>
    <t>http://data.europa.eu/ux2/nace2/G</t>
  </si>
  <si>
    <t>H</t>
  </si>
  <si>
    <t>H TRANSPORTATION AND STORAGE</t>
  </si>
  <si>
    <t>http://data.europa.eu/ux2/nace2/H</t>
  </si>
  <si>
    <t>I</t>
  </si>
  <si>
    <t>I ACCOMMODATION AND FOOD SERVICE ACTIVITIES</t>
  </si>
  <si>
    <t>http://data.europa.eu/ux2/nace2/I</t>
  </si>
  <si>
    <t>J</t>
  </si>
  <si>
    <t>J INFORMATION AND COMMUNICATION</t>
  </si>
  <si>
    <t>http://data.europa.eu/ux2/nace2/J</t>
  </si>
  <si>
    <t>K</t>
  </si>
  <si>
    <t>K FINANCIAL AND INSURANCE ACTIVITIES</t>
  </si>
  <si>
    <t>http://data.europa.eu/ux2/nace2/K</t>
  </si>
  <si>
    <t>L</t>
  </si>
  <si>
    <t>L REAL ESTATE ACTIVITIES</t>
  </si>
  <si>
    <t>http://data.europa.eu/ux2/nace2/L</t>
  </si>
  <si>
    <t>M</t>
  </si>
  <si>
    <t>M PROFESSIONAL, SCIENTIFIC AND TECHNICAL ACTIVITIES</t>
  </si>
  <si>
    <t>http://data.europa.eu/ux2/nace2/M</t>
  </si>
  <si>
    <t>N</t>
  </si>
  <si>
    <t>N ADMINISTRATIVE AND SUPPORT SERVICE ACTIVITIES</t>
  </si>
  <si>
    <t>http://data.europa.eu/ux2/nace2/N</t>
  </si>
  <si>
    <t>O</t>
  </si>
  <si>
    <t>O PUBLIC ADMINISTRATION AND DEFENCE; COMPULSORY SOCIAL SECURITY</t>
  </si>
  <si>
    <t>http://data.europa.eu/ux2/nace2/O</t>
  </si>
  <si>
    <t>P</t>
  </si>
  <si>
    <t>P EDUCATION</t>
  </si>
  <si>
    <t>http://data.europa.eu/ux2/nace2/P</t>
  </si>
  <si>
    <t>Q</t>
  </si>
  <si>
    <t>Q HUMAN HEALTH AND SOCIAL WORK ACTIVITIES</t>
  </si>
  <si>
    <t>http://data.europa.eu/ux2/nace2/Q</t>
  </si>
  <si>
    <t>R</t>
  </si>
  <si>
    <t>R ARTS, ENTERTAINMENT AND RECREATION</t>
  </si>
  <si>
    <t>http://data.europa.eu/ux2/nace2/R</t>
  </si>
  <si>
    <t>S</t>
  </si>
  <si>
    <t>S OTHER SERVICE ACTIVITIES</t>
  </si>
  <si>
    <t>http://data.europa.eu/ux2/nace2/S</t>
  </si>
  <si>
    <t>T</t>
  </si>
  <si>
    <t>T ACTIVITIES OF HOUSEHOLDS AS EMPLOYERS; UNDIFFERENTIATED GOODS- AND SERVICES-PRODUCING ACTIVITIES OF HOUSEHOLDS FOR OWN USE</t>
  </si>
  <si>
    <t>http://data.europa.eu/ux2/nace2/T</t>
  </si>
  <si>
    <t>U</t>
  </si>
  <si>
    <t>U ACTIVITIES OF EXTRATERRITORIAL ORGANISATIONS AND BODIES</t>
  </si>
  <si>
    <t>http://data.europa.eu/ux2/nace2/U</t>
  </si>
  <si>
    <t>01</t>
  </si>
  <si>
    <t>01 Crop and animal production, hunting and related service activities</t>
  </si>
  <si>
    <t>http://data.europa.eu/ux2/nace2/01</t>
  </si>
  <si>
    <t>02</t>
  </si>
  <si>
    <t>02 Forestry and logging</t>
  </si>
  <si>
    <t>http://data.europa.eu/ux2/nace2/02</t>
  </si>
  <si>
    <t>03</t>
  </si>
  <si>
    <t>03 Fishing and aquaculture</t>
  </si>
  <si>
    <t>http://data.europa.eu/ux2/nace2/03</t>
  </si>
  <si>
    <t>05</t>
  </si>
  <si>
    <t>05 Mining of coal and lignite</t>
  </si>
  <si>
    <t>http://data.europa.eu/ux2/nace2/05</t>
  </si>
  <si>
    <t>06</t>
  </si>
  <si>
    <t>06 Extraction of crude petroleum and natural gas</t>
  </si>
  <si>
    <t>http://data.europa.eu/ux2/nace2/06</t>
  </si>
  <si>
    <t>07</t>
  </si>
  <si>
    <t>07 Mining of metal ores</t>
  </si>
  <si>
    <t>http://data.europa.eu/ux2/nace2/07</t>
  </si>
  <si>
    <t>08</t>
  </si>
  <si>
    <t>08 Other mining and quarrying</t>
  </si>
  <si>
    <t>http://data.europa.eu/ux2/nace2/08</t>
  </si>
  <si>
    <t>09</t>
  </si>
  <si>
    <t>09 Mining support service activities</t>
  </si>
  <si>
    <t>http://data.europa.eu/ux2/nace2/09</t>
  </si>
  <si>
    <t>10 Manufacture of food products</t>
  </si>
  <si>
    <t>http://data.europa.eu/ux2/nace2/10</t>
  </si>
  <si>
    <t>11</t>
  </si>
  <si>
    <t>11 Manufacture of beverages</t>
  </si>
  <si>
    <t>http://data.europa.eu/ux2/nace2/11</t>
  </si>
  <si>
    <t>12</t>
  </si>
  <si>
    <t>12 Manufacture of tobacco products</t>
  </si>
  <si>
    <t>http://data.europa.eu/ux2/nace2/12</t>
  </si>
  <si>
    <t>13</t>
  </si>
  <si>
    <t>13 Manufacture of textiles</t>
  </si>
  <si>
    <t>http://data.europa.eu/ux2/nace2/13</t>
  </si>
  <si>
    <t>14</t>
  </si>
  <si>
    <t>14 Manufacture of wearing apparel</t>
  </si>
  <si>
    <t>http://data.europa.eu/ux2/nace2/14</t>
  </si>
  <si>
    <t>15</t>
  </si>
  <si>
    <t>15 Manufacture of leather and related products</t>
  </si>
  <si>
    <t>http://data.europa.eu/ux2/nace2/15</t>
  </si>
  <si>
    <t>16</t>
  </si>
  <si>
    <t>16 Manufacture of wood and of products of wood and cork, except furniture; manufacture of articles of straw and plaiting materials</t>
  </si>
  <si>
    <t>http://data.europa.eu/ux2/nace2/16</t>
  </si>
  <si>
    <t>17</t>
  </si>
  <si>
    <t>17 Manufacture of paper and paper products</t>
  </si>
  <si>
    <t>http://data.europa.eu/ux2/nace2/17</t>
  </si>
  <si>
    <t>18</t>
  </si>
  <si>
    <t>18 Printing and reproduction of recorded media</t>
  </si>
  <si>
    <t>http://data.europa.eu/ux2/nace2/18</t>
  </si>
  <si>
    <t>19</t>
  </si>
  <si>
    <t>19 Manufacture of coke and refined petroleum products</t>
  </si>
  <si>
    <t>http://data.europa.eu/ux2/nace2/19</t>
  </si>
  <si>
    <t>20 Manufacture of chemicals and chemical products</t>
  </si>
  <si>
    <t>http://data.europa.eu/ux2/nace2/20</t>
  </si>
  <si>
    <t>21 Manufacture of basic pharmaceutical products and pharmaceutical preparations</t>
  </si>
  <si>
    <t>http://data.europa.eu/ux2/nace2/21</t>
  </si>
  <si>
    <t>22 Manufacture of rubber and plastic products</t>
  </si>
  <si>
    <t>http://data.europa.eu/ux2/nace2/22</t>
  </si>
  <si>
    <t>23 Manufacture of other non-metallic mineral products</t>
  </si>
  <si>
    <t>http://data.europa.eu/ux2/nace2/23</t>
  </si>
  <si>
    <t>24 Manufacture of basic metals</t>
  </si>
  <si>
    <t>http://data.europa.eu/ux2/nace2/24</t>
  </si>
  <si>
    <t>25 Manufacture of fabricated metal products, except machinery and equipment</t>
  </si>
  <si>
    <t>http://data.europa.eu/ux2/nace2/25</t>
  </si>
  <si>
    <t>26 Manufacture of computer, electronic and optical products</t>
  </si>
  <si>
    <t>http://data.europa.eu/ux2/nace2/26</t>
  </si>
  <si>
    <t>27 Manufacture of electrical equipment</t>
  </si>
  <si>
    <t>http://data.europa.eu/ux2/nace2/27</t>
  </si>
  <si>
    <t>28 Manufacture of machinery and equipment n.e.c.</t>
  </si>
  <si>
    <t>http://data.europa.eu/ux2/nace2/28</t>
  </si>
  <si>
    <t>29 Manufacture of motor vehicles, trailers and semi-trailers</t>
  </si>
  <si>
    <t>http://data.europa.eu/ux2/nace2/29</t>
  </si>
  <si>
    <t>30 Manufacture of other transport equipment</t>
  </si>
  <si>
    <t>http://data.europa.eu/ux2/nace2/30</t>
  </si>
  <si>
    <t>31 Manufacture of furniture</t>
  </si>
  <si>
    <t>http://data.europa.eu/ux2/nace2/31</t>
  </si>
  <si>
    <t>32 Other manufacturing</t>
  </si>
  <si>
    <t>http://data.europa.eu/ux2/nace2/32</t>
  </si>
  <si>
    <t>33 Repair and installation of machinery and equipment</t>
  </si>
  <si>
    <t>http://data.europa.eu/ux2/nace2/33</t>
  </si>
  <si>
    <t>35 Electricity, gas, steam and air conditioning supply</t>
  </si>
  <si>
    <t>http://data.europa.eu/ux2/nace2/35</t>
  </si>
  <si>
    <t>36 Water collection, treatment and supply</t>
  </si>
  <si>
    <t>http://data.europa.eu/ux2/nace2/36</t>
  </si>
  <si>
    <t>37 Sewerage</t>
  </si>
  <si>
    <t>http://data.europa.eu/ux2/nace2/37</t>
  </si>
  <si>
    <t>38 Waste collection, treatment and disposal activities; materials recovery</t>
  </si>
  <si>
    <t>http://data.europa.eu/ux2/nace2/38</t>
  </si>
  <si>
    <t>39 Remediation activities and other waste management services</t>
  </si>
  <si>
    <t>http://data.europa.eu/ux2/nace2/39</t>
  </si>
  <si>
    <t>41 Construction of buildings</t>
  </si>
  <si>
    <t>http://data.europa.eu/ux2/nace2/41</t>
  </si>
  <si>
    <t>42 Civil engineering</t>
  </si>
  <si>
    <t>http://data.europa.eu/ux2/nace2/42</t>
  </si>
  <si>
    <t>43 Specialised construction activities</t>
  </si>
  <si>
    <t>http://data.europa.eu/ux2/nace2/43</t>
  </si>
  <si>
    <t>45 Wholesale and retail trade and repair of motor vehicles and motorcycles</t>
  </si>
  <si>
    <t>http://data.europa.eu/ux2/nace2/45</t>
  </si>
  <si>
    <t>46</t>
  </si>
  <si>
    <t>46 Wholesale trade, except of motor vehicles and motorcycles</t>
  </si>
  <si>
    <t>http://data.europa.eu/ux2/nace2/46</t>
  </si>
  <si>
    <t>47</t>
  </si>
  <si>
    <t>47 Retail trade, except of motor vehicles and motorcycles</t>
  </si>
  <si>
    <t>http://data.europa.eu/ux2/nace2/47</t>
  </si>
  <si>
    <t>49</t>
  </si>
  <si>
    <t>49 Land transport and transport via pipelines</t>
  </si>
  <si>
    <t>http://data.europa.eu/ux2/nace2/49</t>
  </si>
  <si>
    <t>50 Water transport</t>
  </si>
  <si>
    <t>http://data.europa.eu/ux2/nace2/50</t>
  </si>
  <si>
    <t>51</t>
  </si>
  <si>
    <t>51 Air transport</t>
  </si>
  <si>
    <t>http://data.europa.eu/ux2/nace2/51</t>
  </si>
  <si>
    <t>52</t>
  </si>
  <si>
    <t>52 Warehousing and support activities for transportation</t>
  </si>
  <si>
    <t>http://data.europa.eu/ux2/nace2/52</t>
  </si>
  <si>
    <t>53</t>
  </si>
  <si>
    <t>53 Postal and courier activities</t>
  </si>
  <si>
    <t>http://data.europa.eu/ux2/nace2/53</t>
  </si>
  <si>
    <t>55</t>
  </si>
  <si>
    <t>55 Accommodation</t>
  </si>
  <si>
    <t>http://data.europa.eu/ux2/nace2/55</t>
  </si>
  <si>
    <t>56</t>
  </si>
  <si>
    <t>56 Food and beverage service activities</t>
  </si>
  <si>
    <t>http://data.europa.eu/ux2/nace2/56</t>
  </si>
  <si>
    <t>58</t>
  </si>
  <si>
    <t>58 Publishing activities</t>
  </si>
  <si>
    <t>http://data.europa.eu/ux2/nace2/58</t>
  </si>
  <si>
    <t>59</t>
  </si>
  <si>
    <t>59 Motion picture, video and television programme production, sound recording and music publishing activities</t>
  </si>
  <si>
    <t>http://data.europa.eu/ux2/nace2/59</t>
  </si>
  <si>
    <t>60</t>
  </si>
  <si>
    <t>60 Programming and broadcasting activities</t>
  </si>
  <si>
    <t>http://data.europa.eu/ux2/nace2/60</t>
  </si>
  <si>
    <t>61</t>
  </si>
  <si>
    <t>61 Telecommunications</t>
  </si>
  <si>
    <t>http://data.europa.eu/ux2/nace2/61</t>
  </si>
  <si>
    <t>62</t>
  </si>
  <si>
    <t>62 Computer programming, consultancy and related activities</t>
  </si>
  <si>
    <t>http://data.europa.eu/ux2/nace2/62</t>
  </si>
  <si>
    <t>63</t>
  </si>
  <si>
    <t>63 Information service activities</t>
  </si>
  <si>
    <t>http://data.europa.eu/ux2/nace2/63</t>
  </si>
  <si>
    <t>64</t>
  </si>
  <si>
    <t>64 Financial service activities, except insurance and pension funding</t>
  </si>
  <si>
    <t>http://data.europa.eu/ux2/nace2/64</t>
  </si>
  <si>
    <t>65</t>
  </si>
  <si>
    <t>65 Insurance, reinsurance and pension funding, except compulsory social security</t>
  </si>
  <si>
    <t>http://data.europa.eu/ux2/nace2/65</t>
  </si>
  <si>
    <t>66</t>
  </si>
  <si>
    <t>66 Activities auxiliary to financial services and insurance activities</t>
  </si>
  <si>
    <t>http://data.europa.eu/ux2/nace2/66</t>
  </si>
  <si>
    <t>68</t>
  </si>
  <si>
    <t>68 Real estate activities</t>
  </si>
  <si>
    <t>http://data.europa.eu/ux2/nace2/68</t>
  </si>
  <si>
    <t>69</t>
  </si>
  <si>
    <t>69 Legal and accounting activities</t>
  </si>
  <si>
    <t>http://data.europa.eu/ux2/nace2/69</t>
  </si>
  <si>
    <t>70</t>
  </si>
  <si>
    <t>70 Activities of head offices; management consultancy activities</t>
  </si>
  <si>
    <t>http://data.europa.eu/ux2/nace2/70</t>
  </si>
  <si>
    <t>71</t>
  </si>
  <si>
    <t>71 Architectural and engineering activities; technical testing and analysis</t>
  </si>
  <si>
    <t>http://data.europa.eu/ux2/nace2/71</t>
  </si>
  <si>
    <t>72</t>
  </si>
  <si>
    <t>72 Scientific research and development</t>
  </si>
  <si>
    <t>http://data.europa.eu/ux2/nace2/72</t>
  </si>
  <si>
    <t>73</t>
  </si>
  <si>
    <t>73 Advertising and market research</t>
  </si>
  <si>
    <t>http://data.europa.eu/ux2/nace2/73</t>
  </si>
  <si>
    <t>74</t>
  </si>
  <si>
    <t>74 Other professional, scientific and technical activities</t>
  </si>
  <si>
    <t>http://data.europa.eu/ux2/nace2/74</t>
  </si>
  <si>
    <t>75</t>
  </si>
  <si>
    <t>75 Veterinary activities</t>
  </si>
  <si>
    <t>http://data.europa.eu/ux2/nace2/75</t>
  </si>
  <si>
    <t>77</t>
  </si>
  <si>
    <t>77 Rental and leasing activities</t>
  </si>
  <si>
    <t>http://data.europa.eu/ux2/nace2/77</t>
  </si>
  <si>
    <t>78</t>
  </si>
  <si>
    <t>78 Employment activities</t>
  </si>
  <si>
    <t>http://data.europa.eu/ux2/nace2/78</t>
  </si>
  <si>
    <t>79</t>
  </si>
  <si>
    <t>79 Travel agency, tour operator and other reservation service and related activities</t>
  </si>
  <si>
    <t>http://data.europa.eu/ux2/nace2/79</t>
  </si>
  <si>
    <t>80</t>
  </si>
  <si>
    <t>80 Security and investigation activities</t>
  </si>
  <si>
    <t>http://data.europa.eu/ux2/nace2/80</t>
  </si>
  <si>
    <t>81</t>
  </si>
  <si>
    <t>81 Services to buildings and landscape activities</t>
  </si>
  <si>
    <t>http://data.europa.eu/ux2/nace2/81</t>
  </si>
  <si>
    <t>82</t>
  </si>
  <si>
    <t>82 Office administrative, office support and other business support activities</t>
  </si>
  <si>
    <t>http://data.europa.eu/ux2/nace2/82</t>
  </si>
  <si>
    <t>84</t>
  </si>
  <si>
    <t>84 Public administration and defence; compulsory social security</t>
  </si>
  <si>
    <t>http://data.europa.eu/ux2/nace2/84</t>
  </si>
  <si>
    <t>85</t>
  </si>
  <si>
    <t>85 Education</t>
  </si>
  <si>
    <t>http://data.europa.eu/ux2/nace2/85</t>
  </si>
  <si>
    <t>86</t>
  </si>
  <si>
    <t>86 Human health activities</t>
  </si>
  <si>
    <t>http://data.europa.eu/ux2/nace2/86</t>
  </si>
  <si>
    <t>87</t>
  </si>
  <si>
    <t>87 Residential care activities</t>
  </si>
  <si>
    <t>http://data.europa.eu/ux2/nace2/87</t>
  </si>
  <si>
    <t>88</t>
  </si>
  <si>
    <t>88 Social work activities without accommodation</t>
  </si>
  <si>
    <t>http://data.europa.eu/ux2/nace2/88</t>
  </si>
  <si>
    <t>90</t>
  </si>
  <si>
    <t>90 Creative, arts and entertainment activities</t>
  </si>
  <si>
    <t>http://data.europa.eu/ux2/nace2/90</t>
  </si>
  <si>
    <t>91</t>
  </si>
  <si>
    <t>91 Libraries, archives, museums and other cultural activities</t>
  </si>
  <si>
    <t>http://data.europa.eu/ux2/nace2/91</t>
  </si>
  <si>
    <t>92</t>
  </si>
  <si>
    <t>92 Gambling and betting activities</t>
  </si>
  <si>
    <t>http://data.europa.eu/ux2/nace2/92</t>
  </si>
  <si>
    <t>93</t>
  </si>
  <si>
    <t>93 Sports activities and amusement and recreation activities</t>
  </si>
  <si>
    <t>http://data.europa.eu/ux2/nace2/93</t>
  </si>
  <si>
    <t>94</t>
  </si>
  <si>
    <t>94 Activities of membership organisations</t>
  </si>
  <si>
    <t>http://data.europa.eu/ux2/nace2/94</t>
  </si>
  <si>
    <t>95</t>
  </si>
  <si>
    <t>95 Repair of computers and personal and household goods</t>
  </si>
  <si>
    <t>http://data.europa.eu/ux2/nace2/95</t>
  </si>
  <si>
    <t>96</t>
  </si>
  <si>
    <t>96 Other personal service activities</t>
  </si>
  <si>
    <t>http://data.europa.eu/ux2/nace2/96</t>
  </si>
  <si>
    <t>97</t>
  </si>
  <si>
    <t>97 Activities of households as employers of domestic personnel</t>
  </si>
  <si>
    <t>http://data.europa.eu/ux2/nace2/97</t>
  </si>
  <si>
    <t>98</t>
  </si>
  <si>
    <t>98 Undifferentiated goods- and services-producing activities of private households for own use</t>
  </si>
  <si>
    <t>http://data.europa.eu/ux2/nace2/98</t>
  </si>
  <si>
    <t>99 Activities of extraterritorial organisations and bodies</t>
  </si>
  <si>
    <t>http://data.europa.eu/ux2/nace2/99</t>
  </si>
  <si>
    <t>011</t>
  </si>
  <si>
    <t>01.1 Growing of non-perennial crops</t>
  </si>
  <si>
    <t>http://data.europa.eu/ux2/nace2/011</t>
  </si>
  <si>
    <t>012</t>
  </si>
  <si>
    <t>01.2 Growing of perennial crops</t>
  </si>
  <si>
    <t>http://data.europa.eu/ux2/nace2/012</t>
  </si>
  <si>
    <t>013</t>
  </si>
  <si>
    <t>01.3 Plant propagation</t>
  </si>
  <si>
    <t>http://data.europa.eu/ux2/nace2/013</t>
  </si>
  <si>
    <t>014</t>
  </si>
  <si>
    <t>01.4 Animal production</t>
  </si>
  <si>
    <t>http://data.europa.eu/ux2/nace2/014</t>
  </si>
  <si>
    <t>015</t>
  </si>
  <si>
    <t>01.5 Mixed farming</t>
  </si>
  <si>
    <t>http://data.europa.eu/ux2/nace2/015</t>
  </si>
  <si>
    <t>016</t>
  </si>
  <si>
    <t>01.6 Support activities to agriculture and post-harvest crop activities</t>
  </si>
  <si>
    <t>http://data.europa.eu/ux2/nace2/016</t>
  </si>
  <si>
    <t>017</t>
  </si>
  <si>
    <t>01.7 Hunting, trapping and related service activities</t>
  </si>
  <si>
    <t>http://data.europa.eu/ux2/nace2/017</t>
  </si>
  <si>
    <t>021</t>
  </si>
  <si>
    <t>02.1 Silviculture and other forestry activities</t>
  </si>
  <si>
    <t>http://data.europa.eu/ux2/nace2/021</t>
  </si>
  <si>
    <t>022</t>
  </si>
  <si>
    <t>02.2 Logging</t>
  </si>
  <si>
    <t>http://data.europa.eu/ux2/nace2/022</t>
  </si>
  <si>
    <t>023</t>
  </si>
  <si>
    <t>02.3 Gathering of wild growing non-wood products</t>
  </si>
  <si>
    <t>http://data.europa.eu/ux2/nace2/023</t>
  </si>
  <si>
    <t>024</t>
  </si>
  <si>
    <t>02.4 Support services to forestry</t>
  </si>
  <si>
    <t>http://data.europa.eu/ux2/nace2/024</t>
  </si>
  <si>
    <t>031</t>
  </si>
  <si>
    <t>03.1 Fishing</t>
  </si>
  <si>
    <t>http://data.europa.eu/ux2/nace2/031</t>
  </si>
  <si>
    <t>032</t>
  </si>
  <si>
    <t>03.2 Aquaculture</t>
  </si>
  <si>
    <t>http://data.europa.eu/ux2/nace2/032</t>
  </si>
  <si>
    <t>051</t>
  </si>
  <si>
    <t>05.1 Mining of hard coal</t>
  </si>
  <si>
    <t>http://data.europa.eu/ux2/nace2/051</t>
  </si>
  <si>
    <t>052</t>
  </si>
  <si>
    <t>05.2 Mining of lignite</t>
  </si>
  <si>
    <t>http://data.europa.eu/ux2/nace2/052</t>
  </si>
  <si>
    <t>061</t>
  </si>
  <si>
    <t>06.1 Extraction of crude petroleum</t>
  </si>
  <si>
    <t>http://data.europa.eu/ux2/nace2/061</t>
  </si>
  <si>
    <t>062</t>
  </si>
  <si>
    <t>06.2 Extraction of natural gas</t>
  </si>
  <si>
    <t>http://data.europa.eu/ux2/nace2/062</t>
  </si>
  <si>
    <t>071</t>
  </si>
  <si>
    <t>07.1 Mining of iron ores</t>
  </si>
  <si>
    <t>http://data.europa.eu/ux2/nace2/071</t>
  </si>
  <si>
    <t>072</t>
  </si>
  <si>
    <t>07.2 Mining of non-ferrous metal ores</t>
  </si>
  <si>
    <t>http://data.europa.eu/ux2/nace2/072</t>
  </si>
  <si>
    <t>081</t>
  </si>
  <si>
    <t>08.1 Quarrying of stone, sand and clay</t>
  </si>
  <si>
    <t>http://data.europa.eu/ux2/nace2/081</t>
  </si>
  <si>
    <t>089</t>
  </si>
  <si>
    <t>08.9 Mining and quarrying n.e.c.</t>
  </si>
  <si>
    <t>http://data.europa.eu/ux2/nace2/089</t>
  </si>
  <si>
    <t>091</t>
  </si>
  <si>
    <t>09.1 Support activities for petroleum and natural gas extraction</t>
  </si>
  <si>
    <t>http://data.europa.eu/ux2/nace2/091</t>
  </si>
  <si>
    <t>099</t>
  </si>
  <si>
    <t>09.9 Support activities for other mining and quarrying</t>
  </si>
  <si>
    <t>http://data.europa.eu/ux2/nace2/099</t>
  </si>
  <si>
    <t>101</t>
  </si>
  <si>
    <t>10.1 Processing and preserving of meat and production of meat products</t>
  </si>
  <si>
    <t>http://data.europa.eu/ux2/nace2/101</t>
  </si>
  <si>
    <t>102</t>
  </si>
  <si>
    <t>10.2 Processing and preserving of fish, crustaceans and molluscs</t>
  </si>
  <si>
    <t>http://data.europa.eu/ux2/nace2/102</t>
  </si>
  <si>
    <t>103</t>
  </si>
  <si>
    <t>10.3 Processing and preserving of fruit and vegetables</t>
  </si>
  <si>
    <t>http://data.europa.eu/ux2/nace2/103</t>
  </si>
  <si>
    <t>104</t>
  </si>
  <si>
    <t>10.4 Manufacture of vegetable and animal oils and fats</t>
  </si>
  <si>
    <t>http://data.europa.eu/ux2/nace2/104</t>
  </si>
  <si>
    <t>105</t>
  </si>
  <si>
    <t>10.5 Manufacture of dairy products</t>
  </si>
  <si>
    <t>http://data.europa.eu/ux2/nace2/105</t>
  </si>
  <si>
    <t>106</t>
  </si>
  <si>
    <t>10.6 Manufacture of grain mill products, starches and starch products</t>
  </si>
  <si>
    <t>http://data.europa.eu/ux2/nace2/106</t>
  </si>
  <si>
    <t>107</t>
  </si>
  <si>
    <t>10.7 Manufacture of bakery and farinaceous products</t>
  </si>
  <si>
    <t>http://data.europa.eu/ux2/nace2/107</t>
  </si>
  <si>
    <t>108</t>
  </si>
  <si>
    <t>10.8 Manufacture of other food products</t>
  </si>
  <si>
    <t>http://data.europa.eu/ux2/nace2/108</t>
  </si>
  <si>
    <t>109</t>
  </si>
  <si>
    <t>10.9 Manufacture of prepared animal feeds</t>
  </si>
  <si>
    <t>http://data.europa.eu/ux2/nace2/109</t>
  </si>
  <si>
    <t>110</t>
  </si>
  <si>
    <t>11.0 Manufacture of beverages</t>
  </si>
  <si>
    <t>http://data.europa.eu/ux2/nace2/110</t>
  </si>
  <si>
    <t>120</t>
  </si>
  <si>
    <t>12.0 Manufacture of tobacco products</t>
  </si>
  <si>
    <t>http://data.europa.eu/ux2/nace2/120</t>
  </si>
  <si>
    <t>131</t>
  </si>
  <si>
    <t>13.1 Preparation and spinning of textile fibres</t>
  </si>
  <si>
    <t>http://data.europa.eu/ux2/nace2/131</t>
  </si>
  <si>
    <t>132</t>
  </si>
  <si>
    <t>13.2 Weaving of textiles</t>
  </si>
  <si>
    <t>http://data.europa.eu/ux2/nace2/132</t>
  </si>
  <si>
    <t>133</t>
  </si>
  <si>
    <t>13.3 Finishing of textiles</t>
  </si>
  <si>
    <t>http://data.europa.eu/ux2/nace2/133</t>
  </si>
  <si>
    <t>139</t>
  </si>
  <si>
    <t>13.9 Manufacture of other textiles</t>
  </si>
  <si>
    <t>http://data.europa.eu/ux2/nace2/139</t>
  </si>
  <si>
    <t>141</t>
  </si>
  <si>
    <t>14.1 Manufacture of wearing apparel, except fur apparel</t>
  </si>
  <si>
    <t>http://data.europa.eu/ux2/nace2/141</t>
  </si>
  <si>
    <t>142</t>
  </si>
  <si>
    <t>14.2 Manufacture of articles of fur</t>
  </si>
  <si>
    <t>http://data.europa.eu/ux2/nace2/142</t>
  </si>
  <si>
    <t>143</t>
  </si>
  <si>
    <t>14.3 Manufacture of knitted and crocheted apparel</t>
  </si>
  <si>
    <t>http://data.europa.eu/ux2/nace2/143</t>
  </si>
  <si>
    <t>151</t>
  </si>
  <si>
    <t>15.1 Tanning and dressing of leather; manufacture of luggage, handbags, saddlery and harness; dressing and dyeing of fur</t>
  </si>
  <si>
    <t>http://data.europa.eu/ux2/nace2/151</t>
  </si>
  <si>
    <t>152</t>
  </si>
  <si>
    <t>15.2 Manufacture of footwear</t>
  </si>
  <si>
    <t>http://data.europa.eu/ux2/nace2/152</t>
  </si>
  <si>
    <t>161</t>
  </si>
  <si>
    <t>16.1 Sawmilling and planing of wood</t>
  </si>
  <si>
    <t>http://data.europa.eu/ux2/nace2/161</t>
  </si>
  <si>
    <t>162</t>
  </si>
  <si>
    <t>16.2 Manufacture of products of wood, cork, straw and plaiting materials</t>
  </si>
  <si>
    <t>http://data.europa.eu/ux2/nace2/162</t>
  </si>
  <si>
    <t>171</t>
  </si>
  <si>
    <t>17.1 Manufacture of pulp, paper and paperboard</t>
  </si>
  <si>
    <t>http://data.europa.eu/ux2/nace2/171</t>
  </si>
  <si>
    <t>172</t>
  </si>
  <si>
    <t>17.2 Manufacture of articles of paper and paperboard</t>
  </si>
  <si>
    <t>http://data.europa.eu/ux2/nace2/172</t>
  </si>
  <si>
    <t>181</t>
  </si>
  <si>
    <t>18.1 Printing and service activities related to printing</t>
  </si>
  <si>
    <t>http://data.europa.eu/ux2/nace2/181</t>
  </si>
  <si>
    <t>182</t>
  </si>
  <si>
    <t>18.2 Reproduction of recorded media</t>
  </si>
  <si>
    <t>http://data.europa.eu/ux2/nace2/182</t>
  </si>
  <si>
    <t>191</t>
  </si>
  <si>
    <t>19.1 Manufacture of coke oven products</t>
  </si>
  <si>
    <t>http://data.europa.eu/ux2/nace2/191</t>
  </si>
  <si>
    <t>192</t>
  </si>
  <si>
    <t>19.2 Manufacture of refined petroleum products</t>
  </si>
  <si>
    <t>http://data.europa.eu/ux2/nace2/192</t>
  </si>
  <si>
    <t>201</t>
  </si>
  <si>
    <t>20.1 Manufacture of basic chemicals, fertilisers and nitrogen compounds, plastics and synthetic rubber in primary forms</t>
  </si>
  <si>
    <t>http://data.europa.eu/ux2/nace2/201</t>
  </si>
  <si>
    <t>202</t>
  </si>
  <si>
    <t>20.2 Manufacture of pesticides and other agrochemical products</t>
  </si>
  <si>
    <t>http://data.europa.eu/ux2/nace2/202</t>
  </si>
  <si>
    <t>203</t>
  </si>
  <si>
    <t>20.3 Manufacture of paints, varnishes and similar coatings, printing ink and mastics</t>
  </si>
  <si>
    <t>http://data.europa.eu/ux2/nace2/203</t>
  </si>
  <si>
    <t>204</t>
  </si>
  <si>
    <t>20.4 Manufacture of soap and detergents, cleaning and polishing preparations, perfumes and toilet preparations</t>
  </si>
  <si>
    <t>http://data.europa.eu/ux2/nace2/204</t>
  </si>
  <si>
    <t>205</t>
  </si>
  <si>
    <t>20.5 Manufacture of other chemical products</t>
  </si>
  <si>
    <t>http://data.europa.eu/ux2/nace2/205</t>
  </si>
  <si>
    <t>206</t>
  </si>
  <si>
    <t>20.6 Manufacture of man-made fibres</t>
  </si>
  <si>
    <t>http://data.europa.eu/ux2/nace2/206</t>
  </si>
  <si>
    <t>211</t>
  </si>
  <si>
    <t>21.1 Manufacture of basic pharmaceutical products</t>
  </si>
  <si>
    <t>http://data.europa.eu/ux2/nace2/211</t>
  </si>
  <si>
    <t>212</t>
  </si>
  <si>
    <t>21.2 Manufacture of pharmaceutical preparations</t>
  </si>
  <si>
    <t>http://data.europa.eu/ux2/nace2/212</t>
  </si>
  <si>
    <t>221</t>
  </si>
  <si>
    <t>22.1 Manufacture of rubber products</t>
  </si>
  <si>
    <t>http://data.europa.eu/ux2/nace2/221</t>
  </si>
  <si>
    <t>222</t>
  </si>
  <si>
    <t>http://data.europa.eu/ux2/nace2/222</t>
  </si>
  <si>
    <t>231</t>
  </si>
  <si>
    <t>23.1 Manufacture of glass and glass products</t>
  </si>
  <si>
    <t>http://data.europa.eu/ux2/nace2/231</t>
  </si>
  <si>
    <t>232</t>
  </si>
  <si>
    <t>23.2 Manufacture of refractory products</t>
  </si>
  <si>
    <t>http://data.europa.eu/ux2/nace2/232</t>
  </si>
  <si>
    <t>233</t>
  </si>
  <si>
    <t>23.3 Manufacture of clay building materials</t>
  </si>
  <si>
    <t>http://data.europa.eu/ux2/nace2/233</t>
  </si>
  <si>
    <t>234</t>
  </si>
  <si>
    <t>23.4 Manufacture of other porcelain and ceramic products</t>
  </si>
  <si>
    <t>http://data.europa.eu/ux2/nace2/234</t>
  </si>
  <si>
    <t>235</t>
  </si>
  <si>
    <t>23.5 Manufacture of cement, lime and plaster</t>
  </si>
  <si>
    <t>http://data.europa.eu/ux2/nace2/235</t>
  </si>
  <si>
    <t>236</t>
  </si>
  <si>
    <t>23.6 Manufacture of articles of concrete, cement and plaster</t>
  </si>
  <si>
    <t>http://data.europa.eu/ux2/nace2/236</t>
  </si>
  <si>
    <t>237</t>
  </si>
  <si>
    <t>23.7 Cutting, shaping and finishing of stone</t>
  </si>
  <si>
    <t>http://data.europa.eu/ux2/nace2/237</t>
  </si>
  <si>
    <t>239</t>
  </si>
  <si>
    <t>23.9 Manufacture of abrasive products and non-metallic mineral products n.e.c.</t>
  </si>
  <si>
    <t>http://data.europa.eu/ux2/nace2/239</t>
  </si>
  <si>
    <t>241</t>
  </si>
  <si>
    <t>24.1 Manufacture of basic iron and steel and of ferro-alloys</t>
  </si>
  <si>
    <t>http://data.europa.eu/ux2/nace2/241</t>
  </si>
  <si>
    <t>242</t>
  </si>
  <si>
    <t>24.2 Manufacture of tubes, pipes, hollow profiles and related fittings, of steel</t>
  </si>
  <si>
    <t>http://data.europa.eu/ux2/nace2/242</t>
  </si>
  <si>
    <t>243</t>
  </si>
  <si>
    <t>24.3 Manufacture of other products of first processing of steel</t>
  </si>
  <si>
    <t>http://data.europa.eu/ux2/nace2/243</t>
  </si>
  <si>
    <t>244</t>
  </si>
  <si>
    <t>24.4 Manufacture of basic precious and other non-ferrous metals</t>
  </si>
  <si>
    <t>http://data.europa.eu/ux2/nace2/244</t>
  </si>
  <si>
    <t>245</t>
  </si>
  <si>
    <t>24.5 Casting of metals</t>
  </si>
  <si>
    <t>http://data.europa.eu/ux2/nace2/245</t>
  </si>
  <si>
    <t>251</t>
  </si>
  <si>
    <t>25.1 Manufacture of structural metal products</t>
  </si>
  <si>
    <t>http://data.europa.eu/ux2/nace2/251</t>
  </si>
  <si>
    <t>252</t>
  </si>
  <si>
    <t>25.2 Manufacture of tanks, reservoirs and containers of metal</t>
  </si>
  <si>
    <t>http://data.europa.eu/ux2/nace2/252</t>
  </si>
  <si>
    <t>253</t>
  </si>
  <si>
    <t>25.3 Manufacture of steam generators, except central heating hot water boilers</t>
  </si>
  <si>
    <t>http://data.europa.eu/ux2/nace2/253</t>
  </si>
  <si>
    <t>254</t>
  </si>
  <si>
    <t>25.4 Manufacture of weapons and ammunition</t>
  </si>
  <si>
    <t>http://data.europa.eu/ux2/nace2/254</t>
  </si>
  <si>
    <t>255</t>
  </si>
  <si>
    <t>25.5 Forging, pressing, stamping and roll-forming of metal; powder metallurgy</t>
  </si>
  <si>
    <t>http://data.europa.eu/ux2/nace2/255</t>
  </si>
  <si>
    <t>256</t>
  </si>
  <si>
    <t>25.6 Treatment and coating of metals; machining</t>
  </si>
  <si>
    <t>http://data.europa.eu/ux2/nace2/256</t>
  </si>
  <si>
    <t>257</t>
  </si>
  <si>
    <t>25.7 Manufacture of cutlery, tools and general hardware</t>
  </si>
  <si>
    <t>http://data.europa.eu/ux2/nace2/257</t>
  </si>
  <si>
    <t>259</t>
  </si>
  <si>
    <t>25.9 Manufacture of other fabricated metal products</t>
  </si>
  <si>
    <t>http://data.europa.eu/ux2/nace2/259</t>
  </si>
  <si>
    <t>261</t>
  </si>
  <si>
    <t>26.1 Manufacture of electronic components and boards</t>
  </si>
  <si>
    <t>http://data.europa.eu/ux2/nace2/261</t>
  </si>
  <si>
    <t>262</t>
  </si>
  <si>
    <t>26.2 Manufacture of computers and peripheral equipment</t>
  </si>
  <si>
    <t>http://data.europa.eu/ux2/nace2/262</t>
  </si>
  <si>
    <t>263</t>
  </si>
  <si>
    <t>26.3 Manufacture of communication equipment</t>
  </si>
  <si>
    <t>http://data.europa.eu/ux2/nace2/263</t>
  </si>
  <si>
    <t>264</t>
  </si>
  <si>
    <t>26.4 Manufacture of consumer electronics</t>
  </si>
  <si>
    <t>http://data.europa.eu/ux2/nace2/264</t>
  </si>
  <si>
    <t>265</t>
  </si>
  <si>
    <t>26.5 Manufacture of instruments and appliances for measuring, testing and navigation; watches and clocks</t>
  </si>
  <si>
    <t>http://data.europa.eu/ux2/nace2/265</t>
  </si>
  <si>
    <t>266</t>
  </si>
  <si>
    <t>26.6 Manufacture of irradiation, electromedical and electrotherapeutic equipment</t>
  </si>
  <si>
    <t>http://data.europa.eu/ux2/nace2/266</t>
  </si>
  <si>
    <t>267</t>
  </si>
  <si>
    <t>26.7 Manufacture of optical instruments and photographic equipment</t>
  </si>
  <si>
    <t>http://data.europa.eu/ux2/nace2/267</t>
  </si>
  <si>
    <t>268</t>
  </si>
  <si>
    <t>26.8 Manufacture of magnetic and optical media</t>
  </si>
  <si>
    <t>http://data.europa.eu/ux2/nace2/268</t>
  </si>
  <si>
    <t>271</t>
  </si>
  <si>
    <t>27.1 Manufacture of electric motors, generators, transformers and electricity distribution and control apparatus</t>
  </si>
  <si>
    <t>http://data.europa.eu/ux2/nace2/271</t>
  </si>
  <si>
    <t>272</t>
  </si>
  <si>
    <t>27.2 Manufacture of batteries and accumulators</t>
  </si>
  <si>
    <t>http://data.europa.eu/ux2/nace2/272</t>
  </si>
  <si>
    <t>273</t>
  </si>
  <si>
    <t>27.3 Manufacture of wiring and wiring devices</t>
  </si>
  <si>
    <t>http://data.europa.eu/ux2/nace2/273</t>
  </si>
  <si>
    <t>274</t>
  </si>
  <si>
    <t>27.4 Manufacture of electric lighting equipment</t>
  </si>
  <si>
    <t>http://data.europa.eu/ux2/nace2/274</t>
  </si>
  <si>
    <t>275</t>
  </si>
  <si>
    <t>27.5 Manufacture of domestic appliances</t>
  </si>
  <si>
    <t>http://data.europa.eu/ux2/nace2/275</t>
  </si>
  <si>
    <t>279</t>
  </si>
  <si>
    <t>27.9 Manufacture of other electrical equipment</t>
  </si>
  <si>
    <t>http://data.europa.eu/ux2/nace2/279</t>
  </si>
  <si>
    <t>281</t>
  </si>
  <si>
    <t>28.1 Manufacture of general-purpose machinery</t>
  </si>
  <si>
    <t>http://data.europa.eu/ux2/nace2/281</t>
  </si>
  <si>
    <t>282</t>
  </si>
  <si>
    <t>28.2 Manufacture of other general-purpose machinery</t>
  </si>
  <si>
    <t>http://data.europa.eu/ux2/nace2/282</t>
  </si>
  <si>
    <t>283</t>
  </si>
  <si>
    <t>28.3 Manufacture of agricultural and forestry machinery</t>
  </si>
  <si>
    <t>http://data.europa.eu/ux2/nace2/283</t>
  </si>
  <si>
    <t>284</t>
  </si>
  <si>
    <t>28.4 Manufacture of metal forming machinery and machine tools</t>
  </si>
  <si>
    <t>http://data.europa.eu/ux2/nace2/284</t>
  </si>
  <si>
    <t>289</t>
  </si>
  <si>
    <t>28.9 Manufacture of other special-purpose machinery</t>
  </si>
  <si>
    <t>http://data.europa.eu/ux2/nace2/289</t>
  </si>
  <si>
    <t>291</t>
  </si>
  <si>
    <t>29.1 Manufacture of motor vehicles</t>
  </si>
  <si>
    <t>http://data.europa.eu/ux2/nace2/291</t>
  </si>
  <si>
    <t>292</t>
  </si>
  <si>
    <t>29.2 Manufacture of bodies (coachwork) for motor vehicles; manufacture of trailers and semi-trailers</t>
  </si>
  <si>
    <t>http://data.europa.eu/ux2/nace2/292</t>
  </si>
  <si>
    <t>293</t>
  </si>
  <si>
    <t>29.3 Manufacture of parts and accessories for motor vehicles</t>
  </si>
  <si>
    <t>http://data.europa.eu/ux2/nace2/293</t>
  </si>
  <si>
    <t>301</t>
  </si>
  <si>
    <t>30.1 Building of ships and boats</t>
  </si>
  <si>
    <t>http://data.europa.eu/ux2/nace2/301</t>
  </si>
  <si>
    <t>302</t>
  </si>
  <si>
    <t>30.2 Manufacture of railway locomotives and rolling stock</t>
  </si>
  <si>
    <t>http://data.europa.eu/ux2/nace2/302</t>
  </si>
  <si>
    <t>303</t>
  </si>
  <si>
    <t>30.3 Manufacture of air and spacecraft and related machinery</t>
  </si>
  <si>
    <t>http://data.europa.eu/ux2/nace2/303</t>
  </si>
  <si>
    <t>304</t>
  </si>
  <si>
    <t>30.4 Manufacture of military fighting vehicles</t>
  </si>
  <si>
    <t>http://data.europa.eu/ux2/nace2/304</t>
  </si>
  <si>
    <t>309</t>
  </si>
  <si>
    <t>30.9 Manufacture of transport equipment n.e.c.</t>
  </si>
  <si>
    <t>http://data.europa.eu/ux2/nace2/309</t>
  </si>
  <si>
    <t>310</t>
  </si>
  <si>
    <t>31.0 Manufacture of furniture</t>
  </si>
  <si>
    <t>http://data.europa.eu/ux2/nace2/310</t>
  </si>
  <si>
    <t>321</t>
  </si>
  <si>
    <t>32.1 Manufacture of jewellery, bijouterie and related articles</t>
  </si>
  <si>
    <t>http://data.europa.eu/ux2/nace2/321</t>
  </si>
  <si>
    <t>322</t>
  </si>
  <si>
    <t>32.2 Manufacture of musical instruments</t>
  </si>
  <si>
    <t>http://data.europa.eu/ux2/nace2/322</t>
  </si>
  <si>
    <t>323</t>
  </si>
  <si>
    <t>32.3 Manufacture of sports goods</t>
  </si>
  <si>
    <t>http://data.europa.eu/ux2/nace2/323</t>
  </si>
  <si>
    <t>324</t>
  </si>
  <si>
    <t>32.4 Manufacture of games and toys</t>
  </si>
  <si>
    <t>http://data.europa.eu/ux2/nace2/324</t>
  </si>
  <si>
    <t>325</t>
  </si>
  <si>
    <t>32.5 Manufacture of medical and dental instruments and supplies</t>
  </si>
  <si>
    <t>http://data.europa.eu/ux2/nace2/325</t>
  </si>
  <si>
    <t>329</t>
  </si>
  <si>
    <t>32.9 Manufacturing n.e.c.</t>
  </si>
  <si>
    <t>http://data.europa.eu/ux2/nace2/329</t>
  </si>
  <si>
    <t>331</t>
  </si>
  <si>
    <t>33.1 Repair of fabricated metal products, machinery and equipment</t>
  </si>
  <si>
    <t>http://data.europa.eu/ux2/nace2/331</t>
  </si>
  <si>
    <t>332</t>
  </si>
  <si>
    <t>33.2 Installation of industrial machinery and equipment</t>
  </si>
  <si>
    <t>http://data.europa.eu/ux2/nace2/332</t>
  </si>
  <si>
    <t>351</t>
  </si>
  <si>
    <t>35.1 Electric power generation, transmission and distribution</t>
  </si>
  <si>
    <t>http://data.europa.eu/ux2/nace2/351</t>
  </si>
  <si>
    <t>352</t>
  </si>
  <si>
    <t>35.2 Manufacture of gas; distribution of gaseous fuels through mains</t>
  </si>
  <si>
    <t>http://data.europa.eu/ux2/nace2/352</t>
  </si>
  <si>
    <t>353</t>
  </si>
  <si>
    <t>35.3 Steam and air conditioning supply</t>
  </si>
  <si>
    <t>http://data.europa.eu/ux2/nace2/353</t>
  </si>
  <si>
    <t>360</t>
  </si>
  <si>
    <t>36.0 Water collection, treatment and supply</t>
  </si>
  <si>
    <t>http://data.europa.eu/ux2/nace2/360</t>
  </si>
  <si>
    <t>370</t>
  </si>
  <si>
    <t>37.0 Sewerage</t>
  </si>
  <si>
    <t>http://data.europa.eu/ux2/nace2/370</t>
  </si>
  <si>
    <t>381</t>
  </si>
  <si>
    <t>38.1 Waste collection</t>
  </si>
  <si>
    <t>http://data.europa.eu/ux2/nace2/381</t>
  </si>
  <si>
    <t>382</t>
  </si>
  <si>
    <t>38.2 Waste treatment and disposal</t>
  </si>
  <si>
    <t>http://data.europa.eu/ux2/nace2/382</t>
  </si>
  <si>
    <t>383</t>
  </si>
  <si>
    <t>38.3 Materials recovery</t>
  </si>
  <si>
    <t>http://data.europa.eu/ux2/nace2/383</t>
  </si>
  <si>
    <t>390</t>
  </si>
  <si>
    <t>39.0 Remediation activities and other waste management services</t>
  </si>
  <si>
    <t>http://data.europa.eu/ux2/nace2/390</t>
  </si>
  <si>
    <t>411</t>
  </si>
  <si>
    <t>41.1 Development of building projects</t>
  </si>
  <si>
    <t>http://data.europa.eu/ux2/nace2/411</t>
  </si>
  <si>
    <t>412</t>
  </si>
  <si>
    <t>41.2 Construction of residential and non-residential buildings</t>
  </si>
  <si>
    <t>http://data.europa.eu/ux2/nace2/412</t>
  </si>
  <si>
    <t>421</t>
  </si>
  <si>
    <t>42.1 Construction of roads and railways</t>
  </si>
  <si>
    <t>http://data.europa.eu/ux2/nace2/421</t>
  </si>
  <si>
    <t>422</t>
  </si>
  <si>
    <t>42.2 Construction of utility projects</t>
  </si>
  <si>
    <t>http://data.europa.eu/ux2/nace2/422</t>
  </si>
  <si>
    <t>429</t>
  </si>
  <si>
    <t>42.9 Construction of other civil engineering projects</t>
  </si>
  <si>
    <t>http://data.europa.eu/ux2/nace2/429</t>
  </si>
  <si>
    <t>431</t>
  </si>
  <si>
    <t>43.1 Demolition and site preparation</t>
  </si>
  <si>
    <t>http://data.europa.eu/ux2/nace2/431</t>
  </si>
  <si>
    <t>432</t>
  </si>
  <si>
    <t>43.2 Electrical, plumbing and other construction installation activities</t>
  </si>
  <si>
    <t>http://data.europa.eu/ux2/nace2/432</t>
  </si>
  <si>
    <t>433</t>
  </si>
  <si>
    <t>43.3 Building completion and finishing</t>
  </si>
  <si>
    <t>http://data.europa.eu/ux2/nace2/433</t>
  </si>
  <si>
    <t>439</t>
  </si>
  <si>
    <t>43.9 Other specialised construction activities</t>
  </si>
  <si>
    <t>http://data.europa.eu/ux2/nace2/439</t>
  </si>
  <si>
    <t>451</t>
  </si>
  <si>
    <t>45.1 Sale of motor vehicles</t>
  </si>
  <si>
    <t>http://data.europa.eu/ux2/nace2/451</t>
  </si>
  <si>
    <t>452</t>
  </si>
  <si>
    <t>45.2 Maintenance and repair of motor vehicles</t>
  </si>
  <si>
    <t>http://data.europa.eu/ux2/nace2/452</t>
  </si>
  <si>
    <t>453</t>
  </si>
  <si>
    <t>45.3 Sale of motor vehicle parts and accessories</t>
  </si>
  <si>
    <t>http://data.europa.eu/ux2/nace2/453</t>
  </si>
  <si>
    <t>454</t>
  </si>
  <si>
    <t>45.4 Sale, maintenance and repair of motorcycles and related parts and accessories</t>
  </si>
  <si>
    <t>http://data.europa.eu/ux2/nace2/454</t>
  </si>
  <si>
    <t>461</t>
  </si>
  <si>
    <t>46.1 Wholesale on a fee or contract basis</t>
  </si>
  <si>
    <t>http://data.europa.eu/ux2/nace2/461</t>
  </si>
  <si>
    <t>462</t>
  </si>
  <si>
    <t>46.2 Wholesale of agricultural raw materials and live animals</t>
  </si>
  <si>
    <t>http://data.europa.eu/ux2/nace2/462</t>
  </si>
  <si>
    <t>463</t>
  </si>
  <si>
    <t>46.3 Wholesale of food, beverages and tobacco</t>
  </si>
  <si>
    <t>http://data.europa.eu/ux2/nace2/463</t>
  </si>
  <si>
    <t>464</t>
  </si>
  <si>
    <t>46.4 Wholesale of household goods</t>
  </si>
  <si>
    <t>http://data.europa.eu/ux2/nace2/464</t>
  </si>
  <si>
    <t>465</t>
  </si>
  <si>
    <t>46.5 Wholesale of information and communication equipment</t>
  </si>
  <si>
    <t>http://data.europa.eu/ux2/nace2/465</t>
  </si>
  <si>
    <t>466</t>
  </si>
  <si>
    <t>46.6 Wholesale of other machinery, equipment and supplies</t>
  </si>
  <si>
    <t>http://data.europa.eu/ux2/nace2/466</t>
  </si>
  <si>
    <t>467</t>
  </si>
  <si>
    <t>46.7 Other specialised wholesale</t>
  </si>
  <si>
    <t>http://data.europa.eu/ux2/nace2/467</t>
  </si>
  <si>
    <t>469</t>
  </si>
  <si>
    <t>46.9 Non-specialised wholesale trade</t>
  </si>
  <si>
    <t>http://data.europa.eu/ux2/nace2/469</t>
  </si>
  <si>
    <t>471</t>
  </si>
  <si>
    <t>47.1 Retail sale in non-specialised stores</t>
  </si>
  <si>
    <t>http://data.europa.eu/ux2/nace2/471</t>
  </si>
  <si>
    <t>472</t>
  </si>
  <si>
    <t>47.2 Retail sale of food, beverages and tobacco in specialised stores</t>
  </si>
  <si>
    <t>http://data.europa.eu/ux2/nace2/472</t>
  </si>
  <si>
    <t>473</t>
  </si>
  <si>
    <t>47.3 Retail sale of automotive fuel in specialised stores</t>
  </si>
  <si>
    <t>http://data.europa.eu/ux2/nace2/473</t>
  </si>
  <si>
    <t>474</t>
  </si>
  <si>
    <t>47.4 Retail sale of information and communication equipment in specialised stores</t>
  </si>
  <si>
    <t>http://data.europa.eu/ux2/nace2/474</t>
  </si>
  <si>
    <t>475</t>
  </si>
  <si>
    <t>47.5 Retail sale of other household equipment in specialised stores</t>
  </si>
  <si>
    <t>http://data.europa.eu/ux2/nace2/475</t>
  </si>
  <si>
    <t>476</t>
  </si>
  <si>
    <t>47.6 Retail sale of cultural and recreation goods in specialised stores</t>
  </si>
  <si>
    <t>http://data.europa.eu/ux2/nace2/476</t>
  </si>
  <si>
    <t>477</t>
  </si>
  <si>
    <t>47.7 Retail sale of other goods in specialised stores</t>
  </si>
  <si>
    <t>http://data.europa.eu/ux2/nace2/477</t>
  </si>
  <si>
    <t>478</t>
  </si>
  <si>
    <t>47.8 Retail sale via stalls and markets</t>
  </si>
  <si>
    <t>http://data.europa.eu/ux2/nace2/478</t>
  </si>
  <si>
    <t>479</t>
  </si>
  <si>
    <t>47.9 Retail trade not in stores, stalls or markets</t>
  </si>
  <si>
    <t>http://data.europa.eu/ux2/nace2/479</t>
  </si>
  <si>
    <t>491</t>
  </si>
  <si>
    <t>49.1 Passenger rail transport, interurban</t>
  </si>
  <si>
    <t>http://data.europa.eu/ux2/nace2/491</t>
  </si>
  <si>
    <t>492</t>
  </si>
  <si>
    <t>49.2 Freight rail transport</t>
  </si>
  <si>
    <t>http://data.europa.eu/ux2/nace2/492</t>
  </si>
  <si>
    <t>493</t>
  </si>
  <si>
    <t>49.3 Other passenger land transport</t>
  </si>
  <si>
    <t>http://data.europa.eu/ux2/nace2/493</t>
  </si>
  <si>
    <t>494</t>
  </si>
  <si>
    <t>49.4 Freight transport by road and removal services</t>
  </si>
  <si>
    <t>http://data.europa.eu/ux2/nace2/494</t>
  </si>
  <si>
    <t>495</t>
  </si>
  <si>
    <t>49.5 Transport via pipeline</t>
  </si>
  <si>
    <t>http://data.europa.eu/ux2/nace2/495</t>
  </si>
  <si>
    <t>501</t>
  </si>
  <si>
    <t>50.1 Sea and coastal passenger water transport</t>
  </si>
  <si>
    <t>http://data.europa.eu/ux2/nace2/501</t>
  </si>
  <si>
    <t>502</t>
  </si>
  <si>
    <t>50.2 Sea and coastal freight water transport</t>
  </si>
  <si>
    <t>http://data.europa.eu/ux2/nace2/502</t>
  </si>
  <si>
    <t>503</t>
  </si>
  <si>
    <t>50.3 Inland passenger water transport</t>
  </si>
  <si>
    <t>http://data.europa.eu/ux2/nace2/503</t>
  </si>
  <si>
    <t>504</t>
  </si>
  <si>
    <t>50.4 Inland freight water transport</t>
  </si>
  <si>
    <t>http://data.europa.eu/ux2/nace2/504</t>
  </si>
  <si>
    <t>511</t>
  </si>
  <si>
    <t>51.1 Passenger air transport</t>
  </si>
  <si>
    <t>http://data.europa.eu/ux2/nace2/511</t>
  </si>
  <si>
    <t>512</t>
  </si>
  <si>
    <t>51.2 Freight air transport and space transport</t>
  </si>
  <si>
    <t>http://data.europa.eu/ux2/nace2/512</t>
  </si>
  <si>
    <t>521</t>
  </si>
  <si>
    <t>52.1 Warehousing and storage</t>
  </si>
  <si>
    <t>http://data.europa.eu/ux2/nace2/521</t>
  </si>
  <si>
    <t>522</t>
  </si>
  <si>
    <t>52.2 Support activities for transportation</t>
  </si>
  <si>
    <t>http://data.europa.eu/ux2/nace2/522</t>
  </si>
  <si>
    <t>531</t>
  </si>
  <si>
    <t>53.1 Postal activities under universal service obligation</t>
  </si>
  <si>
    <t>http://data.europa.eu/ux2/nace2/531</t>
  </si>
  <si>
    <t>532</t>
  </si>
  <si>
    <t>53.2 Other postal and courier activities</t>
  </si>
  <si>
    <t>http://data.europa.eu/ux2/nace2/532</t>
  </si>
  <si>
    <t>551</t>
  </si>
  <si>
    <t>55.1 Hotels and similar accommodation</t>
  </si>
  <si>
    <t>http://data.europa.eu/ux2/nace2/551</t>
  </si>
  <si>
    <t>552</t>
  </si>
  <si>
    <t>55.2 Holiday and other short-stay accommodation</t>
  </si>
  <si>
    <t>http://data.europa.eu/ux2/nace2/552</t>
  </si>
  <si>
    <t>553</t>
  </si>
  <si>
    <t>55.3 Camping grounds, recreational vehicle parks and trailer parks</t>
  </si>
  <si>
    <t>http://data.europa.eu/ux2/nace2/553</t>
  </si>
  <si>
    <t>559</t>
  </si>
  <si>
    <t>55.9 Other accommodation</t>
  </si>
  <si>
    <t>http://data.europa.eu/ux2/nace2/559</t>
  </si>
  <si>
    <t>561</t>
  </si>
  <si>
    <t>56.1 Restaurants and mobile food service activities</t>
  </si>
  <si>
    <t>http://data.europa.eu/ux2/nace2/561</t>
  </si>
  <si>
    <t>562</t>
  </si>
  <si>
    <t>56.2 Event catering and other food service activities</t>
  </si>
  <si>
    <t>http://data.europa.eu/ux2/nace2/562</t>
  </si>
  <si>
    <t>563</t>
  </si>
  <si>
    <t>56.3 Beverage serving activities</t>
  </si>
  <si>
    <t>http://data.europa.eu/ux2/nace2/563</t>
  </si>
  <si>
    <t>581</t>
  </si>
  <si>
    <t>58.1 Publishing of books, periodicals and other publishing activities</t>
  </si>
  <si>
    <t>http://data.europa.eu/ux2/nace2/581</t>
  </si>
  <si>
    <t>582</t>
  </si>
  <si>
    <t>58.2 Software publishing</t>
  </si>
  <si>
    <t>http://data.europa.eu/ux2/nace2/582</t>
  </si>
  <si>
    <t>591</t>
  </si>
  <si>
    <t>59.1 Motion picture, video and television programme activities</t>
  </si>
  <si>
    <t>http://data.europa.eu/ux2/nace2/591</t>
  </si>
  <si>
    <t>592</t>
  </si>
  <si>
    <t>59.2 Sound recording and music publishing activities</t>
  </si>
  <si>
    <t>http://data.europa.eu/ux2/nace2/592</t>
  </si>
  <si>
    <t>601</t>
  </si>
  <si>
    <t>60.1 Radio broadcasting</t>
  </si>
  <si>
    <t>http://data.europa.eu/ux2/nace2/601</t>
  </si>
  <si>
    <t>602</t>
  </si>
  <si>
    <t>60.2 Television programming and broadcasting activities</t>
  </si>
  <si>
    <t>http://data.europa.eu/ux2/nace2/602</t>
  </si>
  <si>
    <t>611</t>
  </si>
  <si>
    <t>61.1 Wired telecommunications activities</t>
  </si>
  <si>
    <t>http://data.europa.eu/ux2/nace2/611</t>
  </si>
  <si>
    <t>612</t>
  </si>
  <si>
    <t>61.2 Wireless telecommunications activities</t>
  </si>
  <si>
    <t>http://data.europa.eu/ux2/nace2/612</t>
  </si>
  <si>
    <t>613</t>
  </si>
  <si>
    <t>61.3 Satellite telecommunications activities</t>
  </si>
  <si>
    <t>http://data.europa.eu/ux2/nace2/613</t>
  </si>
  <si>
    <t>619</t>
  </si>
  <si>
    <t>61.9 Other telecommunications activities</t>
  </si>
  <si>
    <t>http://data.europa.eu/ux2/nace2/619</t>
  </si>
  <si>
    <t>620</t>
  </si>
  <si>
    <t>62.0 Computer programming, consultancy and related activities</t>
  </si>
  <si>
    <t>http://data.europa.eu/ux2/nace2/620</t>
  </si>
  <si>
    <t>631</t>
  </si>
  <si>
    <t>63.1 Data processing, hosting and related activities; web portals</t>
  </si>
  <si>
    <t>http://data.europa.eu/ux2/nace2/631</t>
  </si>
  <si>
    <t>639</t>
  </si>
  <si>
    <t>63.9 Other information service activities</t>
  </si>
  <si>
    <t>http://data.europa.eu/ux2/nace2/639</t>
  </si>
  <si>
    <t>641</t>
  </si>
  <si>
    <t>64.1 Monetary intermediation</t>
  </si>
  <si>
    <t>http://data.europa.eu/ux2/nace2/641</t>
  </si>
  <si>
    <t>642</t>
  </si>
  <si>
    <t>64.2 Activities of holding companies</t>
  </si>
  <si>
    <t>http://data.europa.eu/ux2/nace2/642</t>
  </si>
  <si>
    <t>643</t>
  </si>
  <si>
    <t>64.3 Trusts, funds and similar financial entities</t>
  </si>
  <si>
    <t>http://data.europa.eu/ux2/nace2/643</t>
  </si>
  <si>
    <t>649</t>
  </si>
  <si>
    <t>64.9 Other financial service activities, except insurance and pension funding</t>
  </si>
  <si>
    <t>http://data.europa.eu/ux2/nace2/649</t>
  </si>
  <si>
    <t>651</t>
  </si>
  <si>
    <t>65.1 Insurance</t>
  </si>
  <si>
    <t>http://data.europa.eu/ux2/nace2/651</t>
  </si>
  <si>
    <t>652</t>
  </si>
  <si>
    <t>65.2 Reinsurance</t>
  </si>
  <si>
    <t>http://data.europa.eu/ux2/nace2/652</t>
  </si>
  <si>
    <t>653</t>
  </si>
  <si>
    <t>65.3 Pension funding</t>
  </si>
  <si>
    <t>http://data.europa.eu/ux2/nace2/653</t>
  </si>
  <si>
    <t>661</t>
  </si>
  <si>
    <t>66.1 Activities auxiliary to financial services, except insurance and pension funding</t>
  </si>
  <si>
    <t>http://data.europa.eu/ux2/nace2/661</t>
  </si>
  <si>
    <t>662</t>
  </si>
  <si>
    <t>66.2 Activities auxiliary to insurance and pension funding</t>
  </si>
  <si>
    <t>http://data.europa.eu/ux2/nace2/662</t>
  </si>
  <si>
    <t>663</t>
  </si>
  <si>
    <t>66.3 Fund management activities</t>
  </si>
  <si>
    <t>http://data.europa.eu/ux2/nace2/663</t>
  </si>
  <si>
    <t>681</t>
  </si>
  <si>
    <t>68.1 Buying and selling of own real estate</t>
  </si>
  <si>
    <t>http://data.europa.eu/ux2/nace2/681</t>
  </si>
  <si>
    <t>682</t>
  </si>
  <si>
    <t>68.2 Rental and operating of own or leased real estate</t>
  </si>
  <si>
    <t>http://data.europa.eu/ux2/nace2/682</t>
  </si>
  <si>
    <t>683</t>
  </si>
  <si>
    <t>68.3 Real estate activities on a fee or contract basis</t>
  </si>
  <si>
    <t>http://data.europa.eu/ux2/nace2/683</t>
  </si>
  <si>
    <t>691</t>
  </si>
  <si>
    <t>69.1 Legal activities</t>
  </si>
  <si>
    <t>http://data.europa.eu/ux2/nace2/691</t>
  </si>
  <si>
    <t>692</t>
  </si>
  <si>
    <t>69.2 Accounting, bookkeeping and auditing activities; tax consultancy</t>
  </si>
  <si>
    <t>http://data.europa.eu/ux2/nace2/692</t>
  </si>
  <si>
    <t>701</t>
  </si>
  <si>
    <t>70.1 Activities of head offices</t>
  </si>
  <si>
    <t>http://data.europa.eu/ux2/nace2/701</t>
  </si>
  <si>
    <t>702</t>
  </si>
  <si>
    <t>70.2 Management consultancy activities</t>
  </si>
  <si>
    <t>http://data.europa.eu/ux2/nace2/702</t>
  </si>
  <si>
    <t>711</t>
  </si>
  <si>
    <t>71.1 Architectural and engineering activities and related technical consultancy</t>
  </si>
  <si>
    <t>http://data.europa.eu/ux2/nace2/711</t>
  </si>
  <si>
    <t>712</t>
  </si>
  <si>
    <t>71.2 Technical testing and analysis</t>
  </si>
  <si>
    <t>http://data.europa.eu/ux2/nace2/712</t>
  </si>
  <si>
    <t>721</t>
  </si>
  <si>
    <t>72.1 Research and experimental development on natural sciences and engineering</t>
  </si>
  <si>
    <t>http://data.europa.eu/ux2/nace2/721</t>
  </si>
  <si>
    <t>722</t>
  </si>
  <si>
    <t>72.2 Research and experimental development on social sciences and humanities</t>
  </si>
  <si>
    <t>http://data.europa.eu/ux2/nace2/722</t>
  </si>
  <si>
    <t>731</t>
  </si>
  <si>
    <t>73.1 Advertising</t>
  </si>
  <si>
    <t>http://data.europa.eu/ux2/nace2/731</t>
  </si>
  <si>
    <t>732</t>
  </si>
  <si>
    <t>73.2 Market research and public opinion polling</t>
  </si>
  <si>
    <t>http://data.europa.eu/ux2/nace2/732</t>
  </si>
  <si>
    <t>741</t>
  </si>
  <si>
    <t>74.1 Specialised design activities</t>
  </si>
  <si>
    <t>http://data.europa.eu/ux2/nace2/741</t>
  </si>
  <si>
    <t>742</t>
  </si>
  <si>
    <t>74.2 Photographic activities</t>
  </si>
  <si>
    <t>http://data.europa.eu/ux2/nace2/742</t>
  </si>
  <si>
    <t>743</t>
  </si>
  <si>
    <t>74.3 Translation and interpretation activities</t>
  </si>
  <si>
    <t>http://data.europa.eu/ux2/nace2/743</t>
  </si>
  <si>
    <t>749</t>
  </si>
  <si>
    <t>74.9 Other professional, scientific and technical activities n.e.c.</t>
  </si>
  <si>
    <t>http://data.europa.eu/ux2/nace2/749</t>
  </si>
  <si>
    <t>750</t>
  </si>
  <si>
    <t>75.0 Veterinary activities</t>
  </si>
  <si>
    <t>http://data.europa.eu/ux2/nace2/750</t>
  </si>
  <si>
    <t>771</t>
  </si>
  <si>
    <t>77.1 Rental and leasing of motor vehicles</t>
  </si>
  <si>
    <t>http://data.europa.eu/ux2/nace2/771</t>
  </si>
  <si>
    <t>772</t>
  </si>
  <si>
    <t>77.2 Rental and leasing of personal and household goods</t>
  </si>
  <si>
    <t>http://data.europa.eu/ux2/nace2/772</t>
  </si>
  <si>
    <t>773</t>
  </si>
  <si>
    <t>77.3 Rental and leasing of other machinery, equipment and tangible goods</t>
  </si>
  <si>
    <t>http://data.europa.eu/ux2/nace2/773</t>
  </si>
  <si>
    <t>774</t>
  </si>
  <si>
    <t>77.4 Leasing of intellectual property and similar products, except copyrighted works</t>
  </si>
  <si>
    <t>http://data.europa.eu/ux2/nace2/774</t>
  </si>
  <si>
    <t>781</t>
  </si>
  <si>
    <t>78.1 Activities of employment placement agencies</t>
  </si>
  <si>
    <t>http://data.europa.eu/ux2/nace2/781</t>
  </si>
  <si>
    <t>782</t>
  </si>
  <si>
    <t>78.2 Temporary employment agency activities</t>
  </si>
  <si>
    <t>http://data.europa.eu/ux2/nace2/782</t>
  </si>
  <si>
    <t>783</t>
  </si>
  <si>
    <t>78.3 Other human resources provision</t>
  </si>
  <si>
    <t>http://data.europa.eu/ux2/nace2/783</t>
  </si>
  <si>
    <t>791</t>
  </si>
  <si>
    <t>79.1 Travel agency and tour operator activities</t>
  </si>
  <si>
    <t>http://data.europa.eu/ux2/nace2/791</t>
  </si>
  <si>
    <t>799</t>
  </si>
  <si>
    <t>79.9 Other reservation service and related activities</t>
  </si>
  <si>
    <t>http://data.europa.eu/ux2/nace2/799</t>
  </si>
  <si>
    <t>801</t>
  </si>
  <si>
    <t>80.1 Private security activities</t>
  </si>
  <si>
    <t>http://data.europa.eu/ux2/nace2/801</t>
  </si>
  <si>
    <t>802</t>
  </si>
  <si>
    <t>80.2 Security systems service activities</t>
  </si>
  <si>
    <t>http://data.europa.eu/ux2/nace2/802</t>
  </si>
  <si>
    <t>803</t>
  </si>
  <si>
    <t>80.3 Investigation activities</t>
  </si>
  <si>
    <t>http://data.europa.eu/ux2/nace2/803</t>
  </si>
  <si>
    <t>811</t>
  </si>
  <si>
    <t>81.1 Combined facilities support activities</t>
  </si>
  <si>
    <t>http://data.europa.eu/ux2/nace2/811</t>
  </si>
  <si>
    <t>812</t>
  </si>
  <si>
    <t>81.2 Cleaning activities</t>
  </si>
  <si>
    <t>http://data.europa.eu/ux2/nace2/812</t>
  </si>
  <si>
    <t>813</t>
  </si>
  <si>
    <t>81.3 Landscape service activities</t>
  </si>
  <si>
    <t>http://data.europa.eu/ux2/nace2/813</t>
  </si>
  <si>
    <t>821</t>
  </si>
  <si>
    <t>82.1 Office administrative and support activities</t>
  </si>
  <si>
    <t>http://data.europa.eu/ux2/nace2/821</t>
  </si>
  <si>
    <t>822</t>
  </si>
  <si>
    <t>82.2 Activities of call centres</t>
  </si>
  <si>
    <t>http://data.europa.eu/ux2/nace2/822</t>
  </si>
  <si>
    <t>823</t>
  </si>
  <si>
    <t>82.3 Organisation of conventions and trade shows</t>
  </si>
  <si>
    <t>http://data.europa.eu/ux2/nace2/823</t>
  </si>
  <si>
    <t>829</t>
  </si>
  <si>
    <t>82.9 Business support service activities n.e.c.</t>
  </si>
  <si>
    <t>http://data.europa.eu/ux2/nace2/829</t>
  </si>
  <si>
    <t>841</t>
  </si>
  <si>
    <t>84.1 Administration of the State and the economic and social policy of the community</t>
  </si>
  <si>
    <t>http://data.europa.eu/ux2/nace2/841</t>
  </si>
  <si>
    <t>842</t>
  </si>
  <si>
    <t>84.2 Provision of services to the community as a whole</t>
  </si>
  <si>
    <t>http://data.europa.eu/ux2/nace2/842</t>
  </si>
  <si>
    <t>843</t>
  </si>
  <si>
    <t>84.3 Compulsory social security activities</t>
  </si>
  <si>
    <t>http://data.europa.eu/ux2/nace2/843</t>
  </si>
  <si>
    <t>851</t>
  </si>
  <si>
    <t>85.1 Pre-primary education</t>
  </si>
  <si>
    <t>http://data.europa.eu/ux2/nace2/851</t>
  </si>
  <si>
    <t>852</t>
  </si>
  <si>
    <t>85.2 Primary education</t>
  </si>
  <si>
    <t>http://data.europa.eu/ux2/nace2/852</t>
  </si>
  <si>
    <t>853</t>
  </si>
  <si>
    <t>85.3 Secondary education</t>
  </si>
  <si>
    <t>http://data.europa.eu/ux2/nace2/853</t>
  </si>
  <si>
    <t>854</t>
  </si>
  <si>
    <t>85.4 Higher education</t>
  </si>
  <si>
    <t>http://data.europa.eu/ux2/nace2/854</t>
  </si>
  <si>
    <t>855</t>
  </si>
  <si>
    <t>85.5 Other education</t>
  </si>
  <si>
    <t>http://data.europa.eu/ux2/nace2/855</t>
  </si>
  <si>
    <t>856</t>
  </si>
  <si>
    <t>85.6 Educational support activities</t>
  </si>
  <si>
    <t>http://data.europa.eu/ux2/nace2/856</t>
  </si>
  <si>
    <t>861</t>
  </si>
  <si>
    <t>86.1 Hospital activities</t>
  </si>
  <si>
    <t>http://data.europa.eu/ux2/nace2/861</t>
  </si>
  <si>
    <t>862</t>
  </si>
  <si>
    <t>86.2 Medical and dental practice activities</t>
  </si>
  <si>
    <t>http://data.europa.eu/ux2/nace2/862</t>
  </si>
  <si>
    <t>869</t>
  </si>
  <si>
    <t>86.9 Other human health activities</t>
  </si>
  <si>
    <t>http://data.europa.eu/ux2/nace2/869</t>
  </si>
  <si>
    <t>871</t>
  </si>
  <si>
    <t>87.1 Residential nursing care activities</t>
  </si>
  <si>
    <t>http://data.europa.eu/ux2/nace2/871</t>
  </si>
  <si>
    <t>872</t>
  </si>
  <si>
    <t>87.2 Residential care activities for mental retardation, mental health and substance abuse</t>
  </si>
  <si>
    <t>http://data.europa.eu/ux2/nace2/872</t>
  </si>
  <si>
    <t>873</t>
  </si>
  <si>
    <t>87.3 Residential care activities for the elderly and disabled</t>
  </si>
  <si>
    <t>http://data.europa.eu/ux2/nace2/873</t>
  </si>
  <si>
    <t>879</t>
  </si>
  <si>
    <t>87.9 Other residential care activities</t>
  </si>
  <si>
    <t>http://data.europa.eu/ux2/nace2/879</t>
  </si>
  <si>
    <t>881</t>
  </si>
  <si>
    <t>88.1 Social work activities without accommodation for the elderly and disabled</t>
  </si>
  <si>
    <t>http://data.europa.eu/ux2/nace2/881</t>
  </si>
  <si>
    <t>889</t>
  </si>
  <si>
    <t>88.9 Other social work activities without accommodation</t>
  </si>
  <si>
    <t>http://data.europa.eu/ux2/nace2/889</t>
  </si>
  <si>
    <t>900</t>
  </si>
  <si>
    <t>90.0 Creative, arts and entertainment activities</t>
  </si>
  <si>
    <t>http://data.europa.eu/ux2/nace2/900</t>
  </si>
  <si>
    <t>910</t>
  </si>
  <si>
    <t>91.0 Libraries, archives, museums and other cultural activities</t>
  </si>
  <si>
    <t>http://data.europa.eu/ux2/nace2/910</t>
  </si>
  <si>
    <t>920</t>
  </si>
  <si>
    <t>92.0 Gambling and betting activities</t>
  </si>
  <si>
    <t>http://data.europa.eu/ux2/nace2/920</t>
  </si>
  <si>
    <t>931</t>
  </si>
  <si>
    <t>93.1 Sports activities</t>
  </si>
  <si>
    <t>http://data.europa.eu/ux2/nace2/931</t>
  </si>
  <si>
    <t>932</t>
  </si>
  <si>
    <t>93.2 Amusement and recreation activities</t>
  </si>
  <si>
    <t>http://data.europa.eu/ux2/nace2/932</t>
  </si>
  <si>
    <t>941</t>
  </si>
  <si>
    <t>94.1 Activities of business, employers and professional membership organisations</t>
  </si>
  <si>
    <t>http://data.europa.eu/ux2/nace2/941</t>
  </si>
  <si>
    <t>942</t>
  </si>
  <si>
    <t>94.2 Activities of trade unions</t>
  </si>
  <si>
    <t>http://data.europa.eu/ux2/nace2/942</t>
  </si>
  <si>
    <t>949</t>
  </si>
  <si>
    <t>94.9 Activities of other membership organisations</t>
  </si>
  <si>
    <t>http://data.europa.eu/ux2/nace2/949</t>
  </si>
  <si>
    <t>951</t>
  </si>
  <si>
    <t>95.1 Repair of computers and communication equipment</t>
  </si>
  <si>
    <t>http://data.europa.eu/ux2/nace2/951</t>
  </si>
  <si>
    <t>952</t>
  </si>
  <si>
    <t>95.2 Repair of personal and household goods</t>
  </si>
  <si>
    <t>http://data.europa.eu/ux2/nace2/952</t>
  </si>
  <si>
    <t>960</t>
  </si>
  <si>
    <t>96.0 Other personal service activities</t>
  </si>
  <si>
    <t>http://data.europa.eu/ux2/nace2/960</t>
  </si>
  <si>
    <t>970</t>
  </si>
  <si>
    <t>97.0 Activities of households as employers of domestic personnel</t>
  </si>
  <si>
    <t>http://data.europa.eu/ux2/nace2/970</t>
  </si>
  <si>
    <t>981</t>
  </si>
  <si>
    <t>98.1 Undifferentiated goods-producing activities of private households for own use</t>
  </si>
  <si>
    <t>http://data.europa.eu/ux2/nace2/981</t>
  </si>
  <si>
    <t>982</t>
  </si>
  <si>
    <t>98.2 Undifferentiated service-producing activities of private households for own use</t>
  </si>
  <si>
    <t>http://data.europa.eu/ux2/nace2/982</t>
  </si>
  <si>
    <t>990</t>
  </si>
  <si>
    <t>99.0 Activities of extraterritorial organisations and bodies</t>
  </si>
  <si>
    <t>http://data.europa.eu/ux2/nace2/990</t>
  </si>
  <si>
    <t>0111</t>
  </si>
  <si>
    <t>01.11 Growing of cereals (except rice), leguminous crops and oil seeds</t>
  </si>
  <si>
    <t>http://data.europa.eu/ux2/nace2/0111</t>
  </si>
  <si>
    <t>0112</t>
  </si>
  <si>
    <t>01.12 Growing of rice</t>
  </si>
  <si>
    <t>http://data.europa.eu/ux2/nace2/0112</t>
  </si>
  <si>
    <t>0113</t>
  </si>
  <si>
    <t>01.13 Growing of vegetables and melons, roots and tubers</t>
  </si>
  <si>
    <t>http://data.europa.eu/ux2/nace2/0113</t>
  </si>
  <si>
    <t>0114</t>
  </si>
  <si>
    <t>01.14 Growing of sugar cane</t>
  </si>
  <si>
    <t>http://data.europa.eu/ux2/nace2/0114</t>
  </si>
  <si>
    <t>0115</t>
  </si>
  <si>
    <t>01.15 Growing of tobacco</t>
  </si>
  <si>
    <t>http://data.europa.eu/ux2/nace2/0115</t>
  </si>
  <si>
    <t>0116</t>
  </si>
  <si>
    <t>01.16 Growing of fibre crops</t>
  </si>
  <si>
    <t>http://data.europa.eu/ux2/nace2/0116</t>
  </si>
  <si>
    <t>0119</t>
  </si>
  <si>
    <t>01.19 Growing of other non-perennial crops</t>
  </si>
  <si>
    <t>http://data.europa.eu/ux2/nace2/0119</t>
  </si>
  <si>
    <t>0121</t>
  </si>
  <si>
    <t>01.21 Growing of grapes</t>
  </si>
  <si>
    <t>http://data.europa.eu/ux2/nace2/0121</t>
  </si>
  <si>
    <t>0122</t>
  </si>
  <si>
    <t>01.22 Growing of tropical and subtropical fruits</t>
  </si>
  <si>
    <t>http://data.europa.eu/ux2/nace2/0122</t>
  </si>
  <si>
    <t>0123</t>
  </si>
  <si>
    <t>01.23 Growing of citrus fruits</t>
  </si>
  <si>
    <t>http://data.europa.eu/ux2/nace2/0123</t>
  </si>
  <si>
    <t>0124</t>
  </si>
  <si>
    <t>01.24 Growing of pome fruits and stone fruits</t>
  </si>
  <si>
    <t>http://data.europa.eu/ux2/nace2/0124</t>
  </si>
  <si>
    <t>0125</t>
  </si>
  <si>
    <t>01.25 Growing of other tree and bush fruits and nuts</t>
  </si>
  <si>
    <t>http://data.europa.eu/ux2/nace2/0125</t>
  </si>
  <si>
    <t>0126</t>
  </si>
  <si>
    <t>01.26 Growing of oleaginous fruits</t>
  </si>
  <si>
    <t>http://data.europa.eu/ux2/nace2/0126</t>
  </si>
  <si>
    <t>0127</t>
  </si>
  <si>
    <t>01.27 Growing of beverage crops</t>
  </si>
  <si>
    <t>http://data.europa.eu/ux2/nace2/0127</t>
  </si>
  <si>
    <t>0128</t>
  </si>
  <si>
    <t>01.28 Growing of spices, aromatic, drug and pharmaceutical crops</t>
  </si>
  <si>
    <t>http://data.europa.eu/ux2/nace2/0128</t>
  </si>
  <si>
    <t>0129</t>
  </si>
  <si>
    <t>01.29 Growing of other perennial crops</t>
  </si>
  <si>
    <t>http://data.europa.eu/ux2/nace2/0129</t>
  </si>
  <si>
    <t>0130</t>
  </si>
  <si>
    <t>01.30 Plant propagation</t>
  </si>
  <si>
    <t>http://data.europa.eu/ux2/nace2/0130</t>
  </si>
  <si>
    <t>0141</t>
  </si>
  <si>
    <t>01.41 Raising of dairy cattle</t>
  </si>
  <si>
    <t>http://data.europa.eu/ux2/nace2/0141</t>
  </si>
  <si>
    <t>0142</t>
  </si>
  <si>
    <t>01.42 Raising of other cattle and buffaloes</t>
  </si>
  <si>
    <t>http://data.europa.eu/ux2/nace2/0142</t>
  </si>
  <si>
    <t>0143</t>
  </si>
  <si>
    <t>01.43 Raising of horses and other equines</t>
  </si>
  <si>
    <t>http://data.europa.eu/ux2/nace2/0143</t>
  </si>
  <si>
    <t>0144</t>
  </si>
  <si>
    <t>01.44 Raising of camels and camelids</t>
  </si>
  <si>
    <t>http://data.europa.eu/ux2/nace2/0144</t>
  </si>
  <si>
    <t>0145</t>
  </si>
  <si>
    <t>01.45 Raising of sheep and goats</t>
  </si>
  <si>
    <t>http://data.europa.eu/ux2/nace2/0145</t>
  </si>
  <si>
    <t>0146</t>
  </si>
  <si>
    <t>01.46 Raising of swine/pigs</t>
  </si>
  <si>
    <t>http://data.europa.eu/ux2/nace2/0146</t>
  </si>
  <si>
    <t>0147</t>
  </si>
  <si>
    <t>01.47 Raising of poultry</t>
  </si>
  <si>
    <t>http://data.europa.eu/ux2/nace2/0147</t>
  </si>
  <si>
    <t>0149</t>
  </si>
  <si>
    <t>01.49 Raising of other animals</t>
  </si>
  <si>
    <t>http://data.europa.eu/ux2/nace2/0149</t>
  </si>
  <si>
    <t>0150</t>
  </si>
  <si>
    <t>01.50 Mixed farming</t>
  </si>
  <si>
    <t>http://data.europa.eu/ux2/nace2/0150</t>
  </si>
  <si>
    <t>0161</t>
  </si>
  <si>
    <t>01.61 Support activities for crop production</t>
  </si>
  <si>
    <t>http://data.europa.eu/ux2/nace2/0161</t>
  </si>
  <si>
    <t>0162</t>
  </si>
  <si>
    <t>01.62 Support activities for animal production</t>
  </si>
  <si>
    <t>http://data.europa.eu/ux2/nace2/0162</t>
  </si>
  <si>
    <t>0163</t>
  </si>
  <si>
    <t>01.63 Post-harvest crop activities</t>
  </si>
  <si>
    <t>http://data.europa.eu/ux2/nace2/0163</t>
  </si>
  <si>
    <t>0164</t>
  </si>
  <si>
    <t>01.64 Seed processing for propagation</t>
  </si>
  <si>
    <t>http://data.europa.eu/ux2/nace2/0164</t>
  </si>
  <si>
    <t>0170</t>
  </si>
  <si>
    <t>01.70 Hunting, trapping and related service activities</t>
  </si>
  <si>
    <t>http://data.europa.eu/ux2/nace2/0170</t>
  </si>
  <si>
    <t>0210</t>
  </si>
  <si>
    <t>02.10 Silviculture and other forestry activities</t>
  </si>
  <si>
    <t>http://data.europa.eu/ux2/nace2/0210</t>
  </si>
  <si>
    <t>0220</t>
  </si>
  <si>
    <t>02.20 Logging</t>
  </si>
  <si>
    <t>http://data.europa.eu/ux2/nace2/0220</t>
  </si>
  <si>
    <t>0230</t>
  </si>
  <si>
    <t>02.30 Gathering of wild growing non-wood products</t>
  </si>
  <si>
    <t>http://data.europa.eu/ux2/nace2/0230</t>
  </si>
  <si>
    <t>0240</t>
  </si>
  <si>
    <t>02.40 Support services to forestry</t>
  </si>
  <si>
    <t>http://data.europa.eu/ux2/nace2/0240</t>
  </si>
  <si>
    <t>0311</t>
  </si>
  <si>
    <t>03.11 Marine fishing</t>
  </si>
  <si>
    <t>http://data.europa.eu/ux2/nace2/0311</t>
  </si>
  <si>
    <t>0312</t>
  </si>
  <si>
    <t>03.12 Freshwater fishing</t>
  </si>
  <si>
    <t>http://data.europa.eu/ux2/nace2/0312</t>
  </si>
  <si>
    <t>0321</t>
  </si>
  <si>
    <t>03.21 Marine aquaculture</t>
  </si>
  <si>
    <t>http://data.europa.eu/ux2/nace2/0321</t>
  </si>
  <si>
    <t>0322</t>
  </si>
  <si>
    <t>03.22 Freshwater aquaculture</t>
  </si>
  <si>
    <t>http://data.europa.eu/ux2/nace2/0322</t>
  </si>
  <si>
    <t>0510</t>
  </si>
  <si>
    <t>05.10 Mining of hard coal</t>
  </si>
  <si>
    <t>http://data.europa.eu/ux2/nace2/0510</t>
  </si>
  <si>
    <t>0520</t>
  </si>
  <si>
    <t>05.20 Mining of lignite</t>
  </si>
  <si>
    <t>http://data.europa.eu/ux2/nace2/0520</t>
  </si>
  <si>
    <t>0610</t>
  </si>
  <si>
    <t>06.10 Extraction of crude petroleum</t>
  </si>
  <si>
    <t>http://data.europa.eu/ux2/nace2/0610</t>
  </si>
  <si>
    <t>0620</t>
  </si>
  <si>
    <t>06.20 Extraction of natural gas</t>
  </si>
  <si>
    <t>http://data.europa.eu/ux2/nace2/0620</t>
  </si>
  <si>
    <t>0710</t>
  </si>
  <si>
    <t>07.10 Mining of iron ores</t>
  </si>
  <si>
    <t>http://data.europa.eu/ux2/nace2/0710</t>
  </si>
  <si>
    <t>0721</t>
  </si>
  <si>
    <t>07.21 Mining of uranium and thorium ores</t>
  </si>
  <si>
    <t>http://data.europa.eu/ux2/nace2/0721</t>
  </si>
  <si>
    <t>0729</t>
  </si>
  <si>
    <t>07.29 Mining of other non-ferrous metal ores</t>
  </si>
  <si>
    <t>http://data.europa.eu/ux2/nace2/0729</t>
  </si>
  <si>
    <t>0811</t>
  </si>
  <si>
    <t>08.11 Quarrying of ornamental and building stone, limestone, gypsum, chalk and slate</t>
  </si>
  <si>
    <t>http://data.europa.eu/ux2/nace2/0811</t>
  </si>
  <si>
    <t>0812</t>
  </si>
  <si>
    <t>08.12 Operation of gravel and sand pits; mining of clays and kaolin</t>
  </si>
  <si>
    <t>http://data.europa.eu/ux2/nace2/0812</t>
  </si>
  <si>
    <t>0891</t>
  </si>
  <si>
    <t>08.91 Mining of chemical and fertiliser minerals</t>
  </si>
  <si>
    <t>http://data.europa.eu/ux2/nace2/0891</t>
  </si>
  <si>
    <t>0892</t>
  </si>
  <si>
    <t>08.92 Extraction of peat</t>
  </si>
  <si>
    <t>http://data.europa.eu/ux2/nace2/0892</t>
  </si>
  <si>
    <t>0893</t>
  </si>
  <si>
    <t>08.93 Extraction of salt</t>
  </si>
  <si>
    <t>http://data.europa.eu/ux2/nace2/0893</t>
  </si>
  <si>
    <t>0899</t>
  </si>
  <si>
    <t>08.99 Other mining and quarrying n.e.c.</t>
  </si>
  <si>
    <t>http://data.europa.eu/ux2/nace2/0899</t>
  </si>
  <si>
    <t>0910</t>
  </si>
  <si>
    <t>09.10 Support activities for petroleum and natural gas extraction</t>
  </si>
  <si>
    <t>http://data.europa.eu/ux2/nace2/0910</t>
  </si>
  <si>
    <t>0990</t>
  </si>
  <si>
    <t>09.90 Support activities for other mining and quarrying</t>
  </si>
  <si>
    <t>http://data.europa.eu/ux2/nace2/0990</t>
  </si>
  <si>
    <t>1011</t>
  </si>
  <si>
    <t>10.11 Processing and preserving of meat</t>
  </si>
  <si>
    <t>http://data.europa.eu/ux2/nace2/1011</t>
  </si>
  <si>
    <t>1012</t>
  </si>
  <si>
    <t>10.12 Processing and preserving of poultry meat</t>
  </si>
  <si>
    <t>http://data.europa.eu/ux2/nace2/1012</t>
  </si>
  <si>
    <t>1013</t>
  </si>
  <si>
    <t>10.13 Production of meat and poultry meat products</t>
  </si>
  <si>
    <t>http://data.europa.eu/ux2/nace2/1013</t>
  </si>
  <si>
    <t>1020</t>
  </si>
  <si>
    <t>10.20 Processing and preserving of fish, crustaceans and molluscs</t>
  </si>
  <si>
    <t>http://data.europa.eu/ux2/nace2/1020</t>
  </si>
  <si>
    <t>1031</t>
  </si>
  <si>
    <t>10.31 Processing and preserving of potatoes</t>
  </si>
  <si>
    <t>http://data.europa.eu/ux2/nace2/1031</t>
  </si>
  <si>
    <t>1032</t>
  </si>
  <si>
    <t>10.32 Manufacture of fruit and vegetable juice</t>
  </si>
  <si>
    <t>http://data.europa.eu/ux2/nace2/1032</t>
  </si>
  <si>
    <t>1039</t>
  </si>
  <si>
    <t>10.39 Other processing and preserving of fruit and vegetables</t>
  </si>
  <si>
    <t>http://data.europa.eu/ux2/nace2/1039</t>
  </si>
  <si>
    <t>1041</t>
  </si>
  <si>
    <t>10.41 Manufacture of oils and fats</t>
  </si>
  <si>
    <t>http://data.europa.eu/ux2/nace2/1041</t>
  </si>
  <si>
    <t>1042</t>
  </si>
  <si>
    <t>10.42 Manufacture of margarine and similar edible fats</t>
  </si>
  <si>
    <t>http://data.europa.eu/ux2/nace2/1042</t>
  </si>
  <si>
    <t>1051</t>
  </si>
  <si>
    <t>10.51 Operation of dairies and cheese making</t>
  </si>
  <si>
    <t>http://data.europa.eu/ux2/nace2/1051</t>
  </si>
  <si>
    <t>1052</t>
  </si>
  <si>
    <t>10.52 Manufacture of ice cream</t>
  </si>
  <si>
    <t>http://data.europa.eu/ux2/nace2/1052</t>
  </si>
  <si>
    <t>1061</t>
  </si>
  <si>
    <t>10.61 Manufacture of grain mill products</t>
  </si>
  <si>
    <t>http://data.europa.eu/ux2/nace2/1061</t>
  </si>
  <si>
    <t>1062</t>
  </si>
  <si>
    <t>10.62 Manufacture of starches and starch products</t>
  </si>
  <si>
    <t>http://data.europa.eu/ux2/nace2/1062</t>
  </si>
  <si>
    <t>1071</t>
  </si>
  <si>
    <t>10.71 Manufacture of bread; manufacture of fresh pastry goods and cakes</t>
  </si>
  <si>
    <t>http://data.europa.eu/ux2/nace2/1071</t>
  </si>
  <si>
    <t>1072</t>
  </si>
  <si>
    <t>10.72 Manufacture of rusks and biscuits; manufacture of preserved pastry goods and cakes</t>
  </si>
  <si>
    <t>http://data.europa.eu/ux2/nace2/1072</t>
  </si>
  <si>
    <t>1073</t>
  </si>
  <si>
    <t>10.73 Manufacture of macaroni, noodles, couscous and similar farinaceous products</t>
  </si>
  <si>
    <t>http://data.europa.eu/ux2/nace2/1073</t>
  </si>
  <si>
    <t>1081</t>
  </si>
  <si>
    <t>10.81 Manufacture of sugar</t>
  </si>
  <si>
    <t>http://data.europa.eu/ux2/nace2/1081</t>
  </si>
  <si>
    <t>1082</t>
  </si>
  <si>
    <t>10.82 Manufacture of cocoa, chocolate and sugar confectionery</t>
  </si>
  <si>
    <t>http://data.europa.eu/ux2/nace2/1082</t>
  </si>
  <si>
    <t>1083</t>
  </si>
  <si>
    <t>10.83 Processing of tea and coffee</t>
  </si>
  <si>
    <t>http://data.europa.eu/ux2/nace2/1083</t>
  </si>
  <si>
    <t>1084</t>
  </si>
  <si>
    <t>10.84 Manufacture of condiments and seasonings</t>
  </si>
  <si>
    <t>http://data.europa.eu/ux2/nace2/1084</t>
  </si>
  <si>
    <t>1085</t>
  </si>
  <si>
    <t>10.85 Manufacture of prepared meals and dishes</t>
  </si>
  <si>
    <t>http://data.europa.eu/ux2/nace2/1085</t>
  </si>
  <si>
    <t>1086</t>
  </si>
  <si>
    <t>10.86 Manufacture of homogenised food preparations and dietetic food</t>
  </si>
  <si>
    <t>http://data.europa.eu/ux2/nace2/1086</t>
  </si>
  <si>
    <t>1089</t>
  </si>
  <si>
    <t>10.89 Manufacture of other food products n.e.c.</t>
  </si>
  <si>
    <t>http://data.europa.eu/ux2/nace2/1089</t>
  </si>
  <si>
    <t>1091</t>
  </si>
  <si>
    <t>10.91 Manufacture of prepared feeds for farm animals</t>
  </si>
  <si>
    <t>http://data.europa.eu/ux2/nace2/1091</t>
  </si>
  <si>
    <t>1092</t>
  </si>
  <si>
    <t>10.92 Manufacture of prepared pet foods</t>
  </si>
  <si>
    <t>http://data.europa.eu/ux2/nace2/1092</t>
  </si>
  <si>
    <t>1101</t>
  </si>
  <si>
    <t>11.01 Distilling, rectifying and blending of spirits</t>
  </si>
  <si>
    <t>http://data.europa.eu/ux2/nace2/1101</t>
  </si>
  <si>
    <t>1102</t>
  </si>
  <si>
    <t>11.02 Manufacture of wine from grape</t>
  </si>
  <si>
    <t>http://data.europa.eu/ux2/nace2/1102</t>
  </si>
  <si>
    <t>1103</t>
  </si>
  <si>
    <t>11.03 Manufacture of cider and other fruit wines</t>
  </si>
  <si>
    <t>http://data.europa.eu/ux2/nace2/1103</t>
  </si>
  <si>
    <t>1104</t>
  </si>
  <si>
    <t>11.04 Manufacture of other non-distilled fermented beverages</t>
  </si>
  <si>
    <t>http://data.europa.eu/ux2/nace2/1104</t>
  </si>
  <si>
    <t>1105</t>
  </si>
  <si>
    <t>11.05 Manufacture of beer</t>
  </si>
  <si>
    <t>http://data.europa.eu/ux2/nace2/1105</t>
  </si>
  <si>
    <t>1106</t>
  </si>
  <si>
    <t>11.06 Manufacture of malt</t>
  </si>
  <si>
    <t>http://data.europa.eu/ux2/nace2/1106</t>
  </si>
  <si>
    <t>1107</t>
  </si>
  <si>
    <t>11.07 Manufacture of soft drinks; production of mineral waters and other bottled waters</t>
  </si>
  <si>
    <t>http://data.europa.eu/ux2/nace2/1107</t>
  </si>
  <si>
    <t>1200</t>
  </si>
  <si>
    <t>12.00 Manufacture of tobacco products</t>
  </si>
  <si>
    <t>http://data.europa.eu/ux2/nace2/1200</t>
  </si>
  <si>
    <t>1310</t>
  </si>
  <si>
    <t>13.10 Preparation and spinning of textile fibres</t>
  </si>
  <si>
    <t>http://data.europa.eu/ux2/nace2/1310</t>
  </si>
  <si>
    <t>1320</t>
  </si>
  <si>
    <t>13.20 Weaving of textiles</t>
  </si>
  <si>
    <t>http://data.europa.eu/ux2/nace2/1320</t>
  </si>
  <si>
    <t>1330</t>
  </si>
  <si>
    <t>13.30 Finishing of textiles</t>
  </si>
  <si>
    <t>http://data.europa.eu/ux2/nace2/1330</t>
  </si>
  <si>
    <t>1391</t>
  </si>
  <si>
    <t>13.91 Manufacture of knitted and crocheted fabrics</t>
  </si>
  <si>
    <t>http://data.europa.eu/ux2/nace2/1391</t>
  </si>
  <si>
    <t>1392</t>
  </si>
  <si>
    <t>13.92 Manufacture of made-up textile articles, except apparel</t>
  </si>
  <si>
    <t>http://data.europa.eu/ux2/nace2/1392</t>
  </si>
  <si>
    <t>1393</t>
  </si>
  <si>
    <t>13.93 Manufacture of carpets and rugs</t>
  </si>
  <si>
    <t>http://data.europa.eu/ux2/nace2/1393</t>
  </si>
  <si>
    <t>1394</t>
  </si>
  <si>
    <t>13.94 Manufacture of cordage, rope, twine and netting</t>
  </si>
  <si>
    <t>http://data.europa.eu/ux2/nace2/1394</t>
  </si>
  <si>
    <t>1395</t>
  </si>
  <si>
    <t>13.95 Manufacture of non-wovens and articles made from non-wovens, except apparel</t>
  </si>
  <si>
    <t>http://data.europa.eu/ux2/nace2/1395</t>
  </si>
  <si>
    <t>1396</t>
  </si>
  <si>
    <t>13.96 Manufacture of other technical and industrial textiles</t>
  </si>
  <si>
    <t>http://data.europa.eu/ux2/nace2/1396</t>
  </si>
  <si>
    <t>1399</t>
  </si>
  <si>
    <t>13.99 Manufacture of other textiles n.e.c.</t>
  </si>
  <si>
    <t>http://data.europa.eu/ux2/nace2/1399</t>
  </si>
  <si>
    <t>1411</t>
  </si>
  <si>
    <t>14.11 Manufacture of leather clothes</t>
  </si>
  <si>
    <t>http://data.europa.eu/ux2/nace2/1411</t>
  </si>
  <si>
    <t>1412</t>
  </si>
  <si>
    <t>14.12 Manufacture of workwear</t>
  </si>
  <si>
    <t>http://data.europa.eu/ux2/nace2/1412</t>
  </si>
  <si>
    <t>1413</t>
  </si>
  <si>
    <t>14.13 Manufacture of other outerwear</t>
  </si>
  <si>
    <t>http://data.europa.eu/ux2/nace2/1413</t>
  </si>
  <si>
    <t>1414</t>
  </si>
  <si>
    <t>14.14 Manufacture of underwear</t>
  </si>
  <si>
    <t>http://data.europa.eu/ux2/nace2/1414</t>
  </si>
  <si>
    <t>1419</t>
  </si>
  <si>
    <t>14.19 Manufacture of other wearing apparel and accessories</t>
  </si>
  <si>
    <t>http://data.europa.eu/ux2/nace2/1419</t>
  </si>
  <si>
    <t>1420</t>
  </si>
  <si>
    <t>14.20 Manufacture of articles of fur</t>
  </si>
  <si>
    <t>http://data.europa.eu/ux2/nace2/1420</t>
  </si>
  <si>
    <t>1431</t>
  </si>
  <si>
    <t>14.31 Manufacture of knitted and crocheted hosiery</t>
  </si>
  <si>
    <t>http://data.europa.eu/ux2/nace2/1431</t>
  </si>
  <si>
    <t>1439</t>
  </si>
  <si>
    <t>14.39 Manufacture of other knitted and crocheted apparel</t>
  </si>
  <si>
    <t>http://data.europa.eu/ux2/nace2/1439</t>
  </si>
  <si>
    <t>1511</t>
  </si>
  <si>
    <t>15.11 Tanning and dressing of leather; dressing and dyeing of fur</t>
  </si>
  <si>
    <t>http://data.europa.eu/ux2/nace2/1511</t>
  </si>
  <si>
    <t>1512</t>
  </si>
  <si>
    <t>15.12 Manufacture of luggage, handbags and the like, saddlery and harness</t>
  </si>
  <si>
    <t>http://data.europa.eu/ux2/nace2/1512</t>
  </si>
  <si>
    <t>1520</t>
  </si>
  <si>
    <t>15.20 Manufacture of footwear</t>
  </si>
  <si>
    <t>http://data.europa.eu/ux2/nace2/1520</t>
  </si>
  <si>
    <t>1610</t>
  </si>
  <si>
    <t>16.10 Sawmilling and planing of wood</t>
  </si>
  <si>
    <t>http://data.europa.eu/ux2/nace2/1610</t>
  </si>
  <si>
    <t>1621</t>
  </si>
  <si>
    <t>16.21 Manufacture of veneer sheets and wood-based panels</t>
  </si>
  <si>
    <t>http://data.europa.eu/ux2/nace2/1621</t>
  </si>
  <si>
    <t>1622</t>
  </si>
  <si>
    <t>16.22 Manufacture of assembled parquet floors</t>
  </si>
  <si>
    <t>http://data.europa.eu/ux2/nace2/1622</t>
  </si>
  <si>
    <t>1623</t>
  </si>
  <si>
    <t>16.23 Manufacture of other builders' carpentry and joinery</t>
  </si>
  <si>
    <t>http://data.europa.eu/ux2/nace2/1623</t>
  </si>
  <si>
    <t>1624</t>
  </si>
  <si>
    <t>16.24 Manufacture of wooden containers</t>
  </si>
  <si>
    <t>http://data.europa.eu/ux2/nace2/1624</t>
  </si>
  <si>
    <t>1629</t>
  </si>
  <si>
    <t>16.29 Manufacture of other products of wood; manufacture of articles of cork, straw and plaiting materials</t>
  </si>
  <si>
    <t>http://data.europa.eu/ux2/nace2/1629</t>
  </si>
  <si>
    <t>1711</t>
  </si>
  <si>
    <t>17.11 Manufacture of pulp</t>
  </si>
  <si>
    <t>http://data.europa.eu/ux2/nace2/1711</t>
  </si>
  <si>
    <t>1712</t>
  </si>
  <si>
    <t>17.12 Manufacture of paper and paperboard</t>
  </si>
  <si>
    <t>http://data.europa.eu/ux2/nace2/1712</t>
  </si>
  <si>
    <t>1721</t>
  </si>
  <si>
    <t>17.21 Manufacture of corrugated paper and paperboard and of containers of paper and paperboard</t>
  </si>
  <si>
    <t>http://data.europa.eu/ux2/nace2/1721</t>
  </si>
  <si>
    <t>1722</t>
  </si>
  <si>
    <t>17.22 Manufacture of household and sanitary goods and of toilet requisites</t>
  </si>
  <si>
    <t>http://data.europa.eu/ux2/nace2/1722</t>
  </si>
  <si>
    <t>1723</t>
  </si>
  <si>
    <t>17.23 Manufacture of paper stationery</t>
  </si>
  <si>
    <t>http://data.europa.eu/ux2/nace2/1723</t>
  </si>
  <si>
    <t>1724</t>
  </si>
  <si>
    <t>17.24 Manufacture of wallpaper</t>
  </si>
  <si>
    <t>http://data.europa.eu/ux2/nace2/1724</t>
  </si>
  <si>
    <t>1729</t>
  </si>
  <si>
    <t>17.29 Manufacture of other articles of paper and paperboard</t>
  </si>
  <si>
    <t>http://data.europa.eu/ux2/nace2/1729</t>
  </si>
  <si>
    <t>1811</t>
  </si>
  <si>
    <t>18.11 Printing of newspapers</t>
  </si>
  <si>
    <t>http://data.europa.eu/ux2/nace2/1811</t>
  </si>
  <si>
    <t>1812</t>
  </si>
  <si>
    <t>18.12 Other printing</t>
  </si>
  <si>
    <t>http://data.europa.eu/ux2/nace2/1812</t>
  </si>
  <si>
    <t>1813</t>
  </si>
  <si>
    <t>18.13 Pre-press and pre-media services</t>
  </si>
  <si>
    <t>http://data.europa.eu/ux2/nace2/1813</t>
  </si>
  <si>
    <t>1814</t>
  </si>
  <si>
    <t>18.14 Binding and related services</t>
  </si>
  <si>
    <t>http://data.europa.eu/ux2/nace2/1814</t>
  </si>
  <si>
    <t>1820</t>
  </si>
  <si>
    <t>18.20 Reproduction of recorded media</t>
  </si>
  <si>
    <t>http://data.europa.eu/ux2/nace2/1820</t>
  </si>
  <si>
    <t>1910</t>
  </si>
  <si>
    <t>19.10 Manufacture of coke oven products</t>
  </si>
  <si>
    <t>http://data.europa.eu/ux2/nace2/1910</t>
  </si>
  <si>
    <t>1920</t>
  </si>
  <si>
    <t>19.20 Manufacture of refined petroleum products</t>
  </si>
  <si>
    <t>http://data.europa.eu/ux2/nace2/1920</t>
  </si>
  <si>
    <t>2011</t>
  </si>
  <si>
    <t>20.11 Manufacture of industrial gases</t>
  </si>
  <si>
    <t>http://data.europa.eu/ux2/nace2/2011</t>
  </si>
  <si>
    <t>2012</t>
  </si>
  <si>
    <t>20.12 Manufacture of dyes and pigments</t>
  </si>
  <si>
    <t>http://data.europa.eu/ux2/nace2/2012</t>
  </si>
  <si>
    <t>2013</t>
  </si>
  <si>
    <t>20.13 Manufacture of other inorganic basic chemicals</t>
  </si>
  <si>
    <t>http://data.europa.eu/ux2/nace2/2013</t>
  </si>
  <si>
    <t>2014</t>
  </si>
  <si>
    <t>20.14 Manufacture of other organic basic chemicals</t>
  </si>
  <si>
    <t>http://data.europa.eu/ux2/nace2/2014</t>
  </si>
  <si>
    <t>2015</t>
  </si>
  <si>
    <t>20.15 Manufacture of fertilisers and nitrogen compounds</t>
  </si>
  <si>
    <t>http://data.europa.eu/ux2/nace2/2015</t>
  </si>
  <si>
    <t>2016</t>
  </si>
  <si>
    <t>20.16 Manufacture of plastics in primary forms</t>
  </si>
  <si>
    <t>http://data.europa.eu/ux2/nace2/2016</t>
  </si>
  <si>
    <t>2017</t>
  </si>
  <si>
    <t>20.17 Manufacture of synthetic rubber in primary forms</t>
  </si>
  <si>
    <t>http://data.europa.eu/ux2/nace2/2017</t>
  </si>
  <si>
    <t>2020</t>
  </si>
  <si>
    <t>20.20 Manufacture of pesticides and other agrochemical products</t>
  </si>
  <si>
    <t>http://data.europa.eu/ux2/nace2/2020</t>
  </si>
  <si>
    <t>2030</t>
  </si>
  <si>
    <t>20.30 Manufacture of paints, varnishes and similar coatings, printing ink and mastics</t>
  </si>
  <si>
    <t>http://data.europa.eu/ux2/nace2/2030</t>
  </si>
  <si>
    <t>2041</t>
  </si>
  <si>
    <t>20.41 Manufacture of soap and detergents, cleaning and polishing preparations</t>
  </si>
  <si>
    <t>http://data.europa.eu/ux2/nace2/2041</t>
  </si>
  <si>
    <t>2042</t>
  </si>
  <si>
    <t>20.42 Manufacture of perfumes and toilet preparations</t>
  </si>
  <si>
    <t>http://data.europa.eu/ux2/nace2/2042</t>
  </si>
  <si>
    <t>2051</t>
  </si>
  <si>
    <t>20.51 Manufacture of explosives</t>
  </si>
  <si>
    <t>http://data.europa.eu/ux2/nace2/2051</t>
  </si>
  <si>
    <t>2052</t>
  </si>
  <si>
    <t>20.52 Manufacture of glues</t>
  </si>
  <si>
    <t>http://data.europa.eu/ux2/nace2/2052</t>
  </si>
  <si>
    <t>2053</t>
  </si>
  <si>
    <t>20.53 Manufacture of essential oils</t>
  </si>
  <si>
    <t>http://data.europa.eu/ux2/nace2/2053</t>
  </si>
  <si>
    <t>2059</t>
  </si>
  <si>
    <t>20.59 Manufacture of other chemical products n.e.c.</t>
  </si>
  <si>
    <t>http://data.europa.eu/ux2/nace2/2059</t>
  </si>
  <si>
    <t>2060</t>
  </si>
  <si>
    <t>20.60 Manufacture of man-made fibres</t>
  </si>
  <si>
    <t>http://data.europa.eu/ux2/nace2/2060</t>
  </si>
  <si>
    <t>2110</t>
  </si>
  <si>
    <t>21.10 Manufacture of basic pharmaceutical products</t>
  </si>
  <si>
    <t>http://data.europa.eu/ux2/nace2/2110</t>
  </si>
  <si>
    <t>2120</t>
  </si>
  <si>
    <t>21.20 Manufacture of pharmaceutical preparations</t>
  </si>
  <si>
    <t>http://data.europa.eu/ux2/nace2/2120</t>
  </si>
  <si>
    <t>2211</t>
  </si>
  <si>
    <t>22.11 Manufacture of rubber tyres and tubes; retreading and rebuilding of rubber tyres</t>
  </si>
  <si>
    <t>http://data.europa.eu/ux2/nace2/2211</t>
  </si>
  <si>
    <t>2219</t>
  </si>
  <si>
    <t>22.19 Manufacture of other rubber products</t>
  </si>
  <si>
    <t>http://data.europa.eu/ux2/nace2/2219</t>
  </si>
  <si>
    <t>2221</t>
  </si>
  <si>
    <t>22.21 Manufacture of plastic plates, sheets, tubes and profiles</t>
  </si>
  <si>
    <t>http://data.europa.eu/ux2/nace2/2221</t>
  </si>
  <si>
    <t>2222</t>
  </si>
  <si>
    <t>22.22 Manufacture of plastic packing goods</t>
  </si>
  <si>
    <t>http://data.europa.eu/ux2/nace2/2222</t>
  </si>
  <si>
    <t>2223</t>
  </si>
  <si>
    <t>22.23 Manufacture of builders’ ware of plastic</t>
  </si>
  <si>
    <t>http://data.europa.eu/ux2/nace2/2223</t>
  </si>
  <si>
    <t>2229</t>
  </si>
  <si>
    <t>22.29 Manufacture of other plastic products</t>
  </si>
  <si>
    <t>http://data.europa.eu/ux2/nace2/2229</t>
  </si>
  <si>
    <t>2311</t>
  </si>
  <si>
    <t>23.11 Manufacture of flat glass</t>
  </si>
  <si>
    <t>http://data.europa.eu/ux2/nace2/2311</t>
  </si>
  <si>
    <t>2312</t>
  </si>
  <si>
    <t>23.12 Shaping and processing of flat glass</t>
  </si>
  <si>
    <t>http://data.europa.eu/ux2/nace2/2312</t>
  </si>
  <si>
    <t>2313</t>
  </si>
  <si>
    <t>23.13 Manufacture of hollow glass</t>
  </si>
  <si>
    <t>http://data.europa.eu/ux2/nace2/2313</t>
  </si>
  <si>
    <t>2314</t>
  </si>
  <si>
    <t>23.14 Manufacture of glass fibres</t>
  </si>
  <si>
    <t>http://data.europa.eu/ux2/nace2/2314</t>
  </si>
  <si>
    <t>2319</t>
  </si>
  <si>
    <t>23.19 Manufacture and processing of other glass, including technical glassware</t>
  </si>
  <si>
    <t>http://data.europa.eu/ux2/nace2/2319</t>
  </si>
  <si>
    <t>2320</t>
  </si>
  <si>
    <t>23.20 Manufacture of refractory products</t>
  </si>
  <si>
    <t>http://data.europa.eu/ux2/nace2/2320</t>
  </si>
  <si>
    <t>2331</t>
  </si>
  <si>
    <t>23.31 Manufacture of ceramic tiles and flags</t>
  </si>
  <si>
    <t>http://data.europa.eu/ux2/nace2/2331</t>
  </si>
  <si>
    <t>2332</t>
  </si>
  <si>
    <t>23.32 Manufacture of bricks, tiles and construction products, in baked clay</t>
  </si>
  <si>
    <t>http://data.europa.eu/ux2/nace2/2332</t>
  </si>
  <si>
    <t>2341</t>
  </si>
  <si>
    <t>23.41 Manufacture of ceramic household and ornamental articles</t>
  </si>
  <si>
    <t>http://data.europa.eu/ux2/nace2/2341</t>
  </si>
  <si>
    <t>2342</t>
  </si>
  <si>
    <t>23.42 Manufacture of ceramic sanitary fixtures</t>
  </si>
  <si>
    <t>http://data.europa.eu/ux2/nace2/2342</t>
  </si>
  <si>
    <t>2343</t>
  </si>
  <si>
    <t>23.43 Manufacture of ceramic insulators and insulating fittings</t>
  </si>
  <si>
    <t>http://data.europa.eu/ux2/nace2/2343</t>
  </si>
  <si>
    <t>2344</t>
  </si>
  <si>
    <t>23.44 Manufacture of other technical ceramic products</t>
  </si>
  <si>
    <t>http://data.europa.eu/ux2/nace2/2344</t>
  </si>
  <si>
    <t>2349</t>
  </si>
  <si>
    <t>23.49 Manufacture of other ceramic products</t>
  </si>
  <si>
    <t>http://data.europa.eu/ux2/nace2/2349</t>
  </si>
  <si>
    <t>2351</t>
  </si>
  <si>
    <t>23.51 Manufacture of cement</t>
  </si>
  <si>
    <t>http://data.europa.eu/ux2/nace2/2351</t>
  </si>
  <si>
    <t>2352</t>
  </si>
  <si>
    <t>23.52 Manufacture of lime and plaster</t>
  </si>
  <si>
    <t>http://data.europa.eu/ux2/nace2/2352</t>
  </si>
  <si>
    <t>2361</t>
  </si>
  <si>
    <t>23.61 Manufacture of concrete products for construction purposes</t>
  </si>
  <si>
    <t>http://data.europa.eu/ux2/nace2/2361</t>
  </si>
  <si>
    <t>2362</t>
  </si>
  <si>
    <t>23.62 Manufacture of plaster products for construction purposes</t>
  </si>
  <si>
    <t>http://data.europa.eu/ux2/nace2/2362</t>
  </si>
  <si>
    <t>2363</t>
  </si>
  <si>
    <t>23.63 Manufacture of ready-mixed concrete</t>
  </si>
  <si>
    <t>http://data.europa.eu/ux2/nace2/2363</t>
  </si>
  <si>
    <t>2364</t>
  </si>
  <si>
    <t>23.64 Manufacture of mortars</t>
  </si>
  <si>
    <t>http://data.europa.eu/ux2/nace2/2364</t>
  </si>
  <si>
    <t>2365</t>
  </si>
  <si>
    <t>23.65 Manufacture of fibre cement</t>
  </si>
  <si>
    <t>http://data.europa.eu/ux2/nace2/2365</t>
  </si>
  <si>
    <t>2369</t>
  </si>
  <si>
    <t>23.69 Manufacture of other articles of concrete, plaster and cement</t>
  </si>
  <si>
    <t>http://data.europa.eu/ux2/nace2/2369</t>
  </si>
  <si>
    <t>2370</t>
  </si>
  <si>
    <t>23.70 Cutting, shaping and finishing of stone</t>
  </si>
  <si>
    <t>http://data.europa.eu/ux2/nace2/2370</t>
  </si>
  <si>
    <t>2391</t>
  </si>
  <si>
    <t>23.91 Production of abrasive products</t>
  </si>
  <si>
    <t>http://data.europa.eu/ux2/nace2/2391</t>
  </si>
  <si>
    <t>2399</t>
  </si>
  <si>
    <t>23.99 Manufacture of other non-metallic mineral products n.e.c.</t>
  </si>
  <si>
    <t>http://data.europa.eu/ux2/nace2/2399</t>
  </si>
  <si>
    <t>2410</t>
  </si>
  <si>
    <t>24.10 Manufacture of basic iron and steel and of ferro-alloys</t>
  </si>
  <si>
    <t>http://data.europa.eu/ux2/nace2/2410</t>
  </si>
  <si>
    <t>2420</t>
  </si>
  <si>
    <t>24.20 Manufacture of tubes, pipes, hollow profiles and related fittings, of steel</t>
  </si>
  <si>
    <t>http://data.europa.eu/ux2/nace2/2420</t>
  </si>
  <si>
    <t>2431</t>
  </si>
  <si>
    <t>24.31 Cold drawing of bars</t>
  </si>
  <si>
    <t>http://data.europa.eu/ux2/nace2/2431</t>
  </si>
  <si>
    <t>2432</t>
  </si>
  <si>
    <t>24.32 Cold rolling of narrow strip</t>
  </si>
  <si>
    <t>http://data.europa.eu/ux2/nace2/2432</t>
  </si>
  <si>
    <t>2433</t>
  </si>
  <si>
    <t>24.33 Cold forming or folding</t>
  </si>
  <si>
    <t>http://data.europa.eu/ux2/nace2/2433</t>
  </si>
  <si>
    <t>2434</t>
  </si>
  <si>
    <t>24.34 Cold drawing of wire</t>
  </si>
  <si>
    <t>http://data.europa.eu/ux2/nace2/2434</t>
  </si>
  <si>
    <t>2441</t>
  </si>
  <si>
    <t>24.41 Precious metals production</t>
  </si>
  <si>
    <t>http://data.europa.eu/ux2/nace2/2441</t>
  </si>
  <si>
    <t>2442</t>
  </si>
  <si>
    <t>24.42 Aluminium production</t>
  </si>
  <si>
    <t>http://data.europa.eu/ux2/nace2/2442</t>
  </si>
  <si>
    <t>2443</t>
  </si>
  <si>
    <t>24.43 Lead, zinc and tin production</t>
  </si>
  <si>
    <t>http://data.europa.eu/ux2/nace2/2443</t>
  </si>
  <si>
    <t>2444</t>
  </si>
  <si>
    <t>24.44 Copper production</t>
  </si>
  <si>
    <t>http://data.europa.eu/ux2/nace2/2444</t>
  </si>
  <si>
    <t>2445</t>
  </si>
  <si>
    <t>24.45 Other non-ferrous metal production</t>
  </si>
  <si>
    <t>http://data.europa.eu/ux2/nace2/2445</t>
  </si>
  <si>
    <t>2446</t>
  </si>
  <si>
    <t>24.46 Processing of nuclear fuel</t>
  </si>
  <si>
    <t>http://data.europa.eu/ux2/nace2/2446</t>
  </si>
  <si>
    <t>2451</t>
  </si>
  <si>
    <t>24.51 Casting of iron</t>
  </si>
  <si>
    <t>http://data.europa.eu/ux2/nace2/2451</t>
  </si>
  <si>
    <t>2452</t>
  </si>
  <si>
    <t>24.52 Casting of steel</t>
  </si>
  <si>
    <t>http://data.europa.eu/ux2/nace2/2452</t>
  </si>
  <si>
    <t>2453</t>
  </si>
  <si>
    <t>24.53 Casting of light metals</t>
  </si>
  <si>
    <t>http://data.europa.eu/ux2/nace2/2453</t>
  </si>
  <si>
    <t>2454</t>
  </si>
  <si>
    <t>24.54 Casting of other non-ferrous metals</t>
  </si>
  <si>
    <t>http://data.europa.eu/ux2/nace2/2454</t>
  </si>
  <si>
    <t>2511</t>
  </si>
  <si>
    <t>25.11 Manufacture of metal structures and parts of structures</t>
  </si>
  <si>
    <t>http://data.europa.eu/ux2/nace2/2511</t>
  </si>
  <si>
    <t>2512</t>
  </si>
  <si>
    <t>25.12 Manufacture of doors and windows of metal</t>
  </si>
  <si>
    <t>http://data.europa.eu/ux2/nace2/2512</t>
  </si>
  <si>
    <t>2521</t>
  </si>
  <si>
    <t>25.21 Manufacture of central heating radiators and boilers</t>
  </si>
  <si>
    <t>http://data.europa.eu/ux2/nace2/2521</t>
  </si>
  <si>
    <t>2529</t>
  </si>
  <si>
    <t>25.29 Manufacture of other tanks, reservoirs and containers of metal</t>
  </si>
  <si>
    <t>http://data.europa.eu/ux2/nace2/2529</t>
  </si>
  <si>
    <t>2530</t>
  </si>
  <si>
    <t>25.30 Manufacture of steam generators, except central heating hot water boilers</t>
  </si>
  <si>
    <t>http://data.europa.eu/ux2/nace2/2530</t>
  </si>
  <si>
    <t>2540</t>
  </si>
  <si>
    <t>25.40 Manufacture of weapons and ammunition</t>
  </si>
  <si>
    <t>http://data.europa.eu/ux2/nace2/2540</t>
  </si>
  <si>
    <t>2550</t>
  </si>
  <si>
    <t>25.50 Forging, pressing, stamping and roll-forming of metal; powder metallurgy</t>
  </si>
  <si>
    <t>http://data.europa.eu/ux2/nace2/2550</t>
  </si>
  <si>
    <t>2561</t>
  </si>
  <si>
    <t>25.61 Treatment and coating of metals</t>
  </si>
  <si>
    <t>http://data.europa.eu/ux2/nace2/2561</t>
  </si>
  <si>
    <t>2562</t>
  </si>
  <si>
    <t>25.62 Machining</t>
  </si>
  <si>
    <t>http://data.europa.eu/ux2/nace2/2562</t>
  </si>
  <si>
    <t>2571</t>
  </si>
  <si>
    <t>25.71 Manufacture of cutlery</t>
  </si>
  <si>
    <t>http://data.europa.eu/ux2/nace2/2571</t>
  </si>
  <si>
    <t>2572</t>
  </si>
  <si>
    <t>25.72 Manufacture of locks and hinges</t>
  </si>
  <si>
    <t>http://data.europa.eu/ux2/nace2/2572</t>
  </si>
  <si>
    <t>2573</t>
  </si>
  <si>
    <t>25.73 Manufacture of tools</t>
  </si>
  <si>
    <t>http://data.europa.eu/ux2/nace2/2573</t>
  </si>
  <si>
    <t>2591</t>
  </si>
  <si>
    <t>25.91 Manufacture of steel drums and similar containers</t>
  </si>
  <si>
    <t>http://data.europa.eu/ux2/nace2/2591</t>
  </si>
  <si>
    <t>2592</t>
  </si>
  <si>
    <t>25.92 Manufacture of light metal packaging</t>
  </si>
  <si>
    <t>http://data.europa.eu/ux2/nace2/2592</t>
  </si>
  <si>
    <t>2593</t>
  </si>
  <si>
    <t>25.93 Manufacture of wire products, chain and springs</t>
  </si>
  <si>
    <t>http://data.europa.eu/ux2/nace2/2593</t>
  </si>
  <si>
    <t>2594</t>
  </si>
  <si>
    <t>25.94 Manufacture of fasteners and screw machine products</t>
  </si>
  <si>
    <t>http://data.europa.eu/ux2/nace2/2594</t>
  </si>
  <si>
    <t>2599</t>
  </si>
  <si>
    <t>25.99 Manufacture of other fabricated metal products n.e.c.</t>
  </si>
  <si>
    <t>http://data.europa.eu/ux2/nace2/2599</t>
  </si>
  <si>
    <t>2611</t>
  </si>
  <si>
    <t>26.11 Manufacture of electronic components</t>
  </si>
  <si>
    <t>http://data.europa.eu/ux2/nace2/2611</t>
  </si>
  <si>
    <t>2612</t>
  </si>
  <si>
    <t>26.12 Manufacture of loaded electronic boards</t>
  </si>
  <si>
    <t>http://data.europa.eu/ux2/nace2/2612</t>
  </si>
  <si>
    <t>2620</t>
  </si>
  <si>
    <t>26.20 Manufacture of computers and peripheral equipment</t>
  </si>
  <si>
    <t>http://data.europa.eu/ux2/nace2/2620</t>
  </si>
  <si>
    <t>2630</t>
  </si>
  <si>
    <t>26.30 Manufacture of communication equipment</t>
  </si>
  <si>
    <t>http://data.europa.eu/ux2/nace2/2630</t>
  </si>
  <si>
    <t>2640</t>
  </si>
  <si>
    <t>26.40 Manufacture of consumer electronics</t>
  </si>
  <si>
    <t>http://data.europa.eu/ux2/nace2/2640</t>
  </si>
  <si>
    <t>2651</t>
  </si>
  <si>
    <t>26.51 Manufacture of instruments and appliances for measuring, testing and navigation</t>
  </si>
  <si>
    <t>http://data.europa.eu/ux2/nace2/2651</t>
  </si>
  <si>
    <t>2652</t>
  </si>
  <si>
    <t>26.52 Manufacture of watches and clocks</t>
  </si>
  <si>
    <t>http://data.europa.eu/ux2/nace2/2652</t>
  </si>
  <si>
    <t>2660</t>
  </si>
  <si>
    <t>26.60 Manufacture of irradiation, electromedical and electrotherapeutic equipment</t>
  </si>
  <si>
    <t>http://data.europa.eu/ux2/nace2/2660</t>
  </si>
  <si>
    <t>2670</t>
  </si>
  <si>
    <t>26.70 Manufacture of optical instruments and photographic equipment</t>
  </si>
  <si>
    <t>http://data.europa.eu/ux2/nace2/2670</t>
  </si>
  <si>
    <t>2680</t>
  </si>
  <si>
    <t>26.80 Manufacture of magnetic and optical media</t>
  </si>
  <si>
    <t>http://data.europa.eu/ux2/nace2/2680</t>
  </si>
  <si>
    <t>2711</t>
  </si>
  <si>
    <t>27.11 Manufacture of electric motors, generators and transformers</t>
  </si>
  <si>
    <t>http://data.europa.eu/ux2/nace2/2711</t>
  </si>
  <si>
    <t>2712</t>
  </si>
  <si>
    <t>27.12 Manufacture of electricity distribution and control apparatus</t>
  </si>
  <si>
    <t>http://data.europa.eu/ux2/nace2/2712</t>
  </si>
  <si>
    <t>2720</t>
  </si>
  <si>
    <t>27.20 Manufacture of batteries and accumulators</t>
  </si>
  <si>
    <t>http://data.europa.eu/ux2/nace2/2720</t>
  </si>
  <si>
    <t>2731</t>
  </si>
  <si>
    <t>27.31 Manufacture of fibre optic cables</t>
  </si>
  <si>
    <t>http://data.europa.eu/ux2/nace2/2731</t>
  </si>
  <si>
    <t>2732</t>
  </si>
  <si>
    <t>27.32 Manufacture of other electronic and electric wires and cables</t>
  </si>
  <si>
    <t>http://data.europa.eu/ux2/nace2/2732</t>
  </si>
  <si>
    <t>2733</t>
  </si>
  <si>
    <t>27.33 Manufacture of wiring devices</t>
  </si>
  <si>
    <t>http://data.europa.eu/ux2/nace2/2733</t>
  </si>
  <si>
    <t>2740</t>
  </si>
  <si>
    <t>27.40 Manufacture of electric lighting equipment</t>
  </si>
  <si>
    <t>http://data.europa.eu/ux2/nace2/2740</t>
  </si>
  <si>
    <t>2751</t>
  </si>
  <si>
    <t>27.51 Manufacture of electric domestic appliances</t>
  </si>
  <si>
    <t>http://data.europa.eu/ux2/nace2/2751</t>
  </si>
  <si>
    <t>2752</t>
  </si>
  <si>
    <t>27.52 Manufacture of non-electric domestic appliances</t>
  </si>
  <si>
    <t>http://data.europa.eu/ux2/nace2/2752</t>
  </si>
  <si>
    <t>2790</t>
  </si>
  <si>
    <t>27.90 Manufacture of other electrical equipment</t>
  </si>
  <si>
    <t>http://data.europa.eu/ux2/nace2/2790</t>
  </si>
  <si>
    <t>2811</t>
  </si>
  <si>
    <t>28.11 Manufacture of engines and turbines, except aircraft, vehicle and cycle engines</t>
  </si>
  <si>
    <t>http://data.europa.eu/ux2/nace2/2811</t>
  </si>
  <si>
    <t>2812</t>
  </si>
  <si>
    <t>28.12 Manufacture of fluid power equipment</t>
  </si>
  <si>
    <t>http://data.europa.eu/ux2/nace2/2812</t>
  </si>
  <si>
    <t>2813</t>
  </si>
  <si>
    <t>28.13 Manufacture of other pumps and compressors</t>
  </si>
  <si>
    <t>http://data.europa.eu/ux2/nace2/2813</t>
  </si>
  <si>
    <t>2814</t>
  </si>
  <si>
    <t>28.14 Manufacture of other taps and valves</t>
  </si>
  <si>
    <t>http://data.europa.eu/ux2/nace2/2814</t>
  </si>
  <si>
    <t>2815</t>
  </si>
  <si>
    <t>28.15 Manufacture of bearings, gears, gearing and driving elements</t>
  </si>
  <si>
    <t>http://data.europa.eu/ux2/nace2/2815</t>
  </si>
  <si>
    <t>2821</t>
  </si>
  <si>
    <t>28.21 Manufacture of ovens, furnaces and furnace burners</t>
  </si>
  <si>
    <t>http://data.europa.eu/ux2/nace2/2821</t>
  </si>
  <si>
    <t>2822</t>
  </si>
  <si>
    <t>28.22 Manufacture of lifting and handling equipment</t>
  </si>
  <si>
    <t>http://data.europa.eu/ux2/nace2/2822</t>
  </si>
  <si>
    <t>2823</t>
  </si>
  <si>
    <t>28.23 Manufacture of office machinery and equipment (except computers and peripheral equipment)</t>
  </si>
  <si>
    <t>http://data.europa.eu/ux2/nace2/2823</t>
  </si>
  <si>
    <t>2824</t>
  </si>
  <si>
    <t>28.24 Manufacture of power-driven hand tools</t>
  </si>
  <si>
    <t>http://data.europa.eu/ux2/nace2/2824</t>
  </si>
  <si>
    <t>2825</t>
  </si>
  <si>
    <t>28.25 Manufacture of non-domestic cooling and ventilation equipment</t>
  </si>
  <si>
    <t>http://data.europa.eu/ux2/nace2/2825</t>
  </si>
  <si>
    <t>2829</t>
  </si>
  <si>
    <t>28.29 Manufacture of other general-purpose machinery n.e.c.</t>
  </si>
  <si>
    <t>http://data.europa.eu/ux2/nace2/2829</t>
  </si>
  <si>
    <t>2830</t>
  </si>
  <si>
    <t>28.30 Manufacture of agricultural and forestry machinery</t>
  </si>
  <si>
    <t>http://data.europa.eu/ux2/nace2/2830</t>
  </si>
  <si>
    <t>2841</t>
  </si>
  <si>
    <t>28.41 Manufacture of metal forming machinery</t>
  </si>
  <si>
    <t>http://data.europa.eu/ux2/nace2/2841</t>
  </si>
  <si>
    <t>2849</t>
  </si>
  <si>
    <t>28.49 Manufacture of other machine tools</t>
  </si>
  <si>
    <t>http://data.europa.eu/ux2/nace2/2849</t>
  </si>
  <si>
    <t>2891</t>
  </si>
  <si>
    <t>28.91 Manufacture of machinery for metallurgy</t>
  </si>
  <si>
    <t>http://data.europa.eu/ux2/nace2/2891</t>
  </si>
  <si>
    <t>2892</t>
  </si>
  <si>
    <t>28.92 Manufacture of machinery for mining, quarrying and construction</t>
  </si>
  <si>
    <t>http://data.europa.eu/ux2/nace2/2892</t>
  </si>
  <si>
    <t>2893</t>
  </si>
  <si>
    <t>28.93 Manufacture of machinery for food, beverage and tobacco processing</t>
  </si>
  <si>
    <t>http://data.europa.eu/ux2/nace2/2893</t>
  </si>
  <si>
    <t>2894</t>
  </si>
  <si>
    <t>28.94 Manufacture of machinery for textile, apparel and leather production</t>
  </si>
  <si>
    <t>http://data.europa.eu/ux2/nace2/2894</t>
  </si>
  <si>
    <t>2895</t>
  </si>
  <si>
    <t>28.95 Manufacture of machinery for paper and paperboard production</t>
  </si>
  <si>
    <t>http://data.europa.eu/ux2/nace2/2895</t>
  </si>
  <si>
    <t>2896</t>
  </si>
  <si>
    <t>28.96 Manufacture of plastics and rubber machinery</t>
  </si>
  <si>
    <t>http://data.europa.eu/ux2/nace2/2896</t>
  </si>
  <si>
    <t>2899</t>
  </si>
  <si>
    <t>28.99 Manufacture of other special-purpose machinery n.e.c.</t>
  </si>
  <si>
    <t>http://data.europa.eu/ux2/nace2/2899</t>
  </si>
  <si>
    <t>2910</t>
  </si>
  <si>
    <t>29.10 Manufacture of motor vehicles</t>
  </si>
  <si>
    <t>http://data.europa.eu/ux2/nace2/2910</t>
  </si>
  <si>
    <t>2920</t>
  </si>
  <si>
    <t>29.20 Manufacture of bodies (coachwork) for motor vehicles; manufacture of trailers and semi-trailers</t>
  </si>
  <si>
    <t>http://data.europa.eu/ux2/nace2/2920</t>
  </si>
  <si>
    <t>2931</t>
  </si>
  <si>
    <t>29.31 Manufacture of electrical and electronic equipment for motor vehicles</t>
  </si>
  <si>
    <t>http://data.europa.eu/ux2/nace2/2931</t>
  </si>
  <si>
    <t>2932</t>
  </si>
  <si>
    <t>29.32 Manufacture of other parts and accessories for motor vehicles</t>
  </si>
  <si>
    <t>http://data.europa.eu/ux2/nace2/2932</t>
  </si>
  <si>
    <t>3011</t>
  </si>
  <si>
    <t>30.11 Building of ships and floating structures</t>
  </si>
  <si>
    <t>http://data.europa.eu/ux2/nace2/3011</t>
  </si>
  <si>
    <t>3012</t>
  </si>
  <si>
    <t>30.12 Building of pleasure and sporting boats</t>
  </si>
  <si>
    <t>http://data.europa.eu/ux2/nace2/3012</t>
  </si>
  <si>
    <t>3020</t>
  </si>
  <si>
    <t>30.20 Manufacture of railway locomotives and rolling stock</t>
  </si>
  <si>
    <t>http://data.europa.eu/ux2/nace2/3020</t>
  </si>
  <si>
    <t>3030</t>
  </si>
  <si>
    <t>30.30 Manufacture of air and spacecraft and related machinery</t>
  </si>
  <si>
    <t>http://data.europa.eu/ux2/nace2/3030</t>
  </si>
  <si>
    <t>3040</t>
  </si>
  <si>
    <t>30.40 Manufacture of military fighting vehicles</t>
  </si>
  <si>
    <t>http://data.europa.eu/ux2/nace2/3040</t>
  </si>
  <si>
    <t>3091</t>
  </si>
  <si>
    <t>30.91 Manufacture of motorcycles</t>
  </si>
  <si>
    <t>http://data.europa.eu/ux2/nace2/3091</t>
  </si>
  <si>
    <t>3092</t>
  </si>
  <si>
    <t>30.92 Manufacture of bicycles and invalid carriages</t>
  </si>
  <si>
    <t>http://data.europa.eu/ux2/nace2/3092</t>
  </si>
  <si>
    <t>3099</t>
  </si>
  <si>
    <t>30.99 Manufacture of other transport equipment n.e.c.</t>
  </si>
  <si>
    <t>http://data.europa.eu/ux2/nace2/3099</t>
  </si>
  <si>
    <t>3101</t>
  </si>
  <si>
    <t>31.01 Manufacture of office and shop furniture</t>
  </si>
  <si>
    <t>http://data.europa.eu/ux2/nace2/3101</t>
  </si>
  <si>
    <t>3102</t>
  </si>
  <si>
    <t>31.02 Manufacture of kitchen furniture</t>
  </si>
  <si>
    <t>http://data.europa.eu/ux2/nace2/3102</t>
  </si>
  <si>
    <t>3103</t>
  </si>
  <si>
    <t>31.03 Manufacture of mattresses</t>
  </si>
  <si>
    <t>http://data.europa.eu/ux2/nace2/3103</t>
  </si>
  <si>
    <t>3109</t>
  </si>
  <si>
    <t>31.09 Manufacture of other furniture</t>
  </si>
  <si>
    <t>http://data.europa.eu/ux2/nace2/3109</t>
  </si>
  <si>
    <t>3211</t>
  </si>
  <si>
    <t>32.11 Striking of coins</t>
  </si>
  <si>
    <t>http://data.europa.eu/ux2/nace2/3211</t>
  </si>
  <si>
    <t>3212</t>
  </si>
  <si>
    <t>32.12 Manufacture of jewellery and related articles</t>
  </si>
  <si>
    <t>http://data.europa.eu/ux2/nace2/3212</t>
  </si>
  <si>
    <t>3213</t>
  </si>
  <si>
    <t>32.13 Manufacture of imitation jewellery and related articles</t>
  </si>
  <si>
    <t>http://data.europa.eu/ux2/nace2/3213</t>
  </si>
  <si>
    <t>3220</t>
  </si>
  <si>
    <t>32.20 Manufacture of musical instruments</t>
  </si>
  <si>
    <t>http://data.europa.eu/ux2/nace2/3220</t>
  </si>
  <si>
    <t>3230</t>
  </si>
  <si>
    <t>32.30 Manufacture of sports goods</t>
  </si>
  <si>
    <t>http://data.europa.eu/ux2/nace2/3230</t>
  </si>
  <si>
    <t>3240</t>
  </si>
  <si>
    <t>32.40 Manufacture of games and toys</t>
  </si>
  <si>
    <t>http://data.europa.eu/ux2/nace2/3240</t>
  </si>
  <si>
    <t>3250</t>
  </si>
  <si>
    <t>32.50 Manufacture of medical and dental instruments and supplies</t>
  </si>
  <si>
    <t>http://data.europa.eu/ux2/nace2/3250</t>
  </si>
  <si>
    <t>3291</t>
  </si>
  <si>
    <t>32.91 Manufacture of brooms and brushes</t>
  </si>
  <si>
    <t>http://data.europa.eu/ux2/nace2/3291</t>
  </si>
  <si>
    <t>3299</t>
  </si>
  <si>
    <t>32.99 Other manufacturing n.e.c.</t>
  </si>
  <si>
    <t>http://data.europa.eu/ux2/nace2/3299</t>
  </si>
  <si>
    <t>3311</t>
  </si>
  <si>
    <t>33.11 Repair of fabricated metal products</t>
  </si>
  <si>
    <t>http://data.europa.eu/ux2/nace2/3311</t>
  </si>
  <si>
    <t>3312</t>
  </si>
  <si>
    <t>33.12 Repair of machinery</t>
  </si>
  <si>
    <t>http://data.europa.eu/ux2/nace2/3312</t>
  </si>
  <si>
    <t>3313</t>
  </si>
  <si>
    <t>33.13 Repair of electronic and optical equipment</t>
  </si>
  <si>
    <t>http://data.europa.eu/ux2/nace2/3313</t>
  </si>
  <si>
    <t>3314</t>
  </si>
  <si>
    <t>33.14 Repair of electrical equipment</t>
  </si>
  <si>
    <t>http://data.europa.eu/ux2/nace2/3314</t>
  </si>
  <si>
    <t>3315</t>
  </si>
  <si>
    <t>33.15 Repair and maintenance of ships and boats</t>
  </si>
  <si>
    <t>http://data.europa.eu/ux2/nace2/3315</t>
  </si>
  <si>
    <t>3316</t>
  </si>
  <si>
    <t>33.16 Repair and maintenance of aircraft and spacecraft</t>
  </si>
  <si>
    <t>http://data.europa.eu/ux2/nace2/3316</t>
  </si>
  <si>
    <t>3317</t>
  </si>
  <si>
    <t>33.17 Repair and maintenance of other transport equipment</t>
  </si>
  <si>
    <t>http://data.europa.eu/ux2/nace2/3317</t>
  </si>
  <si>
    <t>3319</t>
  </si>
  <si>
    <t>33.19 Repair of other equipment</t>
  </si>
  <si>
    <t>http://data.europa.eu/ux2/nace2/3319</t>
  </si>
  <si>
    <t>3320</t>
  </si>
  <si>
    <t>33.20 Installation of industrial machinery and equipment</t>
  </si>
  <si>
    <t>http://data.europa.eu/ux2/nace2/3320</t>
  </si>
  <si>
    <t>3511</t>
  </si>
  <si>
    <t>35.11 Production of electricity</t>
  </si>
  <si>
    <t>http://data.europa.eu/ux2/nace2/3511</t>
  </si>
  <si>
    <t>3512</t>
  </si>
  <si>
    <t>35.12 Transmission of electricity</t>
  </si>
  <si>
    <t>http://data.europa.eu/ux2/nace2/3512</t>
  </si>
  <si>
    <t>3513</t>
  </si>
  <si>
    <t>35.13 Distribution of electricity</t>
  </si>
  <si>
    <t>http://data.europa.eu/ux2/nace2/3513</t>
  </si>
  <si>
    <t>3514</t>
  </si>
  <si>
    <t>35.14 Trade of electricity</t>
  </si>
  <si>
    <t>http://data.europa.eu/ux2/nace2/3514</t>
  </si>
  <si>
    <t>3521</t>
  </si>
  <si>
    <t>35.21 Manufacture of gas</t>
  </si>
  <si>
    <t>http://data.europa.eu/ux2/nace2/3521</t>
  </si>
  <si>
    <t>3522</t>
  </si>
  <si>
    <t>35.22 Distribution of gaseous fuels through mains</t>
  </si>
  <si>
    <t>http://data.europa.eu/ux2/nace2/3522</t>
  </si>
  <si>
    <t>3523</t>
  </si>
  <si>
    <t>35.23 Trade of gas through mains</t>
  </si>
  <si>
    <t>http://data.europa.eu/ux2/nace2/3523</t>
  </si>
  <si>
    <t>3530</t>
  </si>
  <si>
    <t>35.30 Steam and air conditioning supply</t>
  </si>
  <si>
    <t>http://data.europa.eu/ux2/nace2/3530</t>
  </si>
  <si>
    <t>3600</t>
  </si>
  <si>
    <t>36.00 Water collection, treatment and supply</t>
  </si>
  <si>
    <t>http://data.europa.eu/ux2/nace2/3600</t>
  </si>
  <si>
    <t>3700</t>
  </si>
  <si>
    <t>37.00 Sewerage</t>
  </si>
  <si>
    <t>http://data.europa.eu/ux2/nace2/3700</t>
  </si>
  <si>
    <t>3811</t>
  </si>
  <si>
    <t>38.11 Collection of non-hazardous waste</t>
  </si>
  <si>
    <t>http://data.europa.eu/ux2/nace2/3811</t>
  </si>
  <si>
    <t>3812</t>
  </si>
  <si>
    <t>38.12 Collection of hazardous waste</t>
  </si>
  <si>
    <t>http://data.europa.eu/ux2/nace2/3812</t>
  </si>
  <si>
    <t>3821</t>
  </si>
  <si>
    <t>38.21 Treatment and disposal of non-hazardous waste</t>
  </si>
  <si>
    <t>http://data.europa.eu/ux2/nace2/3821</t>
  </si>
  <si>
    <t>3822</t>
  </si>
  <si>
    <t>38.22 Treatment and disposal of hazardous waste</t>
  </si>
  <si>
    <t>http://data.europa.eu/ux2/nace2/3822</t>
  </si>
  <si>
    <t>3831</t>
  </si>
  <si>
    <t>38.31 Dismantling of wrecks</t>
  </si>
  <si>
    <t>http://data.europa.eu/ux2/nace2/3831</t>
  </si>
  <si>
    <t>3832</t>
  </si>
  <si>
    <t>38.32 Recovery of sorted materials</t>
  </si>
  <si>
    <t>http://data.europa.eu/ux2/nace2/3832</t>
  </si>
  <si>
    <t>3900</t>
  </si>
  <si>
    <t>39.00 Remediation activities and other waste management services</t>
  </si>
  <si>
    <t>http://data.europa.eu/ux2/nace2/3900</t>
  </si>
  <si>
    <t>4110</t>
  </si>
  <si>
    <t>41.10 Development of building projects</t>
  </si>
  <si>
    <t>http://data.europa.eu/ux2/nace2/4110</t>
  </si>
  <si>
    <t>4120</t>
  </si>
  <si>
    <t>41.20 Construction of residential and non-residential buildings</t>
  </si>
  <si>
    <t>http://data.europa.eu/ux2/nace2/4120</t>
  </si>
  <si>
    <t>4211</t>
  </si>
  <si>
    <t>42.11 Construction of roads and motorways</t>
  </si>
  <si>
    <t>http://data.europa.eu/ux2/nace2/4211</t>
  </si>
  <si>
    <t>4212</t>
  </si>
  <si>
    <t>42.12 Construction of railways and underground railways</t>
  </si>
  <si>
    <t>http://data.europa.eu/ux2/nace2/4212</t>
  </si>
  <si>
    <t>4213</t>
  </si>
  <si>
    <t>42.13 Construction of bridges and tunnels</t>
  </si>
  <si>
    <t>http://data.europa.eu/ux2/nace2/4213</t>
  </si>
  <si>
    <t>4221</t>
  </si>
  <si>
    <t>42.21 Construction of utility projects for fluids</t>
  </si>
  <si>
    <t>http://data.europa.eu/ux2/nace2/4221</t>
  </si>
  <si>
    <t>4222</t>
  </si>
  <si>
    <t>42.22 Construction of utility projects for electricity and telecommunications</t>
  </si>
  <si>
    <t>http://data.europa.eu/ux2/nace2/4222</t>
  </si>
  <si>
    <t>4291</t>
  </si>
  <si>
    <t>42.91 Construction of water projects</t>
  </si>
  <si>
    <t>http://data.europa.eu/ux2/nace2/4291</t>
  </si>
  <si>
    <t>4299</t>
  </si>
  <si>
    <t>42.99 Construction of other civil engineering projects n.e.c.</t>
  </si>
  <si>
    <t>http://data.europa.eu/ux2/nace2/4299</t>
  </si>
  <si>
    <t>4311</t>
  </si>
  <si>
    <t>43.11 Demolition</t>
  </si>
  <si>
    <t>http://data.europa.eu/ux2/nace2/4311</t>
  </si>
  <si>
    <t>4312</t>
  </si>
  <si>
    <t>43.12 Site preparation</t>
  </si>
  <si>
    <t>http://data.europa.eu/ux2/nace2/4312</t>
  </si>
  <si>
    <t>4313</t>
  </si>
  <si>
    <t>43.13 Test drilling and boring</t>
  </si>
  <si>
    <t>http://data.europa.eu/ux2/nace2/4313</t>
  </si>
  <si>
    <t>4321</t>
  </si>
  <si>
    <t>43.21 Electrical installation</t>
  </si>
  <si>
    <t>http://data.europa.eu/ux2/nace2/4321</t>
  </si>
  <si>
    <t>4322</t>
  </si>
  <si>
    <t>43.22 Plumbing, heat and air-conditioning installation</t>
  </si>
  <si>
    <t>http://data.europa.eu/ux2/nace2/4322</t>
  </si>
  <si>
    <t>4329</t>
  </si>
  <si>
    <t>43.29 Other construction installation</t>
  </si>
  <si>
    <t>http://data.europa.eu/ux2/nace2/4329</t>
  </si>
  <si>
    <t>4331</t>
  </si>
  <si>
    <t>43.31 Plastering</t>
  </si>
  <si>
    <t>http://data.europa.eu/ux2/nace2/4331</t>
  </si>
  <si>
    <t>4332</t>
  </si>
  <si>
    <t>43.32 Joinery installation</t>
  </si>
  <si>
    <t>http://data.europa.eu/ux2/nace2/4332</t>
  </si>
  <si>
    <t>4333</t>
  </si>
  <si>
    <t>43.33 Floor and wall covering</t>
  </si>
  <si>
    <t>http://data.europa.eu/ux2/nace2/4333</t>
  </si>
  <si>
    <t>4334</t>
  </si>
  <si>
    <t>43.34 Painting and glazing</t>
  </si>
  <si>
    <t>http://data.europa.eu/ux2/nace2/4334</t>
  </si>
  <si>
    <t>4339</t>
  </si>
  <si>
    <t>43.39 Other building completion and finishing</t>
  </si>
  <si>
    <t>http://data.europa.eu/ux2/nace2/4339</t>
  </si>
  <si>
    <t>4391</t>
  </si>
  <si>
    <t>43.91 Roofing activities</t>
  </si>
  <si>
    <t>http://data.europa.eu/ux2/nace2/4391</t>
  </si>
  <si>
    <t>4399</t>
  </si>
  <si>
    <t>43.99 Other specialised construction activities n.e.c.</t>
  </si>
  <si>
    <t>http://data.europa.eu/ux2/nace2/4399</t>
  </si>
  <si>
    <t>4511</t>
  </si>
  <si>
    <t>45.11 Sale of cars and light motor vehicles</t>
  </si>
  <si>
    <t>http://data.europa.eu/ux2/nace2/4511</t>
  </si>
  <si>
    <t>4519</t>
  </si>
  <si>
    <t>45.19 Sale of other motor vehicles</t>
  </si>
  <si>
    <t>http://data.europa.eu/ux2/nace2/4519</t>
  </si>
  <si>
    <t>4520</t>
  </si>
  <si>
    <t>45.20 Maintenance and repair of motor vehicles</t>
  </si>
  <si>
    <t>http://data.europa.eu/ux2/nace2/4520</t>
  </si>
  <si>
    <t>4531</t>
  </si>
  <si>
    <t>45.31 Wholesale trade of motor vehicle parts and accessories</t>
  </si>
  <si>
    <t>http://data.europa.eu/ux2/nace2/4531</t>
  </si>
  <si>
    <t>4532</t>
  </si>
  <si>
    <t>45.32 Retail trade of motor vehicle parts and accessories</t>
  </si>
  <si>
    <t>http://data.europa.eu/ux2/nace2/4532</t>
  </si>
  <si>
    <t>4540</t>
  </si>
  <si>
    <t>45.40 Sale, maintenance and repair of motorcycles and related parts and accessories</t>
  </si>
  <si>
    <t>http://data.europa.eu/ux2/nace2/4540</t>
  </si>
  <si>
    <t>4611</t>
  </si>
  <si>
    <t>46.11 Agents involved in the sale of agricultural raw materials, live animals, textile raw materials and semi-finished goods</t>
  </si>
  <si>
    <t>http://data.europa.eu/ux2/nace2/4611</t>
  </si>
  <si>
    <t>4612</t>
  </si>
  <si>
    <t>46.12 Agents involved in the sale of fuels, ores, metals and industrial chemicals</t>
  </si>
  <si>
    <t>http://data.europa.eu/ux2/nace2/4612</t>
  </si>
  <si>
    <t>4613</t>
  </si>
  <si>
    <t>46.13 Agents involved in the sale of timber and building materials</t>
  </si>
  <si>
    <t>http://data.europa.eu/ux2/nace2/4613</t>
  </si>
  <si>
    <t>4614</t>
  </si>
  <si>
    <t>46.14 Agents involved in the sale of machinery, industrial equipment, ships and aircraft</t>
  </si>
  <si>
    <t>http://data.europa.eu/ux2/nace2/4614</t>
  </si>
  <si>
    <t>4615</t>
  </si>
  <si>
    <t>46.15 Agents involved in the sale of furniture, household goods, hardware and ironmongery</t>
  </si>
  <si>
    <t>http://data.europa.eu/ux2/nace2/4615</t>
  </si>
  <si>
    <t>4616</t>
  </si>
  <si>
    <t>46.16 Agents involved in the sale of textiles, clothing, fur, footwear and leather goods</t>
  </si>
  <si>
    <t>http://data.europa.eu/ux2/nace2/4616</t>
  </si>
  <si>
    <t>4617</t>
  </si>
  <si>
    <t>46.17 Agents involved in the sale of food, beverages and tobacco</t>
  </si>
  <si>
    <t>http://data.europa.eu/ux2/nace2/4617</t>
  </si>
  <si>
    <t>4618</t>
  </si>
  <si>
    <t>46.18 Agents specialised in the sale of other particular products</t>
  </si>
  <si>
    <t>http://data.europa.eu/ux2/nace2/4618</t>
  </si>
  <si>
    <t>4619</t>
  </si>
  <si>
    <t>46.19 Agents involved in the sale of a variety of goods</t>
  </si>
  <si>
    <t>http://data.europa.eu/ux2/nace2/4619</t>
  </si>
  <si>
    <t>4621</t>
  </si>
  <si>
    <t>46.21 Wholesale of grain, unmanufactured tobacco, seeds and animal feeds</t>
  </si>
  <si>
    <t>http://data.europa.eu/ux2/nace2/4621</t>
  </si>
  <si>
    <t>4622</t>
  </si>
  <si>
    <t>46.22 Wholesale of flowers and plants</t>
  </si>
  <si>
    <t>http://data.europa.eu/ux2/nace2/4622</t>
  </si>
  <si>
    <t>4623</t>
  </si>
  <si>
    <t>46.23 Wholesale of live animals</t>
  </si>
  <si>
    <t>http://data.europa.eu/ux2/nace2/4623</t>
  </si>
  <si>
    <t>4624</t>
  </si>
  <si>
    <t>46.24 Wholesale of hides, skins and leather</t>
  </si>
  <si>
    <t>http://data.europa.eu/ux2/nace2/4624</t>
  </si>
  <si>
    <t>4631</t>
  </si>
  <si>
    <t>46.31 Wholesale of fruit and vegetables</t>
  </si>
  <si>
    <t>http://data.europa.eu/ux2/nace2/4631</t>
  </si>
  <si>
    <t>4632</t>
  </si>
  <si>
    <t>46.32 Wholesale of meat and meat products</t>
  </si>
  <si>
    <t>http://data.europa.eu/ux2/nace2/4632</t>
  </si>
  <si>
    <t>4633</t>
  </si>
  <si>
    <t>46.33 Wholesale of dairy products, eggs and edible oils and fats</t>
  </si>
  <si>
    <t>http://data.europa.eu/ux2/nace2/4633</t>
  </si>
  <si>
    <t>4634</t>
  </si>
  <si>
    <t>46.34 Wholesale of beverages</t>
  </si>
  <si>
    <t>http://data.europa.eu/ux2/nace2/4634</t>
  </si>
  <si>
    <t>4635</t>
  </si>
  <si>
    <t>46.35 Wholesale of tobacco products</t>
  </si>
  <si>
    <t>http://data.europa.eu/ux2/nace2/4635</t>
  </si>
  <si>
    <t>4636</t>
  </si>
  <si>
    <t>46.36 Wholesale of sugar and chocolate and sugar confectionery</t>
  </si>
  <si>
    <t>http://data.europa.eu/ux2/nace2/4636</t>
  </si>
  <si>
    <t>4637</t>
  </si>
  <si>
    <t>46.37 Wholesale of coffee, tea, cocoa and spices</t>
  </si>
  <si>
    <t>http://data.europa.eu/ux2/nace2/4637</t>
  </si>
  <si>
    <t>4638</t>
  </si>
  <si>
    <t>46.38 Wholesale of other food, including fish, crustaceans and molluscs</t>
  </si>
  <si>
    <t>http://data.europa.eu/ux2/nace2/4638</t>
  </si>
  <si>
    <t>4639</t>
  </si>
  <si>
    <t>46.39 Non-specialised wholesale of food, beverages and tobacco</t>
  </si>
  <si>
    <t>http://data.europa.eu/ux2/nace2/4639</t>
  </si>
  <si>
    <t>4641</t>
  </si>
  <si>
    <t>46.41 Wholesale of textiles</t>
  </si>
  <si>
    <t>http://data.europa.eu/ux2/nace2/4641</t>
  </si>
  <si>
    <t>4642</t>
  </si>
  <si>
    <t>46.42 Wholesale of clothing and footwear</t>
  </si>
  <si>
    <t>http://data.europa.eu/ux2/nace2/4642</t>
  </si>
  <si>
    <t>4643</t>
  </si>
  <si>
    <t>46.43 Wholesale of electrical household appliances</t>
  </si>
  <si>
    <t>http://data.europa.eu/ux2/nace2/4643</t>
  </si>
  <si>
    <t>4644</t>
  </si>
  <si>
    <t>46.44 Wholesale of china and glassware and cleaning materials</t>
  </si>
  <si>
    <t>http://data.europa.eu/ux2/nace2/4644</t>
  </si>
  <si>
    <t>4645</t>
  </si>
  <si>
    <t>46.45 Wholesale of perfume and cosmetics</t>
  </si>
  <si>
    <t>http://data.europa.eu/ux2/nace2/4645</t>
  </si>
  <si>
    <t>4646</t>
  </si>
  <si>
    <t>46.46 Wholesale of pharmaceutical goods</t>
  </si>
  <si>
    <t>http://data.europa.eu/ux2/nace2/4646</t>
  </si>
  <si>
    <t>4647</t>
  </si>
  <si>
    <t>46.47 Wholesale of furniture, carpets and lighting equipment</t>
  </si>
  <si>
    <t>http://data.europa.eu/ux2/nace2/4647</t>
  </si>
  <si>
    <t>4648</t>
  </si>
  <si>
    <t>46.48 Wholesale of watches and jewellery</t>
  </si>
  <si>
    <t>http://data.europa.eu/ux2/nace2/4648</t>
  </si>
  <si>
    <t>4649</t>
  </si>
  <si>
    <t>46.49 Wholesale of other household goods</t>
  </si>
  <si>
    <t>http://data.europa.eu/ux2/nace2/4649</t>
  </si>
  <si>
    <t>4651</t>
  </si>
  <si>
    <t>46.51 Wholesale of computers, computer peripheral equipment and software</t>
  </si>
  <si>
    <t>http://data.europa.eu/ux2/nace2/4651</t>
  </si>
  <si>
    <t>4652</t>
  </si>
  <si>
    <t>46.52 Wholesale of electronic and telecommunications equipment and parts</t>
  </si>
  <si>
    <t>http://data.europa.eu/ux2/nace2/4652</t>
  </si>
  <si>
    <t>4661</t>
  </si>
  <si>
    <t>46.61 Wholesale of agricultural machinery, equipment and supplies</t>
  </si>
  <si>
    <t>http://data.europa.eu/ux2/nace2/4661</t>
  </si>
  <si>
    <t>4662</t>
  </si>
  <si>
    <t>46.62 Wholesale of machine tools</t>
  </si>
  <si>
    <t>http://data.europa.eu/ux2/nace2/4662</t>
  </si>
  <si>
    <t>4663</t>
  </si>
  <si>
    <t>46.63 Wholesale of mining, construction and civil engineering machinery</t>
  </si>
  <si>
    <t>http://data.europa.eu/ux2/nace2/4663</t>
  </si>
  <si>
    <t>4664</t>
  </si>
  <si>
    <t>46.64 Wholesale of machinery for the textile industry and of sewing and knitting machines</t>
  </si>
  <si>
    <t>http://data.europa.eu/ux2/nace2/4664</t>
  </si>
  <si>
    <t>4665</t>
  </si>
  <si>
    <t>46.65 Wholesale of office furniture</t>
  </si>
  <si>
    <t>http://data.europa.eu/ux2/nace2/4665</t>
  </si>
  <si>
    <t>4666</t>
  </si>
  <si>
    <t>46.66 Wholesale of other office machinery and equipment</t>
  </si>
  <si>
    <t>http://data.europa.eu/ux2/nace2/4666</t>
  </si>
  <si>
    <t>4669</t>
  </si>
  <si>
    <t>46.69 Wholesale of other machinery and equipment</t>
  </si>
  <si>
    <t>http://data.europa.eu/ux2/nace2/4669</t>
  </si>
  <si>
    <t>4671</t>
  </si>
  <si>
    <t>46.71 Wholesale of solid, liquid and gaseous fuels and related products</t>
  </si>
  <si>
    <t>http://data.europa.eu/ux2/nace2/4671</t>
  </si>
  <si>
    <t>4672</t>
  </si>
  <si>
    <t>46.72 Wholesale of metals and metal ores</t>
  </si>
  <si>
    <t>http://data.europa.eu/ux2/nace2/4672</t>
  </si>
  <si>
    <t>4673</t>
  </si>
  <si>
    <t>46.73 Wholesale of wood, construction materials and sanitary equipment</t>
  </si>
  <si>
    <t>http://data.europa.eu/ux2/nace2/4673</t>
  </si>
  <si>
    <t>4674</t>
  </si>
  <si>
    <t>46.74 Wholesale of hardware, plumbing and heating equipment and supplies</t>
  </si>
  <si>
    <t>http://data.europa.eu/ux2/nace2/4674</t>
  </si>
  <si>
    <t>4675</t>
  </si>
  <si>
    <t>46.75 Wholesale of chemical products</t>
  </si>
  <si>
    <t>http://data.europa.eu/ux2/nace2/4675</t>
  </si>
  <si>
    <t>4676</t>
  </si>
  <si>
    <t>46.76 Wholesale of other intermediate products</t>
  </si>
  <si>
    <t>http://data.europa.eu/ux2/nace2/4676</t>
  </si>
  <si>
    <t>4677</t>
  </si>
  <si>
    <t>46.77 Wholesale of waste and scrap</t>
  </si>
  <si>
    <t>http://data.europa.eu/ux2/nace2/4677</t>
  </si>
  <si>
    <t>4690</t>
  </si>
  <si>
    <t>46.90 Non-specialised wholesale trade</t>
  </si>
  <si>
    <t>http://data.europa.eu/ux2/nace2/4690</t>
  </si>
  <si>
    <t>4711</t>
  </si>
  <si>
    <t>47.11 Retail sale in non-specialised stores with food, beverages or tobacco predominating</t>
  </si>
  <si>
    <t>http://data.europa.eu/ux2/nace2/4711</t>
  </si>
  <si>
    <t>4719</t>
  </si>
  <si>
    <t>47.19 Other retail sale in non-specialised stores</t>
  </si>
  <si>
    <t>http://data.europa.eu/ux2/nace2/4719</t>
  </si>
  <si>
    <t>4721</t>
  </si>
  <si>
    <t>47.21 Retail sale of fruit and vegetables in specialised stores</t>
  </si>
  <si>
    <t>http://data.europa.eu/ux2/nace2/4721</t>
  </si>
  <si>
    <t>4722</t>
  </si>
  <si>
    <t>47.22 Retail sale of meat and meat products in specialised stores</t>
  </si>
  <si>
    <t>http://data.europa.eu/ux2/nace2/4722</t>
  </si>
  <si>
    <t>4723</t>
  </si>
  <si>
    <t>47.23 Retail sale of fish, crustaceans and molluscs in specialised stores</t>
  </si>
  <si>
    <t>http://data.europa.eu/ux2/nace2/4723</t>
  </si>
  <si>
    <t>4724</t>
  </si>
  <si>
    <t>47.24 Retail sale of bread, cakes, flour confectionery and sugar confectionery in specialised stores</t>
  </si>
  <si>
    <t>http://data.europa.eu/ux2/nace2/4724</t>
  </si>
  <si>
    <t>4725</t>
  </si>
  <si>
    <t>47.25 Retail sale of beverages in specialised stores</t>
  </si>
  <si>
    <t>http://data.europa.eu/ux2/nace2/4725</t>
  </si>
  <si>
    <t>4726</t>
  </si>
  <si>
    <t>47.26 Retail sale of tobacco products in specialised stores</t>
  </si>
  <si>
    <t>http://data.europa.eu/ux2/nace2/4726</t>
  </si>
  <si>
    <t>4729</t>
  </si>
  <si>
    <t>47.29 Other retail sale of food in specialised stores</t>
  </si>
  <si>
    <t>http://data.europa.eu/ux2/nace2/4729</t>
  </si>
  <si>
    <t>4730</t>
  </si>
  <si>
    <t>47.30 Retail sale of automotive fuel in specialised stores</t>
  </si>
  <si>
    <t>http://data.europa.eu/ux2/nace2/4730</t>
  </si>
  <si>
    <t>4741</t>
  </si>
  <si>
    <t>47.41 Retail sale of computers, peripheral units and software in specialised stores</t>
  </si>
  <si>
    <t>http://data.europa.eu/ux2/nace2/4741</t>
  </si>
  <si>
    <t>4742</t>
  </si>
  <si>
    <t>47.42 Retail sale of telecommunications equipment in specialised stores</t>
  </si>
  <si>
    <t>http://data.europa.eu/ux2/nace2/4742</t>
  </si>
  <si>
    <t>4743</t>
  </si>
  <si>
    <t>47.43 Retail sale of audio and video equipment in specialised stores</t>
  </si>
  <si>
    <t>http://data.europa.eu/ux2/nace2/4743</t>
  </si>
  <si>
    <t>4751</t>
  </si>
  <si>
    <t>47.51 Retail sale of textiles in specialised stores</t>
  </si>
  <si>
    <t>http://data.europa.eu/ux2/nace2/4751</t>
  </si>
  <si>
    <t>4752</t>
  </si>
  <si>
    <t>47.52 Retail sale of hardware, paints and glass in specialised stores</t>
  </si>
  <si>
    <t>http://data.europa.eu/ux2/nace2/4752</t>
  </si>
  <si>
    <t>4753</t>
  </si>
  <si>
    <t>47.53 Retail sale of carpets, rugs, wall and floor coverings in specialised stores</t>
  </si>
  <si>
    <t>http://data.europa.eu/ux2/nace2/4753</t>
  </si>
  <si>
    <t>4754</t>
  </si>
  <si>
    <t>47.54 Retail sale of electrical household appliances in specialised stores</t>
  </si>
  <si>
    <t>http://data.europa.eu/ux2/nace2/4754</t>
  </si>
  <si>
    <t>4759</t>
  </si>
  <si>
    <t>47.59 Retail sale of furniture, lighting equipment and other household articles in specialised stores</t>
  </si>
  <si>
    <t>http://data.europa.eu/ux2/nace2/4759</t>
  </si>
  <si>
    <t>4761</t>
  </si>
  <si>
    <t>47.61 Retail sale of books in specialised stores</t>
  </si>
  <si>
    <t>http://data.europa.eu/ux2/nace2/4761</t>
  </si>
  <si>
    <t>4762</t>
  </si>
  <si>
    <t>47.62 Retail sale of newspapers and stationery in specialised stores</t>
  </si>
  <si>
    <t>http://data.europa.eu/ux2/nace2/4762</t>
  </si>
  <si>
    <t>4763</t>
  </si>
  <si>
    <t>47.63 Retail sale of music and video recordings in specialised stores</t>
  </si>
  <si>
    <t>http://data.europa.eu/ux2/nace2/4763</t>
  </si>
  <si>
    <t>4764</t>
  </si>
  <si>
    <t>47.64 Retail sale of sporting equipment in specialised stores</t>
  </si>
  <si>
    <t>http://data.europa.eu/ux2/nace2/4764</t>
  </si>
  <si>
    <t>4765</t>
  </si>
  <si>
    <t>47.65 Retail sale of games and toys in specialised stores</t>
  </si>
  <si>
    <t>http://data.europa.eu/ux2/nace2/4765</t>
  </si>
  <si>
    <t>4771</t>
  </si>
  <si>
    <t>47.71 Retail sale of clothing in specialised stores</t>
  </si>
  <si>
    <t>http://data.europa.eu/ux2/nace2/4771</t>
  </si>
  <si>
    <t>4772</t>
  </si>
  <si>
    <t>47.72 Retail sale of footwear and leather goods in specialised stores</t>
  </si>
  <si>
    <t>http://data.europa.eu/ux2/nace2/4772</t>
  </si>
  <si>
    <t>4773</t>
  </si>
  <si>
    <t>47.73 Dispensing chemist in specialised stores</t>
  </si>
  <si>
    <t>http://data.europa.eu/ux2/nace2/4773</t>
  </si>
  <si>
    <t>4774</t>
  </si>
  <si>
    <t>47.74 Retail sale of medical and orthopaedic goods in specialised stores</t>
  </si>
  <si>
    <t>http://data.europa.eu/ux2/nace2/4774</t>
  </si>
  <si>
    <t>4775</t>
  </si>
  <si>
    <t>47.75 Retail sale of cosmetic and toilet articles in specialised stores</t>
  </si>
  <si>
    <t>http://data.europa.eu/ux2/nace2/4775</t>
  </si>
  <si>
    <t>4776</t>
  </si>
  <si>
    <t>47.76 Retail sale of flowers, plants, seeds, fertilisers, pet animals and pet food in specialised stores</t>
  </si>
  <si>
    <t>http://data.europa.eu/ux2/nace2/4776</t>
  </si>
  <si>
    <t>4777</t>
  </si>
  <si>
    <t>47.77 Retail sale of watches and jewellery in specialised stores</t>
  </si>
  <si>
    <t>http://data.europa.eu/ux2/nace2/4777</t>
  </si>
  <si>
    <t>4778</t>
  </si>
  <si>
    <t>47.78 Other retail sale of new goods in specialised stores</t>
  </si>
  <si>
    <t>http://data.europa.eu/ux2/nace2/4778</t>
  </si>
  <si>
    <t>4779</t>
  </si>
  <si>
    <t>47.79 Retail sale of second-hand goods in stores</t>
  </si>
  <si>
    <t>http://data.europa.eu/ux2/nace2/4779</t>
  </si>
  <si>
    <t>4781</t>
  </si>
  <si>
    <t>47.81 Retail sale via stalls and markets of food, beverages and tobacco products</t>
  </si>
  <si>
    <t>http://data.europa.eu/ux2/nace2/4781</t>
  </si>
  <si>
    <t>4782</t>
  </si>
  <si>
    <t>47.82 Retail sale via stalls and markets of textiles, clothing and footwear</t>
  </si>
  <si>
    <t>http://data.europa.eu/ux2/nace2/4782</t>
  </si>
  <si>
    <t>4789</t>
  </si>
  <si>
    <t>47.89 Retail sale via stalls and markets of other goods</t>
  </si>
  <si>
    <t>http://data.europa.eu/ux2/nace2/4789</t>
  </si>
  <si>
    <t>4791</t>
  </si>
  <si>
    <t>47.91 Retail sale via mail order houses or via Internet</t>
  </si>
  <si>
    <t>http://data.europa.eu/ux2/nace2/4791</t>
  </si>
  <si>
    <t>4799</t>
  </si>
  <si>
    <t>47.99 Other retail sale not in stores, stalls or markets</t>
  </si>
  <si>
    <t>http://data.europa.eu/ux2/nace2/4799</t>
  </si>
  <si>
    <t>4910</t>
  </si>
  <si>
    <t>49.10 Passenger rail transport, interurban</t>
  </si>
  <si>
    <t>http://data.europa.eu/ux2/nace2/4910</t>
  </si>
  <si>
    <t>4920</t>
  </si>
  <si>
    <t>49.20 Freight rail transport</t>
  </si>
  <si>
    <t>http://data.europa.eu/ux2/nace2/4920</t>
  </si>
  <si>
    <t>4931</t>
  </si>
  <si>
    <t>49.31 Urban and suburban passenger land transport</t>
  </si>
  <si>
    <t>http://data.europa.eu/ux2/nace2/4931</t>
  </si>
  <si>
    <t>4932</t>
  </si>
  <si>
    <t>49.32 Taxi operation</t>
  </si>
  <si>
    <t>http://data.europa.eu/ux2/nace2/4932</t>
  </si>
  <si>
    <t>4939</t>
  </si>
  <si>
    <t>49.39 Other passenger land transport n.e.c.</t>
  </si>
  <si>
    <t>http://data.europa.eu/ux2/nace2/4939</t>
  </si>
  <si>
    <t>4941</t>
  </si>
  <si>
    <t>49.41 Freight transport by road</t>
  </si>
  <si>
    <t>http://data.europa.eu/ux2/nace2/4941</t>
  </si>
  <si>
    <t>4942</t>
  </si>
  <si>
    <t>49.42 Removal services</t>
  </si>
  <si>
    <t>http://data.europa.eu/ux2/nace2/4942</t>
  </si>
  <si>
    <t>4950</t>
  </si>
  <si>
    <t>49.50 Transport via pipeline</t>
  </si>
  <si>
    <t>http://data.europa.eu/ux2/nace2/4950</t>
  </si>
  <si>
    <t>5010</t>
  </si>
  <si>
    <t>50.10 Sea and coastal passenger water transport</t>
  </si>
  <si>
    <t>http://data.europa.eu/ux2/nace2/5010</t>
  </si>
  <si>
    <t>5020</t>
  </si>
  <si>
    <t>50.20 Sea and coastal freight water transport</t>
  </si>
  <si>
    <t>http://data.europa.eu/ux2/nace2/5020</t>
  </si>
  <si>
    <t>5030</t>
  </si>
  <si>
    <t>50.30 Inland passenger water transport</t>
  </si>
  <si>
    <t>http://data.europa.eu/ux2/nace2/5030</t>
  </si>
  <si>
    <t>5040</t>
  </si>
  <si>
    <t>50.40 Inland freight water transport</t>
  </si>
  <si>
    <t>http://data.europa.eu/ux2/nace2/5040</t>
  </si>
  <si>
    <t>5110</t>
  </si>
  <si>
    <t>51.10 Passenger air transport</t>
  </si>
  <si>
    <t>http://data.europa.eu/ux2/nace2/5110</t>
  </si>
  <si>
    <t>5121</t>
  </si>
  <si>
    <t>51.21 Freight air transport</t>
  </si>
  <si>
    <t>http://data.europa.eu/ux2/nace2/5121</t>
  </si>
  <si>
    <t>5122</t>
  </si>
  <si>
    <t>51.22 Space transport</t>
  </si>
  <si>
    <t>http://data.europa.eu/ux2/nace2/5122</t>
  </si>
  <si>
    <t>5210</t>
  </si>
  <si>
    <t>52.10 Warehousing and storage</t>
  </si>
  <si>
    <t>http://data.europa.eu/ux2/nace2/5210</t>
  </si>
  <si>
    <t>5221</t>
  </si>
  <si>
    <t>52.21 Service activities incidental to land transportation</t>
  </si>
  <si>
    <t>http://data.europa.eu/ux2/nace2/5221</t>
  </si>
  <si>
    <t>5222</t>
  </si>
  <si>
    <t>52.22 Service activities incidental to water transportation</t>
  </si>
  <si>
    <t>http://data.europa.eu/ux2/nace2/5222</t>
  </si>
  <si>
    <t>5223</t>
  </si>
  <si>
    <t>52.23 Service activities incidental to air transportation</t>
  </si>
  <si>
    <t>http://data.europa.eu/ux2/nace2/5223</t>
  </si>
  <si>
    <t>5224</t>
  </si>
  <si>
    <t>52.24 Cargo handling</t>
  </si>
  <si>
    <t>http://data.europa.eu/ux2/nace2/5224</t>
  </si>
  <si>
    <t>5229</t>
  </si>
  <si>
    <t>52.29 Other transportation support activities</t>
  </si>
  <si>
    <t>http://data.europa.eu/ux2/nace2/5229</t>
  </si>
  <si>
    <t>5310</t>
  </si>
  <si>
    <t>53.10 Postal activities under universal service obligation</t>
  </si>
  <si>
    <t>http://data.europa.eu/ux2/nace2/5310</t>
  </si>
  <si>
    <t>5320</t>
  </si>
  <si>
    <t>53.20 Other postal and courier activities</t>
  </si>
  <si>
    <t>http://data.europa.eu/ux2/nace2/5320</t>
  </si>
  <si>
    <t>5510</t>
  </si>
  <si>
    <t>55.10 Hotels and similar accommodation</t>
  </si>
  <si>
    <t>http://data.europa.eu/ux2/nace2/5510</t>
  </si>
  <si>
    <t>5520</t>
  </si>
  <si>
    <t>55.20 Holiday and other short-stay accommodation</t>
  </si>
  <si>
    <t>http://data.europa.eu/ux2/nace2/5520</t>
  </si>
  <si>
    <t>5530</t>
  </si>
  <si>
    <t>55.30 Camping grounds, recreational vehicle parks and trailer parks</t>
  </si>
  <si>
    <t>http://data.europa.eu/ux2/nace2/5530</t>
  </si>
  <si>
    <t>5590</t>
  </si>
  <si>
    <t>55.90 Other accommodation</t>
  </si>
  <si>
    <t>http://data.europa.eu/ux2/nace2/5590</t>
  </si>
  <si>
    <t>5610</t>
  </si>
  <si>
    <t>56.10 Restaurants and mobile food service activities</t>
  </si>
  <si>
    <t>http://data.europa.eu/ux2/nace2/5610</t>
  </si>
  <si>
    <t>5621</t>
  </si>
  <si>
    <t>56.21 Event catering activities</t>
  </si>
  <si>
    <t>http://data.europa.eu/ux2/nace2/5621</t>
  </si>
  <si>
    <t>5629</t>
  </si>
  <si>
    <t>56.29 Other food service activities</t>
  </si>
  <si>
    <t>http://data.europa.eu/ux2/nace2/5629</t>
  </si>
  <si>
    <t>5630</t>
  </si>
  <si>
    <t>56.30 Beverage serving activities</t>
  </si>
  <si>
    <t>http://data.europa.eu/ux2/nace2/5630</t>
  </si>
  <si>
    <t>5811</t>
  </si>
  <si>
    <t>58.11 Book publishing</t>
  </si>
  <si>
    <t>http://data.europa.eu/ux2/nace2/5811</t>
  </si>
  <si>
    <t>5812</t>
  </si>
  <si>
    <t>58.12 Publishing of directories and mailing lists</t>
  </si>
  <si>
    <t>http://data.europa.eu/ux2/nace2/5812</t>
  </si>
  <si>
    <t>5813</t>
  </si>
  <si>
    <t>58.13 Publishing of newspapers</t>
  </si>
  <si>
    <t>http://data.europa.eu/ux2/nace2/5813</t>
  </si>
  <si>
    <t>5814</t>
  </si>
  <si>
    <t>58.14 Publishing of journals and periodicals</t>
  </si>
  <si>
    <t>http://data.europa.eu/ux2/nace2/5814</t>
  </si>
  <si>
    <t>5819</t>
  </si>
  <si>
    <t>58.19 Other publishing activities</t>
  </si>
  <si>
    <t>http://data.europa.eu/ux2/nace2/5819</t>
  </si>
  <si>
    <t>5821</t>
  </si>
  <si>
    <t>58.21 Publishing of computer games</t>
  </si>
  <si>
    <t>http://data.europa.eu/ux2/nace2/5821</t>
  </si>
  <si>
    <t>5829</t>
  </si>
  <si>
    <t>58.29 Other software publishing</t>
  </si>
  <si>
    <t>http://data.europa.eu/ux2/nace2/5829</t>
  </si>
  <si>
    <t>5911</t>
  </si>
  <si>
    <t>59.11 Motion picture, video and television programme production activities</t>
  </si>
  <si>
    <t>http://data.europa.eu/ux2/nace2/5911</t>
  </si>
  <si>
    <t>5912</t>
  </si>
  <si>
    <t>59.12 Motion picture, video and television programme post-production activities</t>
  </si>
  <si>
    <t>http://data.europa.eu/ux2/nace2/5912</t>
  </si>
  <si>
    <t>5913</t>
  </si>
  <si>
    <t>59.13 Motion picture, video and television programme distribution activities</t>
  </si>
  <si>
    <t>http://data.europa.eu/ux2/nace2/5913</t>
  </si>
  <si>
    <t>5914</t>
  </si>
  <si>
    <t>59.14 Motion picture projection activities</t>
  </si>
  <si>
    <t>http://data.europa.eu/ux2/nace2/5914</t>
  </si>
  <si>
    <t>5920</t>
  </si>
  <si>
    <t>59.20 Sound recording and music publishing activities</t>
  </si>
  <si>
    <t>http://data.europa.eu/ux2/nace2/5920</t>
  </si>
  <si>
    <t>6010</t>
  </si>
  <si>
    <t>60.10 Radio broadcasting</t>
  </si>
  <si>
    <t>http://data.europa.eu/ux2/nace2/6010</t>
  </si>
  <si>
    <t>6020</t>
  </si>
  <si>
    <t>60.20 Television programming and broadcasting activities</t>
  </si>
  <si>
    <t>http://data.europa.eu/ux2/nace2/6020</t>
  </si>
  <si>
    <t>6110</t>
  </si>
  <si>
    <t>61.10 Wired telecommunications activities</t>
  </si>
  <si>
    <t>http://data.europa.eu/ux2/nace2/6110</t>
  </si>
  <si>
    <t>6120</t>
  </si>
  <si>
    <t>61.20 Wireless telecommunications activities</t>
  </si>
  <si>
    <t>http://data.europa.eu/ux2/nace2/6120</t>
  </si>
  <si>
    <t>6130</t>
  </si>
  <si>
    <t>61.30 Satellite telecommunications activities</t>
  </si>
  <si>
    <t>http://data.europa.eu/ux2/nace2/6130</t>
  </si>
  <si>
    <t>6190</t>
  </si>
  <si>
    <t>61.90 Other telecommunications activities</t>
  </si>
  <si>
    <t>http://data.europa.eu/ux2/nace2/6190</t>
  </si>
  <si>
    <t>6201</t>
  </si>
  <si>
    <t>62.01 Computer programming activities</t>
  </si>
  <si>
    <t>http://data.europa.eu/ux2/nace2/6201</t>
  </si>
  <si>
    <t>6202</t>
  </si>
  <si>
    <t>62.02 Computer consultancy activities</t>
  </si>
  <si>
    <t>http://data.europa.eu/ux2/nace2/6202</t>
  </si>
  <si>
    <t>6203</t>
  </si>
  <si>
    <t>62.03 Computer facilities management activities</t>
  </si>
  <si>
    <t>http://data.europa.eu/ux2/nace2/6203</t>
  </si>
  <si>
    <t>6209</t>
  </si>
  <si>
    <t>62.09 Other information technology and computer service activities</t>
  </si>
  <si>
    <t>http://data.europa.eu/ux2/nace2/6209</t>
  </si>
  <si>
    <t>6311</t>
  </si>
  <si>
    <t>63.11 Data processing, hosting and related activities</t>
  </si>
  <si>
    <t>http://data.europa.eu/ux2/nace2/6311</t>
  </si>
  <si>
    <t>6312</t>
  </si>
  <si>
    <t>63.12 Web portals</t>
  </si>
  <si>
    <t>http://data.europa.eu/ux2/nace2/6312</t>
  </si>
  <si>
    <t>6391</t>
  </si>
  <si>
    <t>63.91 News agency activities</t>
  </si>
  <si>
    <t>http://data.europa.eu/ux2/nace2/6391</t>
  </si>
  <si>
    <t>6399</t>
  </si>
  <si>
    <t>63.99 Other information service activities n.e.c.</t>
  </si>
  <si>
    <t>http://data.europa.eu/ux2/nace2/6399</t>
  </si>
  <si>
    <t>6411</t>
  </si>
  <si>
    <t>64.11 Central banking</t>
  </si>
  <si>
    <t>http://data.europa.eu/ux2/nace2/6411</t>
  </si>
  <si>
    <t>6419</t>
  </si>
  <si>
    <t>64.19 Other monetary intermediation</t>
  </si>
  <si>
    <t>http://data.europa.eu/ux2/nace2/6419</t>
  </si>
  <si>
    <t>6420</t>
  </si>
  <si>
    <t>64.20 Activities of holding companies</t>
  </si>
  <si>
    <t>http://data.europa.eu/ux2/nace2/6420</t>
  </si>
  <si>
    <t>6430</t>
  </si>
  <si>
    <t>64.30 Trusts, funds and similar financial entities</t>
  </si>
  <si>
    <t>http://data.europa.eu/ux2/nace2/6430</t>
  </si>
  <si>
    <t>6491</t>
  </si>
  <si>
    <t>64.91 Financial leasing</t>
  </si>
  <si>
    <t>http://data.europa.eu/ux2/nace2/6491</t>
  </si>
  <si>
    <t>6492</t>
  </si>
  <si>
    <t>64.92 Other credit granting</t>
  </si>
  <si>
    <t>http://data.europa.eu/ux2/nace2/6492</t>
  </si>
  <si>
    <t>6499</t>
  </si>
  <si>
    <t>64.99 Other financial service activities, except insurance and pension funding n.e.c.</t>
  </si>
  <si>
    <t>http://data.europa.eu/ux2/nace2/6499</t>
  </si>
  <si>
    <t>6511</t>
  </si>
  <si>
    <t>65.11 Life insurance</t>
  </si>
  <si>
    <t>http://data.europa.eu/ux2/nace2/6511</t>
  </si>
  <si>
    <t>6512</t>
  </si>
  <si>
    <t>65.12 Non-life insurance</t>
  </si>
  <si>
    <t>http://data.europa.eu/ux2/nace2/6512</t>
  </si>
  <si>
    <t>6520</t>
  </si>
  <si>
    <t>65.20 Reinsurance</t>
  </si>
  <si>
    <t>http://data.europa.eu/ux2/nace2/6520</t>
  </si>
  <si>
    <t>6530</t>
  </si>
  <si>
    <t>65.30 Pension funding</t>
  </si>
  <si>
    <t>http://data.europa.eu/ux2/nace2/6530</t>
  </si>
  <si>
    <t>6611</t>
  </si>
  <si>
    <t>66.11 Administration of financial markets</t>
  </si>
  <si>
    <t>http://data.europa.eu/ux2/nace2/6611</t>
  </si>
  <si>
    <t>6612</t>
  </si>
  <si>
    <t>66.12 Security and commodity contracts brokerage</t>
  </si>
  <si>
    <t>http://data.europa.eu/ux2/nace2/6612</t>
  </si>
  <si>
    <t>6619</t>
  </si>
  <si>
    <t>66.19 Other activities auxiliary to financial services, except insurance and pension funding</t>
  </si>
  <si>
    <t>http://data.europa.eu/ux2/nace2/6619</t>
  </si>
  <si>
    <t>6621</t>
  </si>
  <si>
    <t>66.21 Risk and damage evaluation</t>
  </si>
  <si>
    <t>http://data.europa.eu/ux2/nace2/6621</t>
  </si>
  <si>
    <t>6622</t>
  </si>
  <si>
    <t>66.22 Activities of insurance agents and brokers</t>
  </si>
  <si>
    <t>http://data.europa.eu/ux2/nace2/6622</t>
  </si>
  <si>
    <t>6629</t>
  </si>
  <si>
    <t>66.29 Other activities auxiliary to insurance and pension funding</t>
  </si>
  <si>
    <t>http://data.europa.eu/ux2/nace2/6629</t>
  </si>
  <si>
    <t>6630</t>
  </si>
  <si>
    <t>66.30 Fund management activities</t>
  </si>
  <si>
    <t>http://data.europa.eu/ux2/nace2/6630</t>
  </si>
  <si>
    <t>6810</t>
  </si>
  <si>
    <t>68.10 Buying and selling of own real estate</t>
  </si>
  <si>
    <t>http://data.europa.eu/ux2/nace2/6810</t>
  </si>
  <si>
    <t>6820</t>
  </si>
  <si>
    <t>68.20 Rental and operating of own or leased real estate</t>
  </si>
  <si>
    <t>http://data.europa.eu/ux2/nace2/6820</t>
  </si>
  <si>
    <t>6831</t>
  </si>
  <si>
    <t>68.31 Real estate agencies</t>
  </si>
  <si>
    <t>http://data.europa.eu/ux2/nace2/6831</t>
  </si>
  <si>
    <t>6832</t>
  </si>
  <si>
    <t>68.32 Management of real estate on a fee or contract basis</t>
  </si>
  <si>
    <t>http://data.europa.eu/ux2/nace2/6832</t>
  </si>
  <si>
    <t>6910</t>
  </si>
  <si>
    <t>69.10 Legal activities</t>
  </si>
  <si>
    <t>http://data.europa.eu/ux2/nace2/6910</t>
  </si>
  <si>
    <t>6920</t>
  </si>
  <si>
    <t>69.20 Accounting, bookkeeping and auditing activities; tax consultancy</t>
  </si>
  <si>
    <t>http://data.europa.eu/ux2/nace2/6920</t>
  </si>
  <si>
    <t>7010</t>
  </si>
  <si>
    <t>70.10 Activities of head offices</t>
  </si>
  <si>
    <t>http://data.europa.eu/ux2/nace2/7010</t>
  </si>
  <si>
    <t>7021</t>
  </si>
  <si>
    <t>70.21 Public relations and communication activities</t>
  </si>
  <si>
    <t>http://data.europa.eu/ux2/nace2/7021</t>
  </si>
  <si>
    <t>7022</t>
  </si>
  <si>
    <t>70.22 Business and other management consultancy activities</t>
  </si>
  <si>
    <t>http://data.europa.eu/ux2/nace2/7022</t>
  </si>
  <si>
    <t>7111</t>
  </si>
  <si>
    <t>71.11 Architectural activities</t>
  </si>
  <si>
    <t>http://data.europa.eu/ux2/nace2/7111</t>
  </si>
  <si>
    <t>7112</t>
  </si>
  <si>
    <t>71.12 Engineering activities and related technical consultancy</t>
  </si>
  <si>
    <t>http://data.europa.eu/ux2/nace2/7112</t>
  </si>
  <si>
    <t>7120</t>
  </si>
  <si>
    <t>71.20 Technical testing and analysis</t>
  </si>
  <si>
    <t>http://data.europa.eu/ux2/nace2/7120</t>
  </si>
  <si>
    <t>7211</t>
  </si>
  <si>
    <t>72.11 Research and experimental development on biotechnology</t>
  </si>
  <si>
    <t>http://data.europa.eu/ux2/nace2/7211</t>
  </si>
  <si>
    <t>7219</t>
  </si>
  <si>
    <t>72.19 Other research and experimental development on natural sciences and engineering</t>
  </si>
  <si>
    <t>http://data.europa.eu/ux2/nace2/7219</t>
  </si>
  <si>
    <t>7220</t>
  </si>
  <si>
    <t>72.20 Research and experimental development on social sciences and humanities</t>
  </si>
  <si>
    <t>http://data.europa.eu/ux2/nace2/7220</t>
  </si>
  <si>
    <t>7311</t>
  </si>
  <si>
    <t>73.11 Advertising agencies</t>
  </si>
  <si>
    <t>http://data.europa.eu/ux2/nace2/7311</t>
  </si>
  <si>
    <t>7312</t>
  </si>
  <si>
    <t>73.12 Media representation</t>
  </si>
  <si>
    <t>http://data.europa.eu/ux2/nace2/7312</t>
  </si>
  <si>
    <t>7320</t>
  </si>
  <si>
    <t>73.20 Market research and public opinion polling</t>
  </si>
  <si>
    <t>http://data.europa.eu/ux2/nace2/7320</t>
  </si>
  <si>
    <t>7410</t>
  </si>
  <si>
    <t>74.10 Specialised design activities</t>
  </si>
  <si>
    <t>http://data.europa.eu/ux2/nace2/7410</t>
  </si>
  <si>
    <t>7420</t>
  </si>
  <si>
    <t>74.20 Photographic activities</t>
  </si>
  <si>
    <t>http://data.europa.eu/ux2/nace2/7420</t>
  </si>
  <si>
    <t>7430</t>
  </si>
  <si>
    <t>74.30 Translation and interpretation activities</t>
  </si>
  <si>
    <t>http://data.europa.eu/ux2/nace2/7430</t>
  </si>
  <si>
    <t>7490</t>
  </si>
  <si>
    <t>74.90 Other professional, scientific and technical activities n.e.c.</t>
  </si>
  <si>
    <t>http://data.europa.eu/ux2/nace2/7490</t>
  </si>
  <si>
    <t>7500</t>
  </si>
  <si>
    <t>75.00 Veterinary activities</t>
  </si>
  <si>
    <t>http://data.europa.eu/ux2/nace2/7500</t>
  </si>
  <si>
    <t>7711</t>
  </si>
  <si>
    <t>77.11 Rental and leasing of cars and light motor vehicles</t>
  </si>
  <si>
    <t>http://data.europa.eu/ux2/nace2/7711</t>
  </si>
  <si>
    <t>7712</t>
  </si>
  <si>
    <t>77.12 Rental and leasing of trucks</t>
  </si>
  <si>
    <t>http://data.europa.eu/ux2/nace2/7712</t>
  </si>
  <si>
    <t>7721</t>
  </si>
  <si>
    <t>77.21 Rental and leasing of recreational and sports goods</t>
  </si>
  <si>
    <t>http://data.europa.eu/ux2/nace2/7721</t>
  </si>
  <si>
    <t>7722</t>
  </si>
  <si>
    <t>77.22 Rental of video tapes and disks</t>
  </si>
  <si>
    <t>http://data.europa.eu/ux2/nace2/7722</t>
  </si>
  <si>
    <t>7729</t>
  </si>
  <si>
    <t>77.29 Rental and leasing of other personal and household goods</t>
  </si>
  <si>
    <t>http://data.europa.eu/ux2/nace2/7729</t>
  </si>
  <si>
    <t>7731</t>
  </si>
  <si>
    <t>77.31 Rental and leasing of agricultural machinery and equipment</t>
  </si>
  <si>
    <t>http://data.europa.eu/ux2/nace2/7731</t>
  </si>
  <si>
    <t>7732</t>
  </si>
  <si>
    <t>77.32 Rental and leasing of construction and civil engineering machinery and equipment</t>
  </si>
  <si>
    <t>http://data.europa.eu/ux2/nace2/7732</t>
  </si>
  <si>
    <t>7733</t>
  </si>
  <si>
    <t>77.33 Rental and leasing of office machinery and equipment (including computers)</t>
  </si>
  <si>
    <t>http://data.europa.eu/ux2/nace2/7733</t>
  </si>
  <si>
    <t>7734</t>
  </si>
  <si>
    <t>77.34 Rental and leasing of water transport equipment</t>
  </si>
  <si>
    <t>http://data.europa.eu/ux2/nace2/7734</t>
  </si>
  <si>
    <t>7735</t>
  </si>
  <si>
    <t>77.35 Rental and leasing of air transport equipment</t>
  </si>
  <si>
    <t>http://data.europa.eu/ux2/nace2/7735</t>
  </si>
  <si>
    <t>7739</t>
  </si>
  <si>
    <t>77.39 Rental and leasing of other machinery, equipment and tangible goods n.e.c.</t>
  </si>
  <si>
    <t>http://data.europa.eu/ux2/nace2/7739</t>
  </si>
  <si>
    <t>7740</t>
  </si>
  <si>
    <t>77.40 Leasing of intellectual property and similar products, except copyrighted works</t>
  </si>
  <si>
    <t>http://data.europa.eu/ux2/nace2/7740</t>
  </si>
  <si>
    <t>7810</t>
  </si>
  <si>
    <t>78.10 Activities of employment placement agencies</t>
  </si>
  <si>
    <t>http://data.europa.eu/ux2/nace2/7810</t>
  </si>
  <si>
    <t>7820</t>
  </si>
  <si>
    <t>78.20 Temporary employment agency activities</t>
  </si>
  <si>
    <t>http://data.europa.eu/ux2/nace2/7820</t>
  </si>
  <si>
    <t>7830</t>
  </si>
  <si>
    <t>78.30 Other human resources provision</t>
  </si>
  <si>
    <t>http://data.europa.eu/ux2/nace2/7830</t>
  </si>
  <si>
    <t>7911</t>
  </si>
  <si>
    <t>79.11 Travel agency activities</t>
  </si>
  <si>
    <t>http://data.europa.eu/ux2/nace2/7911</t>
  </si>
  <si>
    <t>7912</t>
  </si>
  <si>
    <t>79.12 Tour operator activities</t>
  </si>
  <si>
    <t>http://data.europa.eu/ux2/nace2/7912</t>
  </si>
  <si>
    <t>7990</t>
  </si>
  <si>
    <t>79.90 Other reservation service and related activities</t>
  </si>
  <si>
    <t>http://data.europa.eu/ux2/nace2/7990</t>
  </si>
  <si>
    <t>8010</t>
  </si>
  <si>
    <t>80.10 Private security activities</t>
  </si>
  <si>
    <t>http://data.europa.eu/ux2/nace2/8010</t>
  </si>
  <si>
    <t>8020</t>
  </si>
  <si>
    <t>80.20 Security systems service activities</t>
  </si>
  <si>
    <t>http://data.europa.eu/ux2/nace2/8020</t>
  </si>
  <si>
    <t>8030</t>
  </si>
  <si>
    <t>80.30 Investigation activities</t>
  </si>
  <si>
    <t>http://data.europa.eu/ux2/nace2/8030</t>
  </si>
  <si>
    <t>8110</t>
  </si>
  <si>
    <t>81.10 Combined facilities support activities</t>
  </si>
  <si>
    <t>http://data.europa.eu/ux2/nace2/8110</t>
  </si>
  <si>
    <t>8121</t>
  </si>
  <si>
    <t>81.21 General cleaning of buildings</t>
  </si>
  <si>
    <t>http://data.europa.eu/ux2/nace2/8121</t>
  </si>
  <si>
    <t>8122</t>
  </si>
  <si>
    <t>81.22 Other building and industrial cleaning activities</t>
  </si>
  <si>
    <t>http://data.europa.eu/ux2/nace2/8122</t>
  </si>
  <si>
    <t>8129</t>
  </si>
  <si>
    <t>81.29 Other cleaning activities</t>
  </si>
  <si>
    <t>http://data.europa.eu/ux2/nace2/8129</t>
  </si>
  <si>
    <t>8130</t>
  </si>
  <si>
    <t>81.30 Landscape service activities</t>
  </si>
  <si>
    <t>http://data.europa.eu/ux2/nace2/8130</t>
  </si>
  <si>
    <t>8211</t>
  </si>
  <si>
    <t>82.11 Combined office administrative service activities</t>
  </si>
  <si>
    <t>http://data.europa.eu/ux2/nace2/8211</t>
  </si>
  <si>
    <t>8219</t>
  </si>
  <si>
    <t>82.19 Photocopying, document preparation and other specialised office support activities</t>
  </si>
  <si>
    <t>http://data.europa.eu/ux2/nace2/8219</t>
  </si>
  <si>
    <t>8220</t>
  </si>
  <si>
    <t>82.20 Activities of call centres</t>
  </si>
  <si>
    <t>http://data.europa.eu/ux2/nace2/8220</t>
  </si>
  <si>
    <t>8230</t>
  </si>
  <si>
    <t>82.30 Organisation of conventions and trade shows</t>
  </si>
  <si>
    <t>http://data.europa.eu/ux2/nace2/8230</t>
  </si>
  <si>
    <t>8291</t>
  </si>
  <si>
    <t>82.91 Activities of collection agencies and credit bureaus</t>
  </si>
  <si>
    <t>http://data.europa.eu/ux2/nace2/8291</t>
  </si>
  <si>
    <t>8292</t>
  </si>
  <si>
    <t>82.92 Packaging activities</t>
  </si>
  <si>
    <t>http://data.europa.eu/ux2/nace2/8292</t>
  </si>
  <si>
    <t>8299</t>
  </si>
  <si>
    <t>82.99 Other business support service activities n.e.c.</t>
  </si>
  <si>
    <t>http://data.europa.eu/ux2/nace2/8299</t>
  </si>
  <si>
    <t>8411</t>
  </si>
  <si>
    <t>84.11 General public administration activities</t>
  </si>
  <si>
    <t>http://data.europa.eu/ux2/nace2/8411</t>
  </si>
  <si>
    <t>8412</t>
  </si>
  <si>
    <t>84.12 Regulation of the activities of providing health care, education, cultural services and other social services, excluding social security</t>
  </si>
  <si>
    <t>http://data.europa.eu/ux2/nace2/8412</t>
  </si>
  <si>
    <t>8413</t>
  </si>
  <si>
    <t>84.13 Regulation of and contribution to more efficient operation of businesses</t>
  </si>
  <si>
    <t>http://data.europa.eu/ux2/nace2/8413</t>
  </si>
  <si>
    <t>8421</t>
  </si>
  <si>
    <t>84.21 Foreign affairs</t>
  </si>
  <si>
    <t>http://data.europa.eu/ux2/nace2/8421</t>
  </si>
  <si>
    <t>8422</t>
  </si>
  <si>
    <t>84.22 Defence activities</t>
  </si>
  <si>
    <t>http://data.europa.eu/ux2/nace2/8422</t>
  </si>
  <si>
    <t>8423</t>
  </si>
  <si>
    <t>84.23 Justice and judicial activities</t>
  </si>
  <si>
    <t>http://data.europa.eu/ux2/nace2/8423</t>
  </si>
  <si>
    <t>8424</t>
  </si>
  <si>
    <t>84.24 Public order and safety activities</t>
  </si>
  <si>
    <t>http://data.europa.eu/ux2/nace2/8424</t>
  </si>
  <si>
    <t>8425</t>
  </si>
  <si>
    <t>84.25 Fire service activities</t>
  </si>
  <si>
    <t>http://data.europa.eu/ux2/nace2/8425</t>
  </si>
  <si>
    <t>8430</t>
  </si>
  <si>
    <t>84.30 Compulsory social security activities</t>
  </si>
  <si>
    <t>http://data.europa.eu/ux2/nace2/8430</t>
  </si>
  <si>
    <t>8510</t>
  </si>
  <si>
    <t>85.10 Pre-primary education</t>
  </si>
  <si>
    <t>http://data.europa.eu/ux2/nace2/8510</t>
  </si>
  <si>
    <t>8520</t>
  </si>
  <si>
    <t>85.20 Primary education</t>
  </si>
  <si>
    <t>http://data.europa.eu/ux2/nace2/8520</t>
  </si>
  <si>
    <t>8531</t>
  </si>
  <si>
    <t>85.31 General secondary education</t>
  </si>
  <si>
    <t>http://data.europa.eu/ux2/nace2/8531</t>
  </si>
  <si>
    <t>8532</t>
  </si>
  <si>
    <t>85.32 Technical and vocational secondary education</t>
  </si>
  <si>
    <t>http://data.europa.eu/ux2/nace2/8532</t>
  </si>
  <si>
    <t>8541</t>
  </si>
  <si>
    <t>85.41 Post-secondary non-tertiary education</t>
  </si>
  <si>
    <t>http://data.europa.eu/ux2/nace2/8541</t>
  </si>
  <si>
    <t>8542</t>
  </si>
  <si>
    <t>85.42 Tertiary education</t>
  </si>
  <si>
    <t>http://data.europa.eu/ux2/nace2/8542</t>
  </si>
  <si>
    <t>8551</t>
  </si>
  <si>
    <t>85.51 Sports and recreation education</t>
  </si>
  <si>
    <t>http://data.europa.eu/ux2/nace2/8551</t>
  </si>
  <si>
    <t>8552</t>
  </si>
  <si>
    <t>85.52 Cultural education</t>
  </si>
  <si>
    <t>http://data.europa.eu/ux2/nace2/8552</t>
  </si>
  <si>
    <t>8553</t>
  </si>
  <si>
    <t>85.53 Driving school activities</t>
  </si>
  <si>
    <t>http://data.europa.eu/ux2/nace2/8553</t>
  </si>
  <si>
    <t>8559</t>
  </si>
  <si>
    <t>85.59 Other education n.e.c.</t>
  </si>
  <si>
    <t>http://data.europa.eu/ux2/nace2/8559</t>
  </si>
  <si>
    <t>8560</t>
  </si>
  <si>
    <t>85.60 Educational support activities</t>
  </si>
  <si>
    <t>http://data.europa.eu/ux2/nace2/8560</t>
  </si>
  <si>
    <t>8610</t>
  </si>
  <si>
    <t>86.10 Hospital activities</t>
  </si>
  <si>
    <t>http://data.europa.eu/ux2/nace2/8610</t>
  </si>
  <si>
    <t>8621</t>
  </si>
  <si>
    <t>86.21 General medical practice activities</t>
  </si>
  <si>
    <t>http://data.europa.eu/ux2/nace2/8621</t>
  </si>
  <si>
    <t>8622</t>
  </si>
  <si>
    <t>86.22 Specialist medical practice activities</t>
  </si>
  <si>
    <t>http://data.europa.eu/ux2/nace2/8622</t>
  </si>
  <si>
    <t>8623</t>
  </si>
  <si>
    <t>86.23 Dental practice activities</t>
  </si>
  <si>
    <t>http://data.europa.eu/ux2/nace2/8623</t>
  </si>
  <si>
    <t>8690</t>
  </si>
  <si>
    <t>86.90 Other human health activities</t>
  </si>
  <si>
    <t>http://data.europa.eu/ux2/nace2/8690</t>
  </si>
  <si>
    <t>8710</t>
  </si>
  <si>
    <t>87.10 Residential nursing care activities</t>
  </si>
  <si>
    <t>http://data.europa.eu/ux2/nace2/8710</t>
  </si>
  <si>
    <t>8720</t>
  </si>
  <si>
    <t>87.20 Residential care activities for mental retardation, mental health and substance abuse</t>
  </si>
  <si>
    <t>http://data.europa.eu/ux2/nace2/8720</t>
  </si>
  <si>
    <t>8730</t>
  </si>
  <si>
    <t>87.30 Residential care activities for the elderly and disabled</t>
  </si>
  <si>
    <t>http://data.europa.eu/ux2/nace2/8730</t>
  </si>
  <si>
    <t>8790</t>
  </si>
  <si>
    <t>87.90 Other residential care activities</t>
  </si>
  <si>
    <t>http://data.europa.eu/ux2/nace2/8790</t>
  </si>
  <si>
    <t>8810</t>
  </si>
  <si>
    <t>88.10 Social work activities without accommodation for the elderly and disabled</t>
  </si>
  <si>
    <t>http://data.europa.eu/ux2/nace2/8810</t>
  </si>
  <si>
    <t>8891</t>
  </si>
  <si>
    <t>88.91 Child day-care activities</t>
  </si>
  <si>
    <t>http://data.europa.eu/ux2/nace2/8891</t>
  </si>
  <si>
    <t>8899</t>
  </si>
  <si>
    <t>88.99 Other social work activities without accommodation n.e.c.</t>
  </si>
  <si>
    <t>http://data.europa.eu/ux2/nace2/8899</t>
  </si>
  <si>
    <t>9001</t>
  </si>
  <si>
    <t>90.01 Performing arts</t>
  </si>
  <si>
    <t>http://data.europa.eu/ux2/nace2/9001</t>
  </si>
  <si>
    <t>9002</t>
  </si>
  <si>
    <t>90.02 Support activities to performing arts</t>
  </si>
  <si>
    <t>http://data.europa.eu/ux2/nace2/9002</t>
  </si>
  <si>
    <t>9003</t>
  </si>
  <si>
    <t>90.03 Artistic creation</t>
  </si>
  <si>
    <t>http://data.europa.eu/ux2/nace2/9003</t>
  </si>
  <si>
    <t>9004</t>
  </si>
  <si>
    <t>90.04 Operation of arts facilities</t>
  </si>
  <si>
    <t>http://data.europa.eu/ux2/nace2/9004</t>
  </si>
  <si>
    <t>9101</t>
  </si>
  <si>
    <t>91.01 Library and archives activities</t>
  </si>
  <si>
    <t>http://data.europa.eu/ux2/nace2/9101</t>
  </si>
  <si>
    <t>9102</t>
  </si>
  <si>
    <t>91.02 Museums activities</t>
  </si>
  <si>
    <t>http://data.europa.eu/ux2/nace2/9102</t>
  </si>
  <si>
    <t>9103</t>
  </si>
  <si>
    <t>91.03 Operation of historical sites and buildings and similar visitor attractions</t>
  </si>
  <si>
    <t>http://data.europa.eu/ux2/nace2/9103</t>
  </si>
  <si>
    <t>9104</t>
  </si>
  <si>
    <t>91.04 Botanical and zoological gardens and nature reserves activities</t>
  </si>
  <si>
    <t>http://data.europa.eu/ux2/nace2/9104</t>
  </si>
  <si>
    <t>9200</t>
  </si>
  <si>
    <t>92.00 Gambling and betting activities</t>
  </si>
  <si>
    <t>http://data.europa.eu/ux2/nace2/9200</t>
  </si>
  <si>
    <t>9311</t>
  </si>
  <si>
    <t>93.11 Operation of sports facilities</t>
  </si>
  <si>
    <t>http://data.europa.eu/ux2/nace2/9311</t>
  </si>
  <si>
    <t>9312</t>
  </si>
  <si>
    <t>93.12 Activities of sports clubs</t>
  </si>
  <si>
    <t>http://data.europa.eu/ux2/nace2/9312</t>
  </si>
  <si>
    <t>9313</t>
  </si>
  <si>
    <t>93.13 Fitness facilities</t>
  </si>
  <si>
    <t>http://data.europa.eu/ux2/nace2/9313</t>
  </si>
  <si>
    <t>9319</t>
  </si>
  <si>
    <t>93.19 Other sports activities</t>
  </si>
  <si>
    <t>http://data.europa.eu/ux2/nace2/9319</t>
  </si>
  <si>
    <t>9321</t>
  </si>
  <si>
    <t>93.21 Activities of amusement parks and theme parks</t>
  </si>
  <si>
    <t>http://data.europa.eu/ux2/nace2/9321</t>
  </si>
  <si>
    <t>9329</t>
  </si>
  <si>
    <t>93.29 Other amusement and recreation activities</t>
  </si>
  <si>
    <t>http://data.europa.eu/ux2/nace2/9329</t>
  </si>
  <si>
    <t>9411</t>
  </si>
  <si>
    <t>94.11 Activities of business and employers membership organisations</t>
  </si>
  <si>
    <t>http://data.europa.eu/ux2/nace2/9411</t>
  </si>
  <si>
    <t>9412</t>
  </si>
  <si>
    <t>94.12 Activities of professional membership organisations</t>
  </si>
  <si>
    <t>http://data.europa.eu/ux2/nace2/9412</t>
  </si>
  <si>
    <t>9420</t>
  </si>
  <si>
    <t>94.20 Activities of trade unions</t>
  </si>
  <si>
    <t>http://data.europa.eu/ux2/nace2/9420</t>
  </si>
  <si>
    <t>9491</t>
  </si>
  <si>
    <t>94.91 Activities of religious organisations</t>
  </si>
  <si>
    <t>http://data.europa.eu/ux2/nace2/9491</t>
  </si>
  <si>
    <t>9492</t>
  </si>
  <si>
    <t>94.92 Activities of political organisations</t>
  </si>
  <si>
    <t>http://data.europa.eu/ux2/nace2/9492</t>
  </si>
  <si>
    <t>9499</t>
  </si>
  <si>
    <t>94.99 Activities of other membership organisations n.e.c.</t>
  </si>
  <si>
    <t>http://data.europa.eu/ux2/nace2/9499</t>
  </si>
  <si>
    <t>9511</t>
  </si>
  <si>
    <t>95.11 Repair of computers and peripheral equipment</t>
  </si>
  <si>
    <t>http://data.europa.eu/ux2/nace2/9511</t>
  </si>
  <si>
    <t>9512</t>
  </si>
  <si>
    <t>95.12 Repair of communication equipment</t>
  </si>
  <si>
    <t>http://data.europa.eu/ux2/nace2/9512</t>
  </si>
  <si>
    <t>9521</t>
  </si>
  <si>
    <t>95.21 Repair of consumer electronics</t>
  </si>
  <si>
    <t>http://data.europa.eu/ux2/nace2/9521</t>
  </si>
  <si>
    <t>9522</t>
  </si>
  <si>
    <t>95.22 Repair of household appliances and home and garden equipment</t>
  </si>
  <si>
    <t>http://data.europa.eu/ux2/nace2/9522</t>
  </si>
  <si>
    <t>9523</t>
  </si>
  <si>
    <t>95.23 Repair of footwear and leather goods</t>
  </si>
  <si>
    <t>http://data.europa.eu/ux2/nace2/9523</t>
  </si>
  <si>
    <t>9524</t>
  </si>
  <si>
    <t>95.24 Repair of furniture and home furnishings</t>
  </si>
  <si>
    <t>http://data.europa.eu/ux2/nace2/9524</t>
  </si>
  <si>
    <t>9525</t>
  </si>
  <si>
    <t>95.25 Repair of watches, clocks and jewellery</t>
  </si>
  <si>
    <t>http://data.europa.eu/ux2/nace2/9525</t>
  </si>
  <si>
    <t>9529</t>
  </si>
  <si>
    <t>95.29 Repair of other personal and household goods</t>
  </si>
  <si>
    <t>http://data.europa.eu/ux2/nace2/9529</t>
  </si>
  <si>
    <t>9601</t>
  </si>
  <si>
    <t>96.01 Washing and (dry-)cleaning of textile and fur products</t>
  </si>
  <si>
    <t>http://data.europa.eu/ux2/nace2/9601</t>
  </si>
  <si>
    <t>9602</t>
  </si>
  <si>
    <t>96.02 Hairdressing and other beauty treatment</t>
  </si>
  <si>
    <t>http://data.europa.eu/ux2/nace2/9602</t>
  </si>
  <si>
    <t>9603</t>
  </si>
  <si>
    <t>96.03 Funeral and related activities</t>
  </si>
  <si>
    <t>http://data.europa.eu/ux2/nace2/9603</t>
  </si>
  <si>
    <t>9604</t>
  </si>
  <si>
    <t>96.04 Physical well-being activities</t>
  </si>
  <si>
    <t>http://data.europa.eu/ux2/nace2/9604</t>
  </si>
  <si>
    <t>9609</t>
  </si>
  <si>
    <t>96.09 Other personal service activities n.e.c.</t>
  </si>
  <si>
    <t>http://data.europa.eu/ux2/nace2/9609</t>
  </si>
  <si>
    <t>9700</t>
  </si>
  <si>
    <t>97.00 Activities of households as employers of domestic personnel</t>
  </si>
  <si>
    <t>http://data.europa.eu/ux2/nace2/9700</t>
  </si>
  <si>
    <t>9810</t>
  </si>
  <si>
    <t>98.10 Undifferentiated goods-producing activities of private households for own use</t>
  </si>
  <si>
    <t>http://data.europa.eu/ux2/nace2/9810</t>
  </si>
  <si>
    <t>9820</t>
  </si>
  <si>
    <t>98.20 Undifferentiated service-producing activities of private households for own use</t>
  </si>
  <si>
    <t>http://data.europa.eu/ux2/nace2/9820</t>
  </si>
  <si>
    <t>9900</t>
  </si>
  <si>
    <t>99.00 Activities of extraterritorial organisations and bodies</t>
  </si>
  <si>
    <t>http://data.europa.eu/ux2/nace2/9900</t>
  </si>
  <si>
    <t>level</t>
  </si>
  <si>
    <t>name_clean</t>
  </si>
  <si>
    <t>label_original</t>
  </si>
  <si>
    <t>parent_code</t>
  </si>
  <si>
    <t>uri</t>
  </si>
  <si>
    <t>22.2 Manufacture of plastics products</t>
  </si>
  <si>
    <t>nace_level</t>
  </si>
  <si>
    <t>nace_code</t>
  </si>
  <si>
    <t>mapping_quality</t>
  </si>
  <si>
    <t>good</t>
  </si>
  <si>
    <t>Electricity, gas, steam and air conditioning supply</t>
  </si>
  <si>
    <t>approximate</t>
  </si>
  <si>
    <t>Manufacture of refined petroleum products</t>
  </si>
  <si>
    <t>exact</t>
  </si>
  <si>
    <t>Manufacture of coke oven products</t>
  </si>
  <si>
    <t>Manufacture of basic iron and steel and of ferro-alloys</t>
  </si>
  <si>
    <t>Manufacture of tubes, pipes, hollow profiles and related fittings, of steel</t>
  </si>
  <si>
    <t>Manufacture of other products of first processing of steel</t>
  </si>
  <si>
    <t>Manufacture of basic precious and other non-ferrous metals</t>
  </si>
  <si>
    <t>Manufacture of cement, lime and plaster</t>
  </si>
  <si>
    <t>Manufacture of glass and glass products</t>
  </si>
  <si>
    <t>Manufacture of refractory products</t>
  </si>
  <si>
    <t>Manufacture of clay building materials</t>
  </si>
  <si>
    <t>Manufacture of other porcelain and ceramic products</t>
  </si>
  <si>
    <t>Manufacture of abrasive products and non-metallic mineral products n.e.c.</t>
  </si>
  <si>
    <t>Manufacture of articles of concrete, cement and plaster</t>
  </si>
  <si>
    <t>Manufacture of pulp, paper and paperboard</t>
  </si>
  <si>
    <t>Manufacture of basic chemicals, fertilisers and nitrogen compounds, plastics and synthetic rubber in primary forms</t>
  </si>
  <si>
    <t>Remediation activities and other waste management services</t>
  </si>
  <si>
    <t>Aluminium production</t>
  </si>
  <si>
    <t>Passenger air transport</t>
  </si>
  <si>
    <t>Freight air transport and space transport</t>
  </si>
  <si>
    <t>broad combined</t>
  </si>
  <si>
    <t>Sea and coastal passenger water transport</t>
  </si>
  <si>
    <t>Sea and coastal freight water transport</t>
  </si>
  <si>
    <t>cleaning_action</t>
  </si>
  <si>
    <t>exclusivity_note</t>
  </si>
  <si>
    <t>None</t>
  </si>
  <si>
    <t>Combine ETS activities</t>
  </si>
  <si>
    <t>Combine NACE cat</t>
  </si>
  <si>
    <t>Production of carbon black, nitric acid, adipic acid, glyoxal and glyoxylic acid, ammonia, bulk chemicals, hydrogen and synthesis gas, soda ash and sodium bicarbonate</t>
  </si>
  <si>
    <t>Metal ore roasting/sintering and production of pig iron/steel</t>
  </si>
  <si>
    <t>nace_label_original</t>
  </si>
  <si>
    <t>ets_activity_name_original</t>
  </si>
  <si>
    <t>mapped_uniq_ets_cnt</t>
  </si>
  <si>
    <t>mapped_uniq_nace_cnt</t>
  </si>
  <si>
    <t>Production of pulp, paper and cardboard</t>
  </si>
  <si>
    <t>Same NACE level-3 code intentionally reused; aggregate ETS rows to this NACE code before regression</t>
  </si>
  <si>
    <t>Exclusive NACE level-1-3 code; no selected parent/child overlap</t>
  </si>
  <si>
    <t>ETS activity is broader than selected NACE level-3 categories; sum NACE rows before regression</t>
  </si>
  <si>
    <t>Production of cement clinker and lime</t>
  </si>
  <si>
    <t>ETS activity is broader than selected NACE level-3 categories; sum NACE rows before regression; NACE 245 Casting of metals omitted because SBS level 3 cannot split ferrous and non-ferrous casting without overlap</t>
  </si>
  <si>
    <t>Production of primary aluminium, secondary aluminium and other non-ferrous metals</t>
  </si>
  <si>
    <t>Same NACE level-3 code intentionally reused; aggregate ETS rows to this NACE code before regression; NACE 245 Casting of metals omitted because SBS level 3 cannot split ferrous and non-ferrous casting without overlap</t>
  </si>
  <si>
    <t>Sea and coastal passenger water transport, Sea and coastal freight water transport</t>
  </si>
  <si>
    <t>Passenger air transport, Freight air transport and space transport</t>
  </si>
  <si>
    <t>Manufacture of refractory products, clay building materials, other porcelain and ceramic products</t>
  </si>
  <si>
    <t>Manufacture of tubes, pipes, hollow profiles and related fittings, of steel, other products of first processing of steel</t>
  </si>
  <si>
    <t>ets_activity_code_agg</t>
  </si>
  <si>
    <t>ets_activity_name_agg</t>
  </si>
  <si>
    <t>nace_code_agg</t>
  </si>
  <si>
    <t>nace_label_agg</t>
  </si>
  <si>
    <t>has_ets_activity</t>
  </si>
  <si>
    <t>nace_level</t>
  </si>
  <si>
    <t>nace_code</t>
  </si>
  <si>
    <t>nace_label_original</t>
  </si>
  <si>
    <t>nace_code_agg</t>
  </si>
  <si>
    <t>nace_label_agg</t>
  </si>
  <si>
    <t>mapped_uniq_ets_cnt</t>
  </si>
  <si>
    <t>cleaning_action</t>
  </si>
  <si>
    <t>ets_activity_code</t>
  </si>
  <si>
    <t>ets_activity_name_original</t>
  </si>
  <si>
    <t>ets_activity_code_agg</t>
  </si>
  <si>
    <t>ets_activity_name_agg</t>
  </si>
  <si>
    <t>mapped_uniq_nace_cnt</t>
  </si>
  <si>
    <t>mapping_quality</t>
  </si>
  <si>
    <t>exclusivity_note</t>
  </si>
  <si>
    <t>171</t>
  </si>
  <si>
    <t>Manufacture of pulp, paper and paperboard</t>
  </si>
  <si>
    <t>Combine ETS activities</t>
  </si>
  <si>
    <t>35</t>
  </si>
  <si>
    <t>Production of pulp</t>
  </si>
  <si>
    <t>35, 36</t>
  </si>
  <si>
    <t>Production of pulp, paper and cardboard</t>
  </si>
  <si>
    <t>broad combined</t>
  </si>
  <si>
    <t>Same NACE level-3 code intentionally reused; aggregate ETS rows to this NACE code before regression</t>
  </si>
  <si>
    <t>36</t>
  </si>
  <si>
    <t>Production of paper or cardboard</t>
  </si>
  <si>
    <t>191</t>
  </si>
  <si>
    <t>Manufacture of coke oven products</t>
  </si>
  <si>
    <t>None</t>
  </si>
  <si>
    <t>22</t>
  </si>
  <si>
    <t>Production of coke</t>
  </si>
  <si>
    <t>exact</t>
  </si>
  <si>
    <t>Exclusive NACE level-1-3 code; no selected parent/child overlap</t>
  </si>
  <si>
    <t>192</t>
  </si>
  <si>
    <t>Manufacture of refined petroleum products</t>
  </si>
  <si>
    <t>21</t>
  </si>
  <si>
    <t>Refining of mineral oil</t>
  </si>
  <si>
    <t>201</t>
  </si>
  <si>
    <t>Manufacture of basic chemicals, fertilisers and nitrogen compounds, plastics and synthetic rubber in primary forms</t>
  </si>
  <si>
    <t>37</t>
  </si>
  <si>
    <t>Production of carbon black</t>
  </si>
  <si>
    <t>37, 38, 39, 40, 41, 42, 43, 44</t>
  </si>
  <si>
    <t>Production of carbon black, nitric acid, adipic acid, glyoxal and glyoxylic acid, ammonia, bulk chemicals, hydrogen and synthesis gas, soda ash and sodium bicarbonate</t>
  </si>
  <si>
    <t>38</t>
  </si>
  <si>
    <t>Production of nitric acid</t>
  </si>
  <si>
    <t>39</t>
  </si>
  <si>
    <t>Production of adipic acid</t>
  </si>
  <si>
    <t>40</t>
  </si>
  <si>
    <t>Production of glyoxal and glyoxylic acid</t>
  </si>
  <si>
    <t>41</t>
  </si>
  <si>
    <t>Production of ammonia</t>
  </si>
  <si>
    <t>42</t>
  </si>
  <si>
    <t>Production of bulk chemicals</t>
  </si>
  <si>
    <t>43</t>
  </si>
  <si>
    <t>Production of hydrogen and synthesis gas</t>
  </si>
  <si>
    <t>44</t>
  </si>
  <si>
    <t>Production of soda ash and sodium bicarbonate</t>
  </si>
  <si>
    <t>231</t>
  </si>
  <si>
    <t>Manufacture of glass and glass products</t>
  </si>
  <si>
    <t>31</t>
  </si>
  <si>
    <t>Manufacture of glass</t>
  </si>
  <si>
    <t>good</t>
  </si>
  <si>
    <t>232</t>
  </si>
  <si>
    <t>Manufacture of refractory products</t>
  </si>
  <si>
    <t>232, 233, 234</t>
  </si>
  <si>
    <t>Manufacture of refractory products, clay building materials, other porcelain and ceramic products</t>
  </si>
  <si>
    <t>Combine NACE cat</t>
  </si>
  <si>
    <t>32</t>
  </si>
  <si>
    <t>Manufacture of ceramics</t>
  </si>
  <si>
    <t>ETS activity is broader than selected NACE level-3 categories; sum NACE rows before regression</t>
  </si>
  <si>
    <t>233</t>
  </si>
  <si>
    <t>Manufacture of clay building materials</t>
  </si>
  <si>
    <t>234</t>
  </si>
  <si>
    <t>Manufacture of other porcelain and ceramic products</t>
  </si>
  <si>
    <t>235</t>
  </si>
  <si>
    <t>Manufacture of cement, lime and plaster</t>
  </si>
  <si>
    <t>29</t>
  </si>
  <si>
    <t>Production of cement clinker</t>
  </si>
  <si>
    <t>29, 30</t>
  </si>
  <si>
    <t>Production of cement clinker and lime</t>
  </si>
  <si>
    <t>30</t>
  </si>
  <si>
    <t>Production of lime, or calcination of dolomite/magnesite</t>
  </si>
  <si>
    <t>236</t>
  </si>
  <si>
    <t>Manufacture of articles of concrete, cement and plaster</t>
  </si>
  <si>
    <t>34</t>
  </si>
  <si>
    <t>Production or processing of gypsum or plasterboard</t>
  </si>
  <si>
    <t>approximate</t>
  </si>
  <si>
    <t>239</t>
  </si>
  <si>
    <t>Manufacture of abrasive products and non-metallic mineral products n.e.c.</t>
  </si>
  <si>
    <t>33</t>
  </si>
  <si>
    <t>Manufacture of mineral wool</t>
  </si>
  <si>
    <t>241</t>
  </si>
  <si>
    <t>Manufacture of basic iron and steel and of ferro-alloys</t>
  </si>
  <si>
    <t>23</t>
  </si>
  <si>
    <t>Metal ore roasting or sintering</t>
  </si>
  <si>
    <t>23, 24</t>
  </si>
  <si>
    <t>Metal ore roasting/sintering and production of pig iron/steel</t>
  </si>
  <si>
    <t>24</t>
  </si>
  <si>
    <t>Production of pig iron or steel</t>
  </si>
  <si>
    <t>242</t>
  </si>
  <si>
    <t>Manufacture of tubes, pipes, hollow profiles and related fittings, of steel</t>
  </si>
  <si>
    <t>242, 243</t>
  </si>
  <si>
    <t>Manufacture of tubes, pipes, hollow profiles and related fittings, of steel, other products of first processing of steel</t>
  </si>
  <si>
    <t>25</t>
  </si>
  <si>
    <t>Production or processing of ferrous metals</t>
  </si>
  <si>
    <t>ETS activity is broader than selected NACE level-3 categories; sum NACE rows before regression; NACE 245 Casting of metals omitted because SBS level 3 cannot split ferrous and non-ferrous casting without overlap</t>
  </si>
  <si>
    <t>243</t>
  </si>
  <si>
    <t>Manufacture of other products of first processing of steel</t>
  </si>
  <si>
    <t>244</t>
  </si>
  <si>
    <t>Manufacture of basic precious and other non-ferrous metals</t>
  </si>
  <si>
    <t>28</t>
  </si>
  <si>
    <t>Production or processing of non-ferrous metals</t>
  </si>
  <si>
    <t>28, 26, 27</t>
  </si>
  <si>
    <t>Production of primary aluminium, secondary aluminium and other non-ferrous metals</t>
  </si>
  <si>
    <t>Same NACE level-3 code intentionally reused; aggregate ETS rows to this NACE code before regression; NACE 245 Casting of metals omitted because SBS level 3 cannot split ferrous and non-ferrous casting without overlap</t>
  </si>
  <si>
    <t>26</t>
  </si>
  <si>
    <t>Production of primary aluminium</t>
  </si>
  <si>
    <t>27</t>
  </si>
  <si>
    <t>Production of secondary aluminium</t>
  </si>
  <si>
    <t>Electricity, gas, steam and air conditioning supply</t>
  </si>
  <si>
    <t>20</t>
  </si>
  <si>
    <t>Combustion of fuels</t>
  </si>
  <si>
    <t>Remediation activities and other waste management services</t>
  </si>
  <si>
    <t>45</t>
  </si>
  <si>
    <t>Capture of greenhouse gases under Directive 2009/31/EC</t>
  </si>
  <si>
    <t>501</t>
  </si>
  <si>
    <t>Sea and coastal passenger water transport</t>
  </si>
  <si>
    <t>501, 502</t>
  </si>
  <si>
    <t>Sea and coastal passenger water transport, Sea and coastal freight water transport</t>
  </si>
  <si>
    <t>50</t>
  </si>
  <si>
    <t>Maritime Transport</t>
  </si>
  <si>
    <t>502</t>
  </si>
  <si>
    <t>Sea and coastal freight water transport</t>
  </si>
  <si>
    <t>511</t>
  </si>
  <si>
    <t>Passenger air transport</t>
  </si>
  <si>
    <t>511, 512</t>
  </si>
  <si>
    <t>Passenger air transport, Freight air transport and space transport</t>
  </si>
  <si>
    <t>10</t>
  </si>
  <si>
    <t>Aviation</t>
  </si>
  <si>
    <t>512</t>
  </si>
  <si>
    <t>Freight air transport and space transport</t>
  </si>
  <si>
    <t>01</t>
  </si>
  <si>
    <t>Crop and animal production, hunting and related service activities</t>
  </si>
  <si>
    <t>Append unmapped NACE activity</t>
  </si>
  <si>
    <t>unmapped NACE-only</t>
  </si>
  <si>
    <t>Level-2 activity from a section without any mapped NACE activity</t>
  </si>
  <si>
    <t>02</t>
  </si>
  <si>
    <t>Forestry and logging</t>
  </si>
  <si>
    <t>03</t>
  </si>
  <si>
    <t>Fishing and aquaculture</t>
  </si>
  <si>
    <t>05</t>
  </si>
  <si>
    <t>Mining of coal and lignite</t>
  </si>
  <si>
    <t>06</t>
  </si>
  <si>
    <t>Extraction of crude petroleum and natural gas</t>
  </si>
  <si>
    <t>07</t>
  </si>
  <si>
    <t>Mining of metal ores</t>
  </si>
  <si>
    <t>08</t>
  </si>
  <si>
    <t>Other mining and quarrying</t>
  </si>
  <si>
    <t>09</t>
  </si>
  <si>
    <t>Mining support service activities</t>
  </si>
  <si>
    <t>Water collection, treatment and supply</t>
  </si>
  <si>
    <t>Unmapped sibling at the same level as a mapped NACE activity</t>
  </si>
  <si>
    <t>Sewerage</t>
  </si>
  <si>
    <t>Waste collection, treatment and disposal activities; materials recovery</t>
  </si>
  <si>
    <t>Construction of buildings</t>
  </si>
  <si>
    <t>Civil engineering</t>
  </si>
  <si>
    <t>Specialised construction activities</t>
  </si>
  <si>
    <t>Wholesale and retail trade and repair of motor vehicles and motorcycles</t>
  </si>
  <si>
    <t>46</t>
  </si>
  <si>
    <t>Wholesale trade, except of motor vehicles and motorcycles</t>
  </si>
  <si>
    <t>47</t>
  </si>
  <si>
    <t>Retail trade, except of motor vehicles and motorcycles</t>
  </si>
  <si>
    <t>55</t>
  </si>
  <si>
    <t>Accommodation</t>
  </si>
  <si>
    <t>56</t>
  </si>
  <si>
    <t>Food and beverage service activities</t>
  </si>
  <si>
    <t>58</t>
  </si>
  <si>
    <t>Publishing activities</t>
  </si>
  <si>
    <t>59</t>
  </si>
  <si>
    <t>Motion picture, video and television programme production, sound recording and music publishing activities</t>
  </si>
  <si>
    <t>60</t>
  </si>
  <si>
    <t>Programming and broadcasting activities</t>
  </si>
  <si>
    <t>61</t>
  </si>
  <si>
    <t>Telecommunications</t>
  </si>
  <si>
    <t>62</t>
  </si>
  <si>
    <t>Computer programming, consultancy and related activities</t>
  </si>
  <si>
    <t>63</t>
  </si>
  <si>
    <t>Information service activities</t>
  </si>
  <si>
    <t>64</t>
  </si>
  <si>
    <t>Financial service activities, except insurance and pension funding</t>
  </si>
  <si>
    <t>65</t>
  </si>
  <si>
    <t>Insurance, reinsurance and pension funding, except compulsory social security</t>
  </si>
  <si>
    <t>66</t>
  </si>
  <si>
    <t>Activities auxiliary to financial services and insurance activities</t>
  </si>
  <si>
    <t>68</t>
  </si>
  <si>
    <t>Real estate activities</t>
  </si>
  <si>
    <t>69</t>
  </si>
  <si>
    <t>Legal and accounting activities</t>
  </si>
  <si>
    <t>70</t>
  </si>
  <si>
    <t>Activities of head offices; management consultancy activities</t>
  </si>
  <si>
    <t>71</t>
  </si>
  <si>
    <t>Architectural and engineering activities; technical testing and analysis</t>
  </si>
  <si>
    <t>72</t>
  </si>
  <si>
    <t>Scientific research and development</t>
  </si>
  <si>
    <t>73</t>
  </si>
  <si>
    <t>Advertising and market research</t>
  </si>
  <si>
    <t>74</t>
  </si>
  <si>
    <t>Other professional, scientific and technical activities</t>
  </si>
  <si>
    <t>75</t>
  </si>
  <si>
    <t>Veterinary activities</t>
  </si>
  <si>
    <t>77</t>
  </si>
  <si>
    <t>Rental and leasing activities</t>
  </si>
  <si>
    <t>78</t>
  </si>
  <si>
    <t>Employment activities</t>
  </si>
  <si>
    <t>79</t>
  </si>
  <si>
    <t>Travel agency, tour operator and other reservation service and related activities</t>
  </si>
  <si>
    <t>80</t>
  </si>
  <si>
    <t>Security and investigation activities</t>
  </si>
  <si>
    <t>81</t>
  </si>
  <si>
    <t>Services to buildings and landscape activities</t>
  </si>
  <si>
    <t>82</t>
  </si>
  <si>
    <t>Office administrative, office support and other business support activities</t>
  </si>
  <si>
    <t>84</t>
  </si>
  <si>
    <t>Public administration and defence; compulsory social security</t>
  </si>
  <si>
    <t>85</t>
  </si>
  <si>
    <t>Education</t>
  </si>
  <si>
    <t>86</t>
  </si>
  <si>
    <t>Human health activities</t>
  </si>
  <si>
    <t>87</t>
  </si>
  <si>
    <t>Residential care activities</t>
  </si>
  <si>
    <t>88</t>
  </si>
  <si>
    <t>Social work activities without accommodation</t>
  </si>
  <si>
    <t>90</t>
  </si>
  <si>
    <t>Creative, arts and entertainment activities</t>
  </si>
  <si>
    <t>91</t>
  </si>
  <si>
    <t>Libraries, archives, museums and other cultural activities</t>
  </si>
  <si>
    <t>92</t>
  </si>
  <si>
    <t>Gambling and betting activities</t>
  </si>
  <si>
    <t>93</t>
  </si>
  <si>
    <t>Sports activities and amusement and recreation activities</t>
  </si>
  <si>
    <t>94</t>
  </si>
  <si>
    <t>Activities of membership organisations</t>
  </si>
  <si>
    <t>95</t>
  </si>
  <si>
    <t>Repair of computers and personal and household goods</t>
  </si>
  <si>
    <t>96</t>
  </si>
  <si>
    <t>Other personal service activities</t>
  </si>
  <si>
    <t>97</t>
  </si>
  <si>
    <t>Activities of households as employers of domestic personnel</t>
  </si>
  <si>
    <t>98</t>
  </si>
  <si>
    <t>Undifferentiated goods- and services-producing activities of private households for own use</t>
  </si>
  <si>
    <t>99</t>
  </si>
  <si>
    <t>Activities of extraterritorial organisations and bodies</t>
  </si>
  <si>
    <t>101</t>
  </si>
  <si>
    <t>Processing and preserving of meat and production of meat products</t>
  </si>
  <si>
    <t>102</t>
  </si>
  <si>
    <t>Processing and preserving of fish, crustaceans and molluscs</t>
  </si>
  <si>
    <t>103</t>
  </si>
  <si>
    <t>Processing and preserving of fruit and vegetables</t>
  </si>
  <si>
    <t>104</t>
  </si>
  <si>
    <t>Manufacture of vegetable and animal oils and fats</t>
  </si>
  <si>
    <t>105</t>
  </si>
  <si>
    <t>Manufacture of dairy products</t>
  </si>
  <si>
    <t>106</t>
  </si>
  <si>
    <t>Manufacture of grain mill products, starches and starch products</t>
  </si>
  <si>
    <t>107</t>
  </si>
  <si>
    <t>Manufacture of bakery and farinaceous products</t>
  </si>
  <si>
    <t>108</t>
  </si>
  <si>
    <t>Manufacture of other food products</t>
  </si>
  <si>
    <t>109</t>
  </si>
  <si>
    <t>Manufacture of prepared animal feeds</t>
  </si>
  <si>
    <t>110</t>
  </si>
  <si>
    <t>Manufacture of beverages</t>
  </si>
  <si>
    <t>120</t>
  </si>
  <si>
    <t>Manufacture of tobacco products</t>
  </si>
  <si>
    <t>131</t>
  </si>
  <si>
    <t>Preparation and spinning of textile fibres</t>
  </si>
  <si>
    <t>132</t>
  </si>
  <si>
    <t>Weaving of textiles</t>
  </si>
  <si>
    <t>133</t>
  </si>
  <si>
    <t>Finishing of textiles</t>
  </si>
  <si>
    <t>139</t>
  </si>
  <si>
    <t>Manufacture of other textiles</t>
  </si>
  <si>
    <t>141</t>
  </si>
  <si>
    <t>Manufacture of wearing apparel, except fur apparel</t>
  </si>
  <si>
    <t>142</t>
  </si>
  <si>
    <t>Manufacture of articles of fur</t>
  </si>
  <si>
    <t>143</t>
  </si>
  <si>
    <t>Manufacture of knitted and crocheted apparel</t>
  </si>
  <si>
    <t>151</t>
  </si>
  <si>
    <t>Tanning and dressing of leather; manufacture of luggage, handbags, saddlery and harness; dressing and dyeing of fur</t>
  </si>
  <si>
    <t>152</t>
  </si>
  <si>
    <t>Manufacture of footwear</t>
  </si>
  <si>
    <t>161</t>
  </si>
  <si>
    <t>Sawmilling and planing of wood</t>
  </si>
  <si>
    <t>162</t>
  </si>
  <si>
    <t>Manufacture of products of wood, cork, straw and plaiting materials</t>
  </si>
  <si>
    <t>172</t>
  </si>
  <si>
    <t>Manufacture of articles of paper and paperboard</t>
  </si>
  <si>
    <t>181</t>
  </si>
  <si>
    <t>Printing and service activities related to printing</t>
  </si>
  <si>
    <t>182</t>
  </si>
  <si>
    <t>Reproduction of recorded media</t>
  </si>
  <si>
    <t>202</t>
  </si>
  <si>
    <t>Manufacture of pesticides and other agrochemical products</t>
  </si>
  <si>
    <t>203</t>
  </si>
  <si>
    <t>Manufacture of paints, varnishes and similar coatings, printing ink and mastics</t>
  </si>
  <si>
    <t>204</t>
  </si>
  <si>
    <t>Manufacture of soap and detergents, cleaning and polishing preparations, perfumes and toilet preparations</t>
  </si>
  <si>
    <t>205</t>
  </si>
  <si>
    <t>Manufacture of other chemical products</t>
  </si>
  <si>
    <t>206</t>
  </si>
  <si>
    <t>Manufacture of man-made fibres</t>
  </si>
  <si>
    <t>211</t>
  </si>
  <si>
    <t>Manufacture of basic pharmaceutical products</t>
  </si>
  <si>
    <t>212</t>
  </si>
  <si>
    <t>Manufacture of pharmaceutical preparations</t>
  </si>
  <si>
    <t>221</t>
  </si>
  <si>
    <t>Manufacture of rubber products</t>
  </si>
  <si>
    <t>222</t>
  </si>
  <si>
    <t>Manufacture of plastics products</t>
  </si>
  <si>
    <t>237</t>
  </si>
  <si>
    <t>Cutting, shaping and finishing of stone</t>
  </si>
  <si>
    <t>245</t>
  </si>
  <si>
    <t>Casting of metals</t>
  </si>
  <si>
    <t>251</t>
  </si>
  <si>
    <t>Manufacture of structural metal products</t>
  </si>
  <si>
    <t>252</t>
  </si>
  <si>
    <t>Manufacture of tanks, reservoirs and containers of metal</t>
  </si>
  <si>
    <t>253</t>
  </si>
  <si>
    <t>Manufacture of steam generators, except central heating hot water boilers</t>
  </si>
  <si>
    <t>254</t>
  </si>
  <si>
    <t>Manufacture of weapons and ammunition</t>
  </si>
  <si>
    <t>255</t>
  </si>
  <si>
    <t>Forging, pressing, stamping and roll-forming of metal; powder metallurgy</t>
  </si>
  <si>
    <t>256</t>
  </si>
  <si>
    <t>Treatment and coating of metals; machining</t>
  </si>
  <si>
    <t>257</t>
  </si>
  <si>
    <t>Manufacture of cutlery, tools and general hardware</t>
  </si>
  <si>
    <t>259</t>
  </si>
  <si>
    <t>Manufacture of other fabricated metal products</t>
  </si>
  <si>
    <t>261</t>
  </si>
  <si>
    <t>Manufacture of electronic components and boards</t>
  </si>
  <si>
    <t>262</t>
  </si>
  <si>
    <t>Manufacture of computers and peripheral equipment</t>
  </si>
  <si>
    <t>263</t>
  </si>
  <si>
    <t>Manufacture of communication equipment</t>
  </si>
  <si>
    <t>264</t>
  </si>
  <si>
    <t>Manufacture of consumer electronics</t>
  </si>
  <si>
    <t>265</t>
  </si>
  <si>
    <t>Manufacture of instruments and appliances for measuring, testing and navigation; watches and clocks</t>
  </si>
  <si>
    <t>266</t>
  </si>
  <si>
    <t>Manufacture of irradiation, electromedical and electrotherapeutic equipment</t>
  </si>
  <si>
    <t>267</t>
  </si>
  <si>
    <t>Manufacture of optical instruments and photographic equipment</t>
  </si>
  <si>
    <t>268</t>
  </si>
  <si>
    <t>Manufacture of magnetic and optical media</t>
  </si>
  <si>
    <t>271</t>
  </si>
  <si>
    <t>Manufacture of electric motors, generators, transformers and electricity distribution and control apparatus</t>
  </si>
  <si>
    <t>272</t>
  </si>
  <si>
    <t>Manufacture of batteries and accumulators</t>
  </si>
  <si>
    <t>273</t>
  </si>
  <si>
    <t>Manufacture of wiring and wiring devices</t>
  </si>
  <si>
    <t>274</t>
  </si>
  <si>
    <t>Manufacture of electric lighting equipment</t>
  </si>
  <si>
    <t>275</t>
  </si>
  <si>
    <t>Manufacture of domestic appliances</t>
  </si>
  <si>
    <t>279</t>
  </si>
  <si>
    <t>Manufacture of other electrical equipment</t>
  </si>
  <si>
    <t>281</t>
  </si>
  <si>
    <t>Manufacture of general-purpose machinery</t>
  </si>
  <si>
    <t>282</t>
  </si>
  <si>
    <t>Manufacture of other general-purpose machinery</t>
  </si>
  <si>
    <t>283</t>
  </si>
  <si>
    <t>Manufacture of agricultural and forestry machinery</t>
  </si>
  <si>
    <t>284</t>
  </si>
  <si>
    <t>Manufacture of metal forming machinery and machine tools</t>
  </si>
  <si>
    <t>289</t>
  </si>
  <si>
    <t>Manufacture of other special-purpose machinery</t>
  </si>
  <si>
    <t>291</t>
  </si>
  <si>
    <t>Manufacture of motor vehicles</t>
  </si>
  <si>
    <t>292</t>
  </si>
  <si>
    <t>Manufacture of bodies (coachwork) for motor vehicles; manufacture of trailers and semi-trailers</t>
  </si>
  <si>
    <t>293</t>
  </si>
  <si>
    <t>Manufacture of parts and accessories for motor vehicles</t>
  </si>
  <si>
    <t>301</t>
  </si>
  <si>
    <t>Building of ships and boats</t>
  </si>
  <si>
    <t>302</t>
  </si>
  <si>
    <t>Manufacture of railway locomotives and rolling stock</t>
  </si>
  <si>
    <t>303</t>
  </si>
  <si>
    <t>Manufacture of air and spacecraft and related machinery</t>
  </si>
  <si>
    <t>304</t>
  </si>
  <si>
    <t>Manufacture of military fighting vehicles</t>
  </si>
  <si>
    <t>309</t>
  </si>
  <si>
    <t>Manufacture of transport equipment n.e.c.</t>
  </si>
  <si>
    <t>310</t>
  </si>
  <si>
    <t>Manufacture of furniture</t>
  </si>
  <si>
    <t>321</t>
  </si>
  <si>
    <t>Manufacture of jewellery, bijouterie and related articles</t>
  </si>
  <si>
    <t>322</t>
  </si>
  <si>
    <t>Manufacture of musical instruments</t>
  </si>
  <si>
    <t>323</t>
  </si>
  <si>
    <t>Manufacture of sports goods</t>
  </si>
  <si>
    <t>324</t>
  </si>
  <si>
    <t>Manufacture of games and toys</t>
  </si>
  <si>
    <t>325</t>
  </si>
  <si>
    <t>Manufacture of medical and dental instruments and supplies</t>
  </si>
  <si>
    <t>329</t>
  </si>
  <si>
    <t>Manufacturing n.e.c.</t>
  </si>
  <si>
    <t>331</t>
  </si>
  <si>
    <t>Repair of fabricated metal products, machinery and equipment</t>
  </si>
  <si>
    <t>332</t>
  </si>
  <si>
    <t>Installation of industrial machinery and equipment</t>
  </si>
  <si>
    <t>491</t>
  </si>
  <si>
    <t>Passenger rail transport, interurban</t>
  </si>
  <si>
    <t>492</t>
  </si>
  <si>
    <t>Freight rail transport</t>
  </si>
  <si>
    <t>493</t>
  </si>
  <si>
    <t>Other passenger land transport</t>
  </si>
  <si>
    <t>494</t>
  </si>
  <si>
    <t>Freight transport by road and removal services</t>
  </si>
  <si>
    <t>495</t>
  </si>
  <si>
    <t>Transport via pipeline</t>
  </si>
  <si>
    <t>503</t>
  </si>
  <si>
    <t>Inland passenger water transport</t>
  </si>
  <si>
    <t>504</t>
  </si>
  <si>
    <t>Inland freight water transport</t>
  </si>
  <si>
    <t>521</t>
  </si>
  <si>
    <t>Warehousing and storage</t>
  </si>
  <si>
    <t>522</t>
  </si>
  <si>
    <t>Support activities for transportation</t>
  </si>
  <si>
    <t>531</t>
  </si>
  <si>
    <t>Postal activities under universal service obligation</t>
  </si>
  <si>
    <t>532</t>
  </si>
  <si>
    <t>Other postal and courier activities</t>
  </si>
  <si>
    <t xml:space="preserve">nace_level</t>
  </si>
  <si>
    <t xml:space="preserve">nace_code</t>
  </si>
  <si>
    <t xml:space="preserve">nace_label_original</t>
  </si>
  <si>
    <t xml:space="preserve">nace_code_agg</t>
  </si>
  <si>
    <t xml:space="preserve">nace_label_agg</t>
  </si>
  <si>
    <t xml:space="preserve">mapped_uniq_ets_cnt</t>
  </si>
  <si>
    <t xml:space="preserve">cleaning_action</t>
  </si>
  <si>
    <t xml:space="preserve">ets_activity_code</t>
  </si>
  <si>
    <t xml:space="preserve">ets_activity_name_original</t>
  </si>
  <si>
    <t xml:space="preserve">ets_activity_code_agg</t>
  </si>
  <si>
    <t xml:space="preserve">ets_activity_name_agg</t>
  </si>
  <si>
    <t xml:space="preserve">mapped_uniq_nace_cnt</t>
  </si>
  <si>
    <t xml:space="preserve">mapping_quality</t>
  </si>
  <si>
    <t xml:space="preserve">exclusivity_note</t>
  </si>
  <si>
    <t xml:space="preserve">171</t>
  </si>
  <si>
    <t xml:space="preserve">Manufacture of pulp, paper and paperboard</t>
  </si>
  <si>
    <t xml:space="preserve">Combine ETS activities</t>
  </si>
  <si>
    <t xml:space="preserve">35</t>
  </si>
  <si>
    <t xml:space="preserve">Production of pulp</t>
  </si>
  <si>
    <t xml:space="preserve">35, 36</t>
  </si>
  <si>
    <t xml:space="preserve">Production of pulp, paper and cardboard</t>
  </si>
  <si>
    <t xml:space="preserve">broad combined</t>
  </si>
  <si>
    <t xml:space="preserve">Same NACE level-3 code intentionally reused; aggregate ETS rows to this NACE code before regression</t>
  </si>
  <si>
    <t xml:space="preserve">36</t>
  </si>
  <si>
    <t xml:space="preserve">Production of paper or cardboard</t>
  </si>
  <si>
    <t xml:space="preserve">191</t>
  </si>
  <si>
    <t xml:space="preserve">Manufacture of coke oven products</t>
  </si>
  <si>
    <t xml:space="preserve">None</t>
  </si>
  <si>
    <t xml:space="preserve">22</t>
  </si>
  <si>
    <t xml:space="preserve">Production of coke</t>
  </si>
  <si>
    <t xml:space="preserve">exact</t>
  </si>
  <si>
    <t xml:space="preserve">Exclusive NACE level-1-3 code; no selected parent/child overlap</t>
  </si>
  <si>
    <t xml:space="preserve">192</t>
  </si>
  <si>
    <t xml:space="preserve">Manufacture of refined petroleum products</t>
  </si>
  <si>
    <t xml:space="preserve">21</t>
  </si>
  <si>
    <t xml:space="preserve">Refining of mineral oil</t>
  </si>
  <si>
    <t xml:space="preserve">201</t>
  </si>
  <si>
    <t xml:space="preserve">Manufacture of basic chemicals, fertilisers and nitrogen compounds, plastics and synthetic rubber in primary forms</t>
  </si>
  <si>
    <t xml:space="preserve">37</t>
  </si>
  <si>
    <t xml:space="preserve">Production of carbon black</t>
  </si>
  <si>
    <t xml:space="preserve">37, 38, 39, 40, 41, 42, 43, 44</t>
  </si>
  <si>
    <t xml:space="preserve">Production of carbon black, nitric acid, adipic acid, glyoxal and glyoxylic acid, ammonia, bulk chemicals, hydrogen and synthesis gas, soda ash and sodium bicarbonate</t>
  </si>
  <si>
    <t xml:space="preserve">38</t>
  </si>
  <si>
    <t xml:space="preserve">Production of nitric acid</t>
  </si>
  <si>
    <t xml:space="preserve">39</t>
  </si>
  <si>
    <t xml:space="preserve">Production of adipic acid</t>
  </si>
  <si>
    <t xml:space="preserve">40</t>
  </si>
  <si>
    <t xml:space="preserve">Production of glyoxal and glyoxylic acid</t>
  </si>
  <si>
    <t xml:space="preserve">41</t>
  </si>
  <si>
    <t xml:space="preserve">Production of ammonia</t>
  </si>
  <si>
    <t xml:space="preserve">42</t>
  </si>
  <si>
    <t xml:space="preserve">Production of bulk chemicals</t>
  </si>
  <si>
    <t xml:space="preserve">43</t>
  </si>
  <si>
    <t xml:space="preserve">Production of hydrogen and synthesis gas</t>
  </si>
  <si>
    <t xml:space="preserve">44</t>
  </si>
  <si>
    <t xml:space="preserve">Production of soda ash and sodium bicarbonate</t>
  </si>
  <si>
    <t xml:space="preserve">231</t>
  </si>
  <si>
    <t xml:space="preserve">Manufacture of glass and glass products</t>
  </si>
  <si>
    <t xml:space="preserve">31</t>
  </si>
  <si>
    <t xml:space="preserve">Manufacture of glass</t>
  </si>
  <si>
    <t xml:space="preserve">good</t>
  </si>
  <si>
    <t xml:space="preserve">232</t>
  </si>
  <si>
    <t xml:space="preserve">Manufacture of refractory products</t>
  </si>
  <si>
    <t xml:space="preserve">232, 233, 234</t>
  </si>
  <si>
    <t xml:space="preserve">Manufacture of refractory products, clay building materials, other porcelain and ceramic products</t>
  </si>
  <si>
    <t xml:space="preserve">Combine NACE cat</t>
  </si>
  <si>
    <t xml:space="preserve">32</t>
  </si>
  <si>
    <t xml:space="preserve">Manufacture of ceramics</t>
  </si>
  <si>
    <t xml:space="preserve">ETS activity is broader than selected NACE level-3 categories; sum NACE rows before regression</t>
  </si>
  <si>
    <t xml:space="preserve">233</t>
  </si>
  <si>
    <t xml:space="preserve">Manufacture of clay building materials</t>
  </si>
  <si>
    <t xml:space="preserve">234</t>
  </si>
  <si>
    <t xml:space="preserve">Manufacture of other porcelain and ceramic products</t>
  </si>
  <si>
    <t xml:space="preserve">235</t>
  </si>
  <si>
    <t xml:space="preserve">Manufacture of cement, lime and plaster</t>
  </si>
  <si>
    <t xml:space="preserve">29</t>
  </si>
  <si>
    <t xml:space="preserve">Production of cement clinker</t>
  </si>
  <si>
    <t xml:space="preserve">29, 30</t>
  </si>
  <si>
    <t xml:space="preserve">Production of cement clinker and lime</t>
  </si>
  <si>
    <t xml:space="preserve">30</t>
  </si>
  <si>
    <t xml:space="preserve">Production of lime, or calcination of dolomite/magnesite</t>
  </si>
  <si>
    <t xml:space="preserve">236</t>
  </si>
  <si>
    <t xml:space="preserve">Manufacture of articles of concrete, cement and plaster</t>
  </si>
  <si>
    <t xml:space="preserve">34</t>
  </si>
  <si>
    <t xml:space="preserve">Production or processing of gypsum or plasterboard</t>
  </si>
  <si>
    <t xml:space="preserve">approximate</t>
  </si>
  <si>
    <t xml:space="preserve">239</t>
  </si>
  <si>
    <t xml:space="preserve">Manufacture of abrasive products and non-metallic mineral products n.e.c.</t>
  </si>
  <si>
    <t xml:space="preserve">33</t>
  </si>
  <si>
    <t xml:space="preserve">Manufacture of mineral wool</t>
  </si>
  <si>
    <t xml:space="preserve">241</t>
  </si>
  <si>
    <t xml:space="preserve">Manufacture of basic iron and steel and of ferro-alloys</t>
  </si>
  <si>
    <t xml:space="preserve">23</t>
  </si>
  <si>
    <t xml:space="preserve">Metal ore roasting or sintering</t>
  </si>
  <si>
    <t xml:space="preserve">23, 24</t>
  </si>
  <si>
    <t xml:space="preserve">Metal ore roasting/sintering and production of pig iron/steel</t>
  </si>
  <si>
    <t xml:space="preserve">24</t>
  </si>
  <si>
    <t xml:space="preserve">Production of pig iron or steel</t>
  </si>
  <si>
    <t xml:space="preserve">242</t>
  </si>
  <si>
    <t xml:space="preserve">Manufacture of tubes, pipes, hollow profiles and related fittings, of steel</t>
  </si>
  <si>
    <t xml:space="preserve">242, 243</t>
  </si>
  <si>
    <t xml:space="preserve">Manufacture of tubes, pipes, hollow profiles and related fittings, of steel, other products of first processing of steel</t>
  </si>
  <si>
    <t xml:space="preserve">25</t>
  </si>
  <si>
    <t xml:space="preserve">Production or processing of ferrous metals</t>
  </si>
  <si>
    <t xml:space="preserve">ETS activity is broader than selected NACE level-3 categories; sum NACE rows before regression; NACE 245 Casting of metals omitted because SBS level 3 cannot split ferrous and non-ferrous casting without overlap</t>
  </si>
  <si>
    <t xml:space="preserve">243</t>
  </si>
  <si>
    <t xml:space="preserve">Manufacture of other products of first processing of steel</t>
  </si>
  <si>
    <t xml:space="preserve">244</t>
  </si>
  <si>
    <t xml:space="preserve">Manufacture of basic precious and other non-ferrous metals</t>
  </si>
  <si>
    <t xml:space="preserve">28</t>
  </si>
  <si>
    <t xml:space="preserve">Production or processing of non-ferrous metals</t>
  </si>
  <si>
    <t xml:space="preserve">28, 26, 27</t>
  </si>
  <si>
    <t xml:space="preserve">Production of primary aluminium, secondary aluminium and other non-ferrous metals</t>
  </si>
  <si>
    <t xml:space="preserve">Same NACE level-3 code intentionally reused; aggregate ETS rows to this NACE code before regression; NACE 245 Casting of metals omitted because SBS level 3 cannot split ferrous and non-ferrous casting without overlap</t>
  </si>
  <si>
    <t xml:space="preserve">26</t>
  </si>
  <si>
    <t xml:space="preserve">Production of primary aluminium</t>
  </si>
  <si>
    <t xml:space="preserve">27</t>
  </si>
  <si>
    <t xml:space="preserve">Production of secondary aluminium</t>
  </si>
  <si>
    <t xml:space="preserve">Electricity, gas, steam and air conditioning supply</t>
  </si>
  <si>
    <t xml:space="preserve">20</t>
  </si>
  <si>
    <t xml:space="preserve">Combustion of fuels</t>
  </si>
  <si>
    <t xml:space="preserve">Remediation activities and other waste management services</t>
  </si>
  <si>
    <t xml:space="preserve">45</t>
  </si>
  <si>
    <t xml:space="preserve">Capture of greenhouse gases under Directive 2009/31/EC</t>
  </si>
  <si>
    <t xml:space="preserve">501</t>
  </si>
  <si>
    <t xml:space="preserve">Sea and coastal passenger water transport</t>
  </si>
  <si>
    <t xml:space="preserve">501, 502</t>
  </si>
  <si>
    <t xml:space="preserve">Sea and coastal passenger water transport, Sea and coastal freight water transport</t>
  </si>
  <si>
    <t xml:space="preserve">50</t>
  </si>
  <si>
    <t xml:space="preserve">Maritime Transport</t>
  </si>
  <si>
    <t xml:space="preserve">502</t>
  </si>
  <si>
    <t xml:space="preserve">Sea and coastal freight water transport</t>
  </si>
  <si>
    <t xml:space="preserve">511</t>
  </si>
  <si>
    <t xml:space="preserve">Passenger air transport</t>
  </si>
  <si>
    <t xml:space="preserve">511, 512</t>
  </si>
  <si>
    <t xml:space="preserve">Passenger air transport, Freight air transport and space transport</t>
  </si>
  <si>
    <t xml:space="preserve">10</t>
  </si>
  <si>
    <t xml:space="preserve">Aviation</t>
  </si>
  <si>
    <t xml:space="preserve">512</t>
  </si>
  <si>
    <t xml:space="preserve">Freight air transport and space transport</t>
  </si>
  <si>
    <t xml:space="preserve">01</t>
  </si>
  <si>
    <t xml:space="preserve">Crop and animal production, hunting and related service activities</t>
  </si>
  <si>
    <t xml:space="preserve">Append unmapped NACE activity</t>
  </si>
  <si>
    <t xml:space="preserve">unmapped NACE-only</t>
  </si>
  <si>
    <t xml:space="preserve">Level-2 activity from a section without any mapped NACE activity</t>
  </si>
  <si>
    <t xml:space="preserve">02</t>
  </si>
  <si>
    <t xml:space="preserve">Forestry and logging</t>
  </si>
  <si>
    <t xml:space="preserve">03</t>
  </si>
  <si>
    <t xml:space="preserve">Fishing and aquaculture</t>
  </si>
  <si>
    <t xml:space="preserve">05</t>
  </si>
  <si>
    <t xml:space="preserve">Mining of coal and lignite</t>
  </si>
  <si>
    <t xml:space="preserve">06</t>
  </si>
  <si>
    <t xml:space="preserve">Extraction of crude petroleum and natural gas</t>
  </si>
  <si>
    <t xml:space="preserve">07</t>
  </si>
  <si>
    <t xml:space="preserve">Mining of metal ores</t>
  </si>
  <si>
    <t xml:space="preserve">08</t>
  </si>
  <si>
    <t xml:space="preserve">Other mining and quarrying</t>
  </si>
  <si>
    <t xml:space="preserve">09</t>
  </si>
  <si>
    <t xml:space="preserve">Mining support service activities</t>
  </si>
  <si>
    <t xml:space="preserve">Water collection, treatment and supply</t>
  </si>
  <si>
    <t xml:space="preserve">Unmapped sibling at the same level as a mapped NACE activity</t>
  </si>
  <si>
    <t xml:space="preserve">Sewerage</t>
  </si>
  <si>
    <t xml:space="preserve">Waste collection, treatment and disposal activities; materials recovery</t>
  </si>
  <si>
    <t xml:space="preserve">Construction of buildings</t>
  </si>
  <si>
    <t xml:space="preserve">Civil engineering</t>
  </si>
  <si>
    <t xml:space="preserve">Specialised construction activities</t>
  </si>
  <si>
    <t xml:space="preserve">Wholesale and retail trade and repair of motor vehicles and motorcycles</t>
  </si>
  <si>
    <t xml:space="preserve">46</t>
  </si>
  <si>
    <t xml:space="preserve">Wholesale trade, except of motor vehicles and motorcycles</t>
  </si>
  <si>
    <t xml:space="preserve">47</t>
  </si>
  <si>
    <t xml:space="preserve">Retail trade, except of motor vehicles and motorcycles</t>
  </si>
  <si>
    <t xml:space="preserve">55</t>
  </si>
  <si>
    <t xml:space="preserve">Accommodation</t>
  </si>
  <si>
    <t xml:space="preserve">56</t>
  </si>
  <si>
    <t xml:space="preserve">Food and beverage service activities</t>
  </si>
  <si>
    <t xml:space="preserve">58</t>
  </si>
  <si>
    <t xml:space="preserve">Publishing activities</t>
  </si>
  <si>
    <t xml:space="preserve">59</t>
  </si>
  <si>
    <t xml:space="preserve">Motion picture, video and television programme production, sound recording and music publishing activities</t>
  </si>
  <si>
    <t xml:space="preserve">60</t>
  </si>
  <si>
    <t xml:space="preserve">Programming and broadcasting activities</t>
  </si>
  <si>
    <t xml:space="preserve">61</t>
  </si>
  <si>
    <t xml:space="preserve">Telecommunications</t>
  </si>
  <si>
    <t xml:space="preserve">62</t>
  </si>
  <si>
    <t xml:space="preserve">Computer programming, consultancy and related activities</t>
  </si>
  <si>
    <t xml:space="preserve">63</t>
  </si>
  <si>
    <t xml:space="preserve">Information service activities</t>
  </si>
  <si>
    <t xml:space="preserve">64</t>
  </si>
  <si>
    <t xml:space="preserve">Financial service activities, except insurance and pension funding</t>
  </si>
  <si>
    <t xml:space="preserve">65</t>
  </si>
  <si>
    <t xml:space="preserve">Insurance, reinsurance and pension funding, except compulsory social security</t>
  </si>
  <si>
    <t xml:space="preserve">66</t>
  </si>
  <si>
    <t xml:space="preserve">Activities auxiliary to financial services and insurance activities</t>
  </si>
  <si>
    <t xml:space="preserve">68</t>
  </si>
  <si>
    <t xml:space="preserve">Real estate activities</t>
  </si>
  <si>
    <t xml:space="preserve">69</t>
  </si>
  <si>
    <t xml:space="preserve">Legal and accounting activities</t>
  </si>
  <si>
    <t xml:space="preserve">70</t>
  </si>
  <si>
    <t xml:space="preserve">Activities of head offices; management consultancy activities</t>
  </si>
  <si>
    <t xml:space="preserve">71</t>
  </si>
  <si>
    <t xml:space="preserve">Architectural and engineering activities; technical testing and analysis</t>
  </si>
  <si>
    <t xml:space="preserve">72</t>
  </si>
  <si>
    <t xml:space="preserve">Scientific research and development</t>
  </si>
  <si>
    <t xml:space="preserve">73</t>
  </si>
  <si>
    <t xml:space="preserve">Advertising and market research</t>
  </si>
  <si>
    <t xml:space="preserve">74</t>
  </si>
  <si>
    <t xml:space="preserve">Other professional, scientific and technical activities</t>
  </si>
  <si>
    <t xml:space="preserve">75</t>
  </si>
  <si>
    <t xml:space="preserve">Veterinary activities</t>
  </si>
  <si>
    <t xml:space="preserve">77</t>
  </si>
  <si>
    <t xml:space="preserve">Rental and leasing activities</t>
  </si>
  <si>
    <t xml:space="preserve">78</t>
  </si>
  <si>
    <t xml:space="preserve">Employment activities</t>
  </si>
  <si>
    <t xml:space="preserve">79</t>
  </si>
  <si>
    <t xml:space="preserve">Travel agency, tour operator and other reservation service and related activities</t>
  </si>
  <si>
    <t xml:space="preserve">80</t>
  </si>
  <si>
    <t xml:space="preserve">Security and investigation activities</t>
  </si>
  <si>
    <t xml:space="preserve">81</t>
  </si>
  <si>
    <t xml:space="preserve">Services to buildings and landscape activities</t>
  </si>
  <si>
    <t xml:space="preserve">82</t>
  </si>
  <si>
    <t xml:space="preserve">Office administrative, office support and other business support activities</t>
  </si>
  <si>
    <t xml:space="preserve">84</t>
  </si>
  <si>
    <t xml:space="preserve">Public administration and defence; compulsory social security</t>
  </si>
  <si>
    <t xml:space="preserve">85</t>
  </si>
  <si>
    <t xml:space="preserve">Education</t>
  </si>
  <si>
    <t xml:space="preserve">86</t>
  </si>
  <si>
    <t xml:space="preserve">Human health activities</t>
  </si>
  <si>
    <t xml:space="preserve">87</t>
  </si>
  <si>
    <t xml:space="preserve">Residential care activities</t>
  </si>
  <si>
    <t xml:space="preserve">88</t>
  </si>
  <si>
    <t xml:space="preserve">Social work activities without accommodation</t>
  </si>
  <si>
    <t xml:space="preserve">90</t>
  </si>
  <si>
    <t xml:space="preserve">Creative, arts and entertainment activities</t>
  </si>
  <si>
    <t xml:space="preserve">91</t>
  </si>
  <si>
    <t xml:space="preserve">Libraries, archives, museums and other cultural activities</t>
  </si>
  <si>
    <t xml:space="preserve">92</t>
  </si>
  <si>
    <t xml:space="preserve">Gambling and betting activities</t>
  </si>
  <si>
    <t xml:space="preserve">93</t>
  </si>
  <si>
    <t xml:space="preserve">Sports activities and amusement and recreation activities</t>
  </si>
  <si>
    <t xml:space="preserve">94</t>
  </si>
  <si>
    <t xml:space="preserve">Activities of membership organisations</t>
  </si>
  <si>
    <t xml:space="preserve">95</t>
  </si>
  <si>
    <t xml:space="preserve">Repair of computers and personal and household goods</t>
  </si>
  <si>
    <t xml:space="preserve">96</t>
  </si>
  <si>
    <t xml:space="preserve">Other personal service activities</t>
  </si>
  <si>
    <t xml:space="preserve">97</t>
  </si>
  <si>
    <t xml:space="preserve">Activities of households as employers of domestic personnel</t>
  </si>
  <si>
    <t xml:space="preserve">98</t>
  </si>
  <si>
    <t xml:space="preserve">Undifferentiated goods- and services-producing activities of private households for own use</t>
  </si>
  <si>
    <t xml:space="preserve">99</t>
  </si>
  <si>
    <t xml:space="preserve">Activities of extraterritorial organisations and bodies</t>
  </si>
  <si>
    <t xml:space="preserve">101</t>
  </si>
  <si>
    <t xml:space="preserve">Processing and preserving of meat and production of meat products</t>
  </si>
  <si>
    <t xml:space="preserve">102</t>
  </si>
  <si>
    <t xml:space="preserve">Processing and preserving of fish, crustaceans and molluscs</t>
  </si>
  <si>
    <t xml:space="preserve">103</t>
  </si>
  <si>
    <t xml:space="preserve">Processing and preserving of fruit and vegetables</t>
  </si>
  <si>
    <t xml:space="preserve">104</t>
  </si>
  <si>
    <t xml:space="preserve">Manufacture of vegetable and animal oils and fats</t>
  </si>
  <si>
    <t xml:space="preserve">105</t>
  </si>
  <si>
    <t xml:space="preserve">Manufacture of dairy products</t>
  </si>
  <si>
    <t xml:space="preserve">106</t>
  </si>
  <si>
    <t xml:space="preserve">Manufacture of grain mill products, starches and starch products</t>
  </si>
  <si>
    <t xml:space="preserve">107</t>
  </si>
  <si>
    <t xml:space="preserve">Manufacture of bakery and farinaceous products</t>
  </si>
  <si>
    <t xml:space="preserve">108</t>
  </si>
  <si>
    <t xml:space="preserve">Manufacture of other food products</t>
  </si>
  <si>
    <t xml:space="preserve">109</t>
  </si>
  <si>
    <t xml:space="preserve">Manufacture of prepared animal feeds</t>
  </si>
  <si>
    <t xml:space="preserve">110</t>
  </si>
  <si>
    <t xml:space="preserve">Manufacture of beverages</t>
  </si>
  <si>
    <t xml:space="preserve">120</t>
  </si>
  <si>
    <t xml:space="preserve">Manufacture of tobacco products</t>
  </si>
  <si>
    <t xml:space="preserve">131</t>
  </si>
  <si>
    <t xml:space="preserve">Preparation and spinning of textile fibres</t>
  </si>
  <si>
    <t xml:space="preserve">132</t>
  </si>
  <si>
    <t xml:space="preserve">Weaving of textiles</t>
  </si>
  <si>
    <t xml:space="preserve">133</t>
  </si>
  <si>
    <t xml:space="preserve">Finishing of textiles</t>
  </si>
  <si>
    <t xml:space="preserve">139</t>
  </si>
  <si>
    <t xml:space="preserve">Manufacture of other textiles</t>
  </si>
  <si>
    <t xml:space="preserve">141</t>
  </si>
  <si>
    <t xml:space="preserve">Manufacture of wearing apparel, except fur apparel</t>
  </si>
  <si>
    <t xml:space="preserve">142</t>
  </si>
  <si>
    <t xml:space="preserve">Manufacture of articles of fur</t>
  </si>
  <si>
    <t xml:space="preserve">143</t>
  </si>
  <si>
    <t xml:space="preserve">Manufacture of knitted and crocheted apparel</t>
  </si>
  <si>
    <t xml:space="preserve">151</t>
  </si>
  <si>
    <t xml:space="preserve">Tanning and dressing of leather; manufacture of luggage, handbags, saddlery and harness; dressing and dyeing of fur</t>
  </si>
  <si>
    <t xml:space="preserve">152</t>
  </si>
  <si>
    <t xml:space="preserve">Manufacture of footwear</t>
  </si>
  <si>
    <t xml:space="preserve">161</t>
  </si>
  <si>
    <t xml:space="preserve">Sawmilling and planing of wood</t>
  </si>
  <si>
    <t xml:space="preserve">162</t>
  </si>
  <si>
    <t xml:space="preserve">Manufacture of products of wood, cork, straw and plaiting materials</t>
  </si>
  <si>
    <t xml:space="preserve">172</t>
  </si>
  <si>
    <t xml:space="preserve">Manufacture of articles of paper and paperboard</t>
  </si>
  <si>
    <t xml:space="preserve">181</t>
  </si>
  <si>
    <t xml:space="preserve">Printing and service activities related to printing</t>
  </si>
  <si>
    <t xml:space="preserve">182</t>
  </si>
  <si>
    <t xml:space="preserve">Reproduction of recorded media</t>
  </si>
  <si>
    <t xml:space="preserve">202</t>
  </si>
  <si>
    <t xml:space="preserve">Manufacture of pesticides and other agrochemical products</t>
  </si>
  <si>
    <t xml:space="preserve">203</t>
  </si>
  <si>
    <t xml:space="preserve">Manufacture of paints, varnishes and similar coatings, printing ink and mastics</t>
  </si>
  <si>
    <t xml:space="preserve">204</t>
  </si>
  <si>
    <t xml:space="preserve">Manufacture of soap and detergents, cleaning and polishing preparations, perfumes and toilet preparations</t>
  </si>
  <si>
    <t xml:space="preserve">205</t>
  </si>
  <si>
    <t xml:space="preserve">Manufacture of other chemical products</t>
  </si>
  <si>
    <t xml:space="preserve">206</t>
  </si>
  <si>
    <t xml:space="preserve">Manufacture of man-made fibres</t>
  </si>
  <si>
    <t xml:space="preserve">211</t>
  </si>
  <si>
    <t xml:space="preserve">Manufacture of basic pharmaceutical products</t>
  </si>
  <si>
    <t xml:space="preserve">212</t>
  </si>
  <si>
    <t xml:space="preserve">Manufacture of pharmaceutical preparations</t>
  </si>
  <si>
    <t xml:space="preserve">221</t>
  </si>
  <si>
    <t xml:space="preserve">Manufacture of rubber products</t>
  </si>
  <si>
    <t xml:space="preserve">222</t>
  </si>
  <si>
    <t xml:space="preserve">Manufacture of plastics products</t>
  </si>
  <si>
    <t xml:space="preserve">237</t>
  </si>
  <si>
    <t xml:space="preserve">Cutting, shaping and finishing of stone</t>
  </si>
  <si>
    <t xml:space="preserve">245</t>
  </si>
  <si>
    <t xml:space="preserve">Casting of metals</t>
  </si>
  <si>
    <t xml:space="preserve">251</t>
  </si>
  <si>
    <t xml:space="preserve">Manufacture of structural metal products</t>
  </si>
  <si>
    <t xml:space="preserve">252</t>
  </si>
  <si>
    <t xml:space="preserve">Manufacture of tanks, reservoirs and containers of metal</t>
  </si>
  <si>
    <t xml:space="preserve">253</t>
  </si>
  <si>
    <t xml:space="preserve">Manufacture of steam generators, except central heating hot water boilers</t>
  </si>
  <si>
    <t xml:space="preserve">254</t>
  </si>
  <si>
    <t xml:space="preserve">Manufacture of weapons and ammunition</t>
  </si>
  <si>
    <t xml:space="preserve">255</t>
  </si>
  <si>
    <t xml:space="preserve">Forging, pressing, stamping and roll-forming of metal; powder metallurgy</t>
  </si>
  <si>
    <t xml:space="preserve">256</t>
  </si>
  <si>
    <t xml:space="preserve">Treatment and coating of metals; machining</t>
  </si>
  <si>
    <t xml:space="preserve">257</t>
  </si>
  <si>
    <t xml:space="preserve">Manufacture of cutlery, tools and general hardware</t>
  </si>
  <si>
    <t xml:space="preserve">259</t>
  </si>
  <si>
    <t xml:space="preserve">Manufacture of other fabricated metal products</t>
  </si>
  <si>
    <t xml:space="preserve">261</t>
  </si>
  <si>
    <t xml:space="preserve">Manufacture of electronic components and boards</t>
  </si>
  <si>
    <t xml:space="preserve">262</t>
  </si>
  <si>
    <t xml:space="preserve">Manufacture of computers and peripheral equipment</t>
  </si>
  <si>
    <t xml:space="preserve">263</t>
  </si>
  <si>
    <t xml:space="preserve">Manufacture of communication equipment</t>
  </si>
  <si>
    <t xml:space="preserve">264</t>
  </si>
  <si>
    <t xml:space="preserve">Manufacture of consumer electronics</t>
  </si>
  <si>
    <t xml:space="preserve">265</t>
  </si>
  <si>
    <t xml:space="preserve">Manufacture of instruments and appliances for measuring, testing and navigation; watches and clocks</t>
  </si>
  <si>
    <t xml:space="preserve">266</t>
  </si>
  <si>
    <t xml:space="preserve">Manufacture of irradiation, electromedical and electrotherapeutic equipment</t>
  </si>
  <si>
    <t xml:space="preserve">267</t>
  </si>
  <si>
    <t xml:space="preserve">Manufacture of optical instruments and photographic equipment</t>
  </si>
  <si>
    <t xml:space="preserve">268</t>
  </si>
  <si>
    <t xml:space="preserve">Manufacture of magnetic and optical media</t>
  </si>
  <si>
    <t xml:space="preserve">271</t>
  </si>
  <si>
    <t xml:space="preserve">Manufacture of electric motors, generators, transformers and electricity distribution and control apparatus</t>
  </si>
  <si>
    <t xml:space="preserve">272</t>
  </si>
  <si>
    <t xml:space="preserve">Manufacture of batteries and accumulators</t>
  </si>
  <si>
    <t xml:space="preserve">273</t>
  </si>
  <si>
    <t xml:space="preserve">Manufacture of wiring and wiring devices</t>
  </si>
  <si>
    <t xml:space="preserve">274</t>
  </si>
  <si>
    <t xml:space="preserve">Manufacture of electric lighting equipment</t>
  </si>
  <si>
    <t xml:space="preserve">275</t>
  </si>
  <si>
    <t xml:space="preserve">Manufacture of domestic appliances</t>
  </si>
  <si>
    <t xml:space="preserve">279</t>
  </si>
  <si>
    <t xml:space="preserve">Manufacture of other electrical equipment</t>
  </si>
  <si>
    <t xml:space="preserve">281</t>
  </si>
  <si>
    <t xml:space="preserve">Manufacture of general-purpose machinery</t>
  </si>
  <si>
    <t xml:space="preserve">282</t>
  </si>
  <si>
    <t xml:space="preserve">Manufacture of other general-purpose machinery</t>
  </si>
  <si>
    <t xml:space="preserve">283</t>
  </si>
  <si>
    <t xml:space="preserve">Manufacture of agricultural and forestry machinery</t>
  </si>
  <si>
    <t xml:space="preserve">284</t>
  </si>
  <si>
    <t xml:space="preserve">Manufacture of metal forming machinery and machine tools</t>
  </si>
  <si>
    <t xml:space="preserve">289</t>
  </si>
  <si>
    <t xml:space="preserve">Manufacture of other special-purpose machinery</t>
  </si>
  <si>
    <t xml:space="preserve">291</t>
  </si>
  <si>
    <t xml:space="preserve">Manufacture of motor vehicles</t>
  </si>
  <si>
    <t xml:space="preserve">292</t>
  </si>
  <si>
    <t xml:space="preserve">Manufacture of bodies (coachwork) for motor vehicles; manufacture of trailers and semi-trailers</t>
  </si>
  <si>
    <t xml:space="preserve">293</t>
  </si>
  <si>
    <t xml:space="preserve">Manufacture of parts and accessories for motor vehicles</t>
  </si>
  <si>
    <t xml:space="preserve">301</t>
  </si>
  <si>
    <t xml:space="preserve">Building of ships and boats</t>
  </si>
  <si>
    <t xml:space="preserve">302</t>
  </si>
  <si>
    <t xml:space="preserve">Manufacture of railway locomotives and rolling stock</t>
  </si>
  <si>
    <t xml:space="preserve">303</t>
  </si>
  <si>
    <t xml:space="preserve">Manufacture of air and spacecraft and related machinery</t>
  </si>
  <si>
    <t xml:space="preserve">304</t>
  </si>
  <si>
    <t xml:space="preserve">Manufacture of military fighting vehicles</t>
  </si>
  <si>
    <t xml:space="preserve">309</t>
  </si>
  <si>
    <t xml:space="preserve">Manufacture of transport equipment n.e.c.</t>
  </si>
  <si>
    <t xml:space="preserve">310</t>
  </si>
  <si>
    <t xml:space="preserve">Manufacture of furniture</t>
  </si>
  <si>
    <t xml:space="preserve">321</t>
  </si>
  <si>
    <t xml:space="preserve">Manufacture of jewellery, bijouterie and related articles</t>
  </si>
  <si>
    <t xml:space="preserve">322</t>
  </si>
  <si>
    <t xml:space="preserve">Manufacture of musical instruments</t>
  </si>
  <si>
    <t xml:space="preserve">323</t>
  </si>
  <si>
    <t xml:space="preserve">Manufacture of sports goods</t>
  </si>
  <si>
    <t xml:space="preserve">324</t>
  </si>
  <si>
    <t xml:space="preserve">Manufacture of games and toys</t>
  </si>
  <si>
    <t xml:space="preserve">325</t>
  </si>
  <si>
    <t xml:space="preserve">Manufacture of medical and dental instruments and supplies</t>
  </si>
  <si>
    <t xml:space="preserve">329</t>
  </si>
  <si>
    <t xml:space="preserve">Manufacturing n.e.c.</t>
  </si>
  <si>
    <t xml:space="preserve">331</t>
  </si>
  <si>
    <t xml:space="preserve">Repair of fabricated metal products, machinery and equipment</t>
  </si>
  <si>
    <t xml:space="preserve">332</t>
  </si>
  <si>
    <t xml:space="preserve">Installation of industrial machinery and equipment</t>
  </si>
  <si>
    <t xml:space="preserve">491</t>
  </si>
  <si>
    <t xml:space="preserve">Passenger rail transport, interurban</t>
  </si>
  <si>
    <t xml:space="preserve">492</t>
  </si>
  <si>
    <t xml:space="preserve">Freight rail transport</t>
  </si>
  <si>
    <t xml:space="preserve">493</t>
  </si>
  <si>
    <t xml:space="preserve">Other passenger land transport</t>
  </si>
  <si>
    <t xml:space="preserve">494</t>
  </si>
  <si>
    <t xml:space="preserve">Freight transport by road and removal services</t>
  </si>
  <si>
    <t xml:space="preserve">495</t>
  </si>
  <si>
    <t xml:space="preserve">Transport via pipeline</t>
  </si>
  <si>
    <t xml:space="preserve">503</t>
  </si>
  <si>
    <t xml:space="preserve">Inland passenger water transport</t>
  </si>
  <si>
    <t xml:space="preserve">504</t>
  </si>
  <si>
    <t xml:space="preserve">Inland freight water transport</t>
  </si>
  <si>
    <t xml:space="preserve">521</t>
  </si>
  <si>
    <t xml:space="preserve">Warehousing and storage</t>
  </si>
  <si>
    <t xml:space="preserve">522</t>
  </si>
  <si>
    <t xml:space="preserve">Support activities for transportation</t>
  </si>
  <si>
    <t xml:space="preserve">531</t>
  </si>
  <si>
    <t xml:space="preserve">Postal activities under universal service obligation</t>
  </si>
  <si>
    <t xml:space="preserve">532</t>
  </si>
  <si>
    <t xml:space="preserve">Other postal and courier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</si>
</sst>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name val="Carlito"/>
    </font>
    <font>
      <sz val="11"/>
      <color rgb="FF000000"/>
      <name val="Carlito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arlito"/>
      <b/>
    </font>
    <font>
      <sz val="11"/>
      <color rgb="#000000"/>
      <name val="Carlito"/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</border>
    <border>
      <left style="thick">
        <color indexed="64"/>
      </left>
    </border>
    <border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E1" workbookViewId="0">
      <selection activeCell="E12" sqref="E12"/>
    </sheetView>
  </sheetViews>
  <sheetFormatPr defaultRowHeight="15.0" baseColWidth="10"/>
  <cols>
    <col min="2" max="2" width="8.77734375" hidden="0" customWidth="1"/>
    <col min="3" max="3" width="37.21875" hidden="0" customWidth="1"/>
    <col min="4" max="4" width="19.21875" hidden="0" customWidth="1"/>
    <col min="5" max="5" width="98" hidden="0" customWidth="1"/>
    <col min="7" max="7" width="19.44140625" hidden="0" customWidth="1"/>
    <col min="8" max="8" width="8.77734375" hidden="0" customWidth="1"/>
    <col min="9" max="9" width="8.77734375" hidden="0" customWidth="1"/>
    <col min="10" max="10" width="26.44140625" hidden="0" customWidth="1"/>
    <col min="11" max="11" width="46.77734375" hidden="0" customWidth="1"/>
  </cols>
  <sheetData>
    <row r="1">
      <c r="A1" t="s">
        <v>3308</v>
      </c>
      <c r="B1" t="s">
        <v>3309</v>
      </c>
      <c r="C1" t="s">
        <v>3344</v>
      </c>
      <c r="D1" t="s">
        <v>3362</v>
      </c>
      <c r="E1" t="s">
        <v>3363</v>
      </c>
      <c r="F1" t="s">
        <v>3346</v>
      </c>
      <c r="G1" s="1" t="s">
        <v>3337</v>
      </c>
      <c r="H1" s="3" t="s">
        <v>340</v>
      </c>
      <c r="I1" t="s">
        <v>3345</v>
      </c>
      <c r="J1" t="s">
        <v>3360</v>
      </c>
      <c r="K1" t="s">
        <v>3361</v>
      </c>
      <c r="L1" t="s">
        <v>3347</v>
      </c>
      <c r="M1" t="s">
        <v>3310</v>
      </c>
      <c r="N1" t="s">
        <v>3338</v>
      </c>
    </row>
    <row r="2">
      <c r="A2" t="n">
        <f>_xlfn.XLOOKUP(C2,'NACE Rev. All Levels'!$C:$C,'NACE Rev. All Levels'!A:A)</f>
        <v>3</v>
      </c>
      <c r="B2" t="str">
        <f>_xlfn.XLOOKUP(C2,'NACE Rev. All Levels'!$C:$C,'NACE Rev. All Levels'!B:B)</f>
        <v>171</v>
      </c>
      <c r="C2" t="s">
        <v>3328</v>
      </c>
      <c r="D2" t="str">
        <f t="array" ref="D2">_xlfn.TEXTJOIN(", ",TRUE,_xlfn.UNIQUE(_xlfn._xlws.FILTER(B:B,E:E=E2)))</f>
        <v>171</v>
      </c>
      <c r="E2" t="s">
        <v>3328</v>
      </c>
      <c r="F2" t="n">
        <f t="array" ref="F2">IF(I2="",0,COUNTA(_xlfn.UNIQUE(_xlfn._xlws.FILTER(K:K,E:E=E2))))</f>
        <v>1</v>
      </c>
      <c r="G2" s="1" t="s">
        <v>3340</v>
      </c>
      <c r="H2" s="3" t="str">
        <f>_xlfn.XLOOKUP(I2,'ETS activities'!B:B,'ETS activities'!A:A)</f>
        <v>35</v>
      </c>
      <c r="I2" t="s">
        <v>37</v>
      </c>
      <c r="J2" t="str">
        <f t="array" ref="J2">_xlfn.TEXTJOIN(", ",TRUE,_xlfn.UNIQUE(_xlfn._xlws.FILTER(H:H,K:K=K2)))</f>
        <v>35, 36</v>
      </c>
      <c r="K2" t="s">
        <v>3348</v>
      </c>
      <c r="L2" t="n">
        <f t="array" ref="L2">COUNTA(_xlfn.UNIQUE(_xlfn._xlws.FILTER(E:E,K:K=K2)))</f>
        <v>1</v>
      </c>
      <c r="M2" t="s">
        <v>3334</v>
      </c>
      <c r="N2" t="s">
        <v>3349</v>
      </c>
    </row>
    <row r="3">
      <c r="A3" t="n">
        <f>_xlfn.XLOOKUP(C3,'NACE Rev. All Levels'!$C:$C,'NACE Rev. All Levels'!A:A)</f>
        <v>3</v>
      </c>
      <c r="B3" t="str">
        <f>_xlfn.XLOOKUP(C3,'NACE Rev. All Levels'!$C:$C,'NACE Rev. All Levels'!B:B)</f>
        <v>171</v>
      </c>
      <c r="C3" t="s">
        <v>3328</v>
      </c>
      <c r="D3" t="str">
        <f t="array" ref="D3">_xlfn.TEXTJOIN(", ",TRUE,_xlfn.UNIQUE(_xlfn._xlws.FILTER(B:B,E:E=E3)))</f>
        <v>171</v>
      </c>
      <c r="E3" t="s">
        <v>3328</v>
      </c>
      <c r="F3" t="n">
        <f t="array" ref="F3">IF(I3="",0,COUNTA(_xlfn.UNIQUE(_xlfn._xlws.FILTER(K:K,E:E=E3))))</f>
        <v>1</v>
      </c>
      <c r="G3" s="1" t="s">
        <v>3340</v>
      </c>
      <c r="H3" s="3" t="str">
        <f>_xlfn.XLOOKUP(I3,'ETS activities'!B:B,'ETS activities'!A:A)</f>
        <v>36</v>
      </c>
      <c r="I3" t="s">
        <v>39</v>
      </c>
      <c r="J3" t="str">
        <f t="array" ref="J3">_xlfn.TEXTJOIN(", ",TRUE,_xlfn.UNIQUE(_xlfn._xlws.FILTER(H:H,K:K=K3)))</f>
        <v>35, 36</v>
      </c>
      <c r="K3" t="s">
        <v>3348</v>
      </c>
      <c r="L3" t="n">
        <f t="array" ref="L3">COUNTA(_xlfn.UNIQUE(_xlfn._xlws.FILTER(E:E,K:K=K3)))</f>
        <v>1</v>
      </c>
      <c r="M3" t="s">
        <v>3334</v>
      </c>
      <c r="N3" t="s">
        <v>3349</v>
      </c>
    </row>
    <row r="4">
      <c r="A4" t="n">
        <f>_xlfn.XLOOKUP(C4,'NACE Rev. All Levels'!$C:$C,'NACE Rev. All Levels'!A:A)</f>
        <v>3</v>
      </c>
      <c r="B4" t="str">
        <f>_xlfn.XLOOKUP(C4,'NACE Rev. All Levels'!$C:$C,'NACE Rev. All Levels'!B:B)</f>
        <v>191</v>
      </c>
      <c r="C4" t="s">
        <v>3316</v>
      </c>
      <c r="D4" t="str">
        <f t="array" ref="D4">_xlfn.TEXTJOIN(", ",TRUE,_xlfn.UNIQUE(_xlfn._xlws.FILTER(B:B,E:E=E4)))</f>
        <v>191</v>
      </c>
      <c r="E4" t="s">
        <v>3316</v>
      </c>
      <c r="F4" t="n">
        <f t="array" ref="F4">IF(I4="",0,COUNTA(_xlfn.UNIQUE(_xlfn._xlws.FILTER(K:K,E:E=E4))))</f>
        <v>1</v>
      </c>
      <c r="G4" s="1" t="s">
        <v>3339</v>
      </c>
      <c r="H4" s="3" t="str">
        <f>_xlfn.XLOOKUP(I4,'ETS activities'!B:B,'ETS activities'!A:A)</f>
        <v>22</v>
      </c>
      <c r="I4" t="s">
        <v>11</v>
      </c>
      <c r="J4" t="str">
        <f t="array" ref="J4">_xlfn.TEXTJOIN(", ",TRUE,_xlfn.UNIQUE(_xlfn._xlws.FILTER(H:H,K:K=K4)))</f>
        <v>22</v>
      </c>
      <c r="K4" t="s">
        <v>11</v>
      </c>
      <c r="L4" t="n">
        <f t="array" ref="L4">COUNTA(_xlfn.UNIQUE(_xlfn._xlws.FILTER(E:E,K:K=K4)))</f>
        <v>1</v>
      </c>
      <c r="M4" t="s">
        <v>3315</v>
      </c>
      <c r="N4" t="s">
        <v>3350</v>
      </c>
    </row>
    <row r="5">
      <c r="A5" t="n">
        <f>_xlfn.XLOOKUP(C5,'NACE Rev. All Levels'!$C:$C,'NACE Rev. All Levels'!A:A)</f>
        <v>3</v>
      </c>
      <c r="B5" t="str">
        <f>_xlfn.XLOOKUP(C5,'NACE Rev. All Levels'!$C:$C,'NACE Rev. All Levels'!B:B)</f>
        <v>192</v>
      </c>
      <c r="C5" t="s">
        <v>3314</v>
      </c>
      <c r="D5" t="str">
        <f t="array" ref="D5">_xlfn.TEXTJOIN(", ",TRUE,_xlfn.UNIQUE(_xlfn._xlws.FILTER(B:B,E:E=E5)))</f>
        <v>192</v>
      </c>
      <c r="E5" t="s">
        <v>3314</v>
      </c>
      <c r="F5" t="n">
        <f t="array" ref="F5">IF(I5="",0,COUNTA(_xlfn.UNIQUE(_xlfn._xlws.FILTER(K:K,E:E=E5))))</f>
        <v>1</v>
      </c>
      <c r="G5" s="1" t="s">
        <v>3339</v>
      </c>
      <c r="H5" s="3" t="str">
        <f>_xlfn.XLOOKUP(I5,'ETS activities'!B:B,'ETS activities'!A:A)</f>
        <v>21</v>
      </c>
      <c r="I5" t="s">
        <v>7</v>
      </c>
      <c r="J5" t="str">
        <f t="array" ref="J5">_xlfn.TEXTJOIN(", ",TRUE,_xlfn.UNIQUE(_xlfn._xlws.FILTER(H:H,K:K=K5)))</f>
        <v>21</v>
      </c>
      <c r="K5" t="s">
        <v>7</v>
      </c>
      <c r="L5" t="n">
        <f t="array" ref="L5">COUNTA(_xlfn.UNIQUE(_xlfn._xlws.FILTER(E:E,K:K=K5)))</f>
        <v>1</v>
      </c>
      <c r="M5" t="s">
        <v>3315</v>
      </c>
      <c r="N5" t="s">
        <v>3350</v>
      </c>
    </row>
    <row r="6">
      <c r="A6" t="n">
        <f>_xlfn.XLOOKUP(C6,'NACE Rev. All Levels'!$C:$C,'NACE Rev. All Levels'!A:A)</f>
        <v>3</v>
      </c>
      <c r="B6" t="str">
        <f>_xlfn.XLOOKUP(C6,'NACE Rev. All Levels'!$C:$C,'NACE Rev. All Levels'!B:B)</f>
        <v>201</v>
      </c>
      <c r="C6" t="s">
        <v>3329</v>
      </c>
      <c r="D6" t="str">
        <f t="array" ref="D6">_xlfn.TEXTJOIN(", ",TRUE,_xlfn.UNIQUE(_xlfn._xlws.FILTER(B:B,E:E=E6)))</f>
        <v>201</v>
      </c>
      <c r="E6" t="s">
        <v>3329</v>
      </c>
      <c r="F6" t="n">
        <f t="array" ref="F6">IF(I6="",0,COUNTA(_xlfn.UNIQUE(_xlfn._xlws.FILTER(K:K,E:E=E6))))</f>
        <v>1</v>
      </c>
      <c r="G6" s="1" t="s">
        <v>3340</v>
      </c>
      <c r="H6" s="3" t="str">
        <f>_xlfn.XLOOKUP(I6,'ETS activities'!B:B,'ETS activities'!A:A)</f>
        <v>37</v>
      </c>
      <c r="I6" t="s">
        <v>41</v>
      </c>
      <c r="J6" t="str">
        <f t="array" ref="J6">_xlfn.TEXTJOIN(", ",TRUE,_xlfn.UNIQUE(_xlfn._xlws.FILTER(H:H,K:K=K6)))</f>
        <v>37, 38, 39, 40, 41, 42, 43, 44</v>
      </c>
      <c r="K6" t="s">
        <v>3342</v>
      </c>
      <c r="L6" t="n">
        <f t="array" ref="L6">COUNTA(_xlfn.UNIQUE(_xlfn._xlws.FILTER(E:E,K:K=K6)))</f>
        <v>1</v>
      </c>
      <c r="M6" t="s">
        <v>3334</v>
      </c>
      <c r="N6" t="s">
        <v>3349</v>
      </c>
    </row>
    <row r="7">
      <c r="A7" t="n">
        <f>_xlfn.XLOOKUP(C7,'NACE Rev. All Levels'!$C:$C,'NACE Rev. All Levels'!A:A)</f>
        <v>3</v>
      </c>
      <c r="B7" t="str">
        <f>_xlfn.XLOOKUP(C7,'NACE Rev. All Levels'!$C:$C,'NACE Rev. All Levels'!B:B)</f>
        <v>201</v>
      </c>
      <c r="C7" t="s">
        <v>3329</v>
      </c>
      <c r="D7" t="str">
        <f t="array" ref="D7">_xlfn.TEXTJOIN(", ",TRUE,_xlfn.UNIQUE(_xlfn._xlws.FILTER(B:B,E:E=E7)))</f>
        <v>201</v>
      </c>
      <c r="E7" t="s">
        <v>3329</v>
      </c>
      <c r="F7" t="n">
        <f t="array" ref="F7">IF(I7="",0,COUNTA(_xlfn.UNIQUE(_xlfn._xlws.FILTER(K:K,E:E=E7))))</f>
        <v>1</v>
      </c>
      <c r="G7" s="1" t="s">
        <v>3340</v>
      </c>
      <c r="H7" s="3" t="str">
        <f>_xlfn.XLOOKUP(I7,'ETS activities'!B:B,'ETS activities'!A:A)</f>
        <v>38</v>
      </c>
      <c r="I7" t="s">
        <v>43</v>
      </c>
      <c r="J7" t="str">
        <f t="array" ref="J7">_xlfn.TEXTJOIN(", ",TRUE,_xlfn.UNIQUE(_xlfn._xlws.FILTER(H:H,K:K=K7)))</f>
        <v>37, 38, 39, 40, 41, 42, 43, 44</v>
      </c>
      <c r="K7" t="s">
        <v>3342</v>
      </c>
      <c r="L7" t="n">
        <f t="array" ref="L7">COUNTA(_xlfn.UNIQUE(_xlfn._xlws.FILTER(E:E,K:K=K7)))</f>
        <v>1</v>
      </c>
      <c r="M7" t="s">
        <v>3334</v>
      </c>
      <c r="N7" t="s">
        <v>3349</v>
      </c>
    </row>
    <row r="8">
      <c r="A8" t="n">
        <f>_xlfn.XLOOKUP(C8,'NACE Rev. All Levels'!$C:$C,'NACE Rev. All Levels'!A:A)</f>
        <v>3</v>
      </c>
      <c r="B8" t="str">
        <f>_xlfn.XLOOKUP(C8,'NACE Rev. All Levels'!$C:$C,'NACE Rev. All Levels'!B:B)</f>
        <v>201</v>
      </c>
      <c r="C8" t="s">
        <v>3329</v>
      </c>
      <c r="D8" t="str">
        <f t="array" ref="D8">_xlfn.TEXTJOIN(", ",TRUE,_xlfn.UNIQUE(_xlfn._xlws.FILTER(B:B,E:E=E8)))</f>
        <v>201</v>
      </c>
      <c r="E8" t="s">
        <v>3329</v>
      </c>
      <c r="F8" t="n">
        <f t="array" ref="F8">IF(I8="",0,COUNTA(_xlfn.UNIQUE(_xlfn._xlws.FILTER(K:K,E:E=E8))))</f>
        <v>1</v>
      </c>
      <c r="G8" s="1" t="s">
        <v>3340</v>
      </c>
      <c r="H8" s="3" t="str">
        <f>_xlfn.XLOOKUP(I8,'ETS activities'!B:B,'ETS activities'!A:A)</f>
        <v>39</v>
      </c>
      <c r="I8" t="s">
        <v>45</v>
      </c>
      <c r="J8" t="str">
        <f t="array" ref="J8">_xlfn.TEXTJOIN(", ",TRUE,_xlfn.UNIQUE(_xlfn._xlws.FILTER(H:H,K:K=K8)))</f>
        <v>37, 38, 39, 40, 41, 42, 43, 44</v>
      </c>
      <c r="K8" t="s">
        <v>3342</v>
      </c>
      <c r="L8" t="n">
        <f t="array" ref="L8">COUNTA(_xlfn.UNIQUE(_xlfn._xlws.FILTER(E:E,K:K=K8)))</f>
        <v>1</v>
      </c>
      <c r="M8" t="s">
        <v>3334</v>
      </c>
      <c r="N8" t="s">
        <v>3349</v>
      </c>
    </row>
    <row r="9">
      <c r="A9" t="n">
        <f>_xlfn.XLOOKUP(C9,'NACE Rev. All Levels'!$C:$C,'NACE Rev. All Levels'!A:A)</f>
        <v>3</v>
      </c>
      <c r="B9" t="str">
        <f>_xlfn.XLOOKUP(C9,'NACE Rev. All Levels'!$C:$C,'NACE Rev. All Levels'!B:B)</f>
        <v>201</v>
      </c>
      <c r="C9" t="s">
        <v>3329</v>
      </c>
      <c r="D9" t="str">
        <f t="array" ref="D9">_xlfn.TEXTJOIN(", ",TRUE,_xlfn.UNIQUE(_xlfn._xlws.FILTER(B:B,E:E=E9)))</f>
        <v>201</v>
      </c>
      <c r="E9" t="s">
        <v>3329</v>
      </c>
      <c r="F9" t="n">
        <f t="array" ref="F9">IF(I9="",0,COUNTA(_xlfn.UNIQUE(_xlfn._xlws.FILTER(K:K,E:E=E9))))</f>
        <v>1</v>
      </c>
      <c r="G9" s="1" t="s">
        <v>3340</v>
      </c>
      <c r="H9" s="3" t="str">
        <f>_xlfn.XLOOKUP(I9,'ETS activities'!B:B,'ETS activities'!A:A)</f>
        <v>40</v>
      </c>
      <c r="I9" t="s">
        <v>47</v>
      </c>
      <c r="J9" t="str">
        <f t="array" ref="J9">_xlfn.TEXTJOIN(", ",TRUE,_xlfn.UNIQUE(_xlfn._xlws.FILTER(H:H,K:K=K9)))</f>
        <v>37, 38, 39, 40, 41, 42, 43, 44</v>
      </c>
      <c r="K9" t="s">
        <v>3342</v>
      </c>
      <c r="L9" t="n">
        <f t="array" ref="L9">COUNTA(_xlfn.UNIQUE(_xlfn._xlws.FILTER(E:E,K:K=K9)))</f>
        <v>1</v>
      </c>
      <c r="M9" t="s">
        <v>3334</v>
      </c>
      <c r="N9" t="s">
        <v>3349</v>
      </c>
    </row>
    <row r="10">
      <c r="A10" t="n">
        <f>_xlfn.XLOOKUP(C10,'NACE Rev. All Levels'!$C:$C,'NACE Rev. All Levels'!A:A)</f>
        <v>3</v>
      </c>
      <c r="B10" t="str">
        <f>_xlfn.XLOOKUP(C10,'NACE Rev. All Levels'!$C:$C,'NACE Rev. All Levels'!B:B)</f>
        <v>201</v>
      </c>
      <c r="C10" t="s">
        <v>3329</v>
      </c>
      <c r="D10" t="str">
        <f t="array" ref="D10">_xlfn.TEXTJOIN(", ",TRUE,_xlfn.UNIQUE(_xlfn._xlws.FILTER(B:B,E:E=E10)))</f>
        <v>201</v>
      </c>
      <c r="E10" t="s">
        <v>3329</v>
      </c>
      <c r="F10" t="n">
        <f t="array" ref="F10">IF(I10="",0,COUNTA(_xlfn.UNIQUE(_xlfn._xlws.FILTER(K:K,E:E=E10))))</f>
        <v>1</v>
      </c>
      <c r="G10" s="1" t="s">
        <v>3340</v>
      </c>
      <c r="H10" s="3" t="str">
        <f>_xlfn.XLOOKUP(I10,'ETS activities'!B:B,'ETS activities'!A:A)</f>
        <v>41</v>
      </c>
      <c r="I10" t="s">
        <v>49</v>
      </c>
      <c r="J10" t="str">
        <f t="array" ref="J10">_xlfn.TEXTJOIN(", ",TRUE,_xlfn.UNIQUE(_xlfn._xlws.FILTER(H:H,K:K=K10)))</f>
        <v>37, 38, 39, 40, 41, 42, 43, 44</v>
      </c>
      <c r="K10" t="s">
        <v>3342</v>
      </c>
      <c r="L10" t="n">
        <f t="array" ref="L10">COUNTA(_xlfn.UNIQUE(_xlfn._xlws.FILTER(E:E,K:K=K10)))</f>
        <v>1</v>
      </c>
      <c r="M10" t="s">
        <v>3334</v>
      </c>
      <c r="N10" t="s">
        <v>3349</v>
      </c>
    </row>
    <row r="11">
      <c r="A11" t="n">
        <f>_xlfn.XLOOKUP(C11,'NACE Rev. All Levels'!$C:$C,'NACE Rev. All Levels'!A:A)</f>
        <v>3</v>
      </c>
      <c r="B11" t="str">
        <f>_xlfn.XLOOKUP(C11,'NACE Rev. All Levels'!$C:$C,'NACE Rev. All Levels'!B:B)</f>
        <v>201</v>
      </c>
      <c r="C11" t="s">
        <v>3329</v>
      </c>
      <c r="D11" t="str">
        <f t="array" ref="D11">_xlfn.TEXTJOIN(", ",TRUE,_xlfn.UNIQUE(_xlfn._xlws.FILTER(B:B,E:E=E11)))</f>
        <v>201</v>
      </c>
      <c r="E11" t="s">
        <v>3329</v>
      </c>
      <c r="F11" t="n">
        <f t="array" ref="F11">IF(I11="",0,COUNTA(_xlfn.UNIQUE(_xlfn._xlws.FILTER(K:K,E:E=E11))))</f>
        <v>1</v>
      </c>
      <c r="G11" s="1" t="s">
        <v>3340</v>
      </c>
      <c r="H11" s="3" t="str">
        <f>_xlfn.XLOOKUP(I11,'ETS activities'!B:B,'ETS activities'!A:A)</f>
        <v>42</v>
      </c>
      <c r="I11" t="s">
        <v>51</v>
      </c>
      <c r="J11" t="str">
        <f t="array" ref="J11">_xlfn.TEXTJOIN(", ",TRUE,_xlfn.UNIQUE(_xlfn._xlws.FILTER(H:H,K:K=K11)))</f>
        <v>37, 38, 39, 40, 41, 42, 43, 44</v>
      </c>
      <c r="K11" t="s">
        <v>3342</v>
      </c>
      <c r="L11" t="n">
        <f t="array" ref="L11">COUNTA(_xlfn.UNIQUE(_xlfn._xlws.FILTER(E:E,K:K=K11)))</f>
        <v>1</v>
      </c>
      <c r="M11" t="s">
        <v>3334</v>
      </c>
      <c r="N11" t="s">
        <v>3349</v>
      </c>
    </row>
    <row r="12">
      <c r="A12" t="n">
        <f>_xlfn.XLOOKUP(C12,'NACE Rev. All Levels'!$C:$C,'NACE Rev. All Levels'!A:A)</f>
        <v>3</v>
      </c>
      <c r="B12" t="str">
        <f>_xlfn.XLOOKUP(C12,'NACE Rev. All Levels'!$C:$C,'NACE Rev. All Levels'!B:B)</f>
        <v>201</v>
      </c>
      <c r="C12" t="s">
        <v>3329</v>
      </c>
      <c r="D12" t="str">
        <f t="array" ref="D12">_xlfn.TEXTJOIN(", ",TRUE,_xlfn.UNIQUE(_xlfn._xlws.FILTER(B:B,E:E=E12)))</f>
        <v>201</v>
      </c>
      <c r="E12" t="s">
        <v>3329</v>
      </c>
      <c r="F12" t="n">
        <f t="array" ref="F12">IF(I12="",0,COUNTA(_xlfn.UNIQUE(_xlfn._xlws.FILTER(K:K,E:E=E12))))</f>
        <v>1</v>
      </c>
      <c r="G12" s="1" t="s">
        <v>3340</v>
      </c>
      <c r="H12" s="3" t="str">
        <f>_xlfn.XLOOKUP(I12,'ETS activities'!B:B,'ETS activities'!A:A)</f>
        <v>43</v>
      </c>
      <c r="I12" t="s">
        <v>53</v>
      </c>
      <c r="J12" t="str">
        <f t="array" ref="J12">_xlfn.TEXTJOIN(", ",TRUE,_xlfn.UNIQUE(_xlfn._xlws.FILTER(H:H,K:K=K12)))</f>
        <v>37, 38, 39, 40, 41, 42, 43, 44</v>
      </c>
      <c r="K12" t="s">
        <v>3342</v>
      </c>
      <c r="L12" t="n">
        <f t="array" ref="L12">COUNTA(_xlfn.UNIQUE(_xlfn._xlws.FILTER(E:E,K:K=K12)))</f>
        <v>1</v>
      </c>
      <c r="M12" t="s">
        <v>3334</v>
      </c>
      <c r="N12" t="s">
        <v>3349</v>
      </c>
    </row>
    <row r="13">
      <c r="A13" t="n">
        <f>_xlfn.XLOOKUP(C13,'NACE Rev. All Levels'!$C:$C,'NACE Rev. All Levels'!A:A)</f>
        <v>3</v>
      </c>
      <c r="B13" t="str">
        <f>_xlfn.XLOOKUP(C13,'NACE Rev. All Levels'!$C:$C,'NACE Rev. All Levels'!B:B)</f>
        <v>201</v>
      </c>
      <c r="C13" t="s">
        <v>3329</v>
      </c>
      <c r="D13" t="str">
        <f t="array" ref="D13">_xlfn.TEXTJOIN(", ",TRUE,_xlfn.UNIQUE(_xlfn._xlws.FILTER(B:B,E:E=E13)))</f>
        <v>201</v>
      </c>
      <c r="E13" t="s">
        <v>3329</v>
      </c>
      <c r="F13" t="n">
        <f t="array" ref="F13">IF(I13="",0,COUNTA(_xlfn.UNIQUE(_xlfn._xlws.FILTER(K:K,E:E=E13))))</f>
        <v>1</v>
      </c>
      <c r="G13" s="1" t="s">
        <v>3340</v>
      </c>
      <c r="H13" s="3" t="str">
        <f>_xlfn.XLOOKUP(I13,'ETS activities'!B:B,'ETS activities'!A:A)</f>
        <v>44</v>
      </c>
      <c r="I13" t="s">
        <v>55</v>
      </c>
      <c r="J13" t="str">
        <f t="array" ref="J13">_xlfn.TEXTJOIN(", ",TRUE,_xlfn.UNIQUE(_xlfn._xlws.FILTER(H:H,K:K=K13)))</f>
        <v>37, 38, 39, 40, 41, 42, 43, 44</v>
      </c>
      <c r="K13" t="s">
        <v>3342</v>
      </c>
      <c r="L13" t="n">
        <f t="array" ref="L13">COUNTA(_xlfn.UNIQUE(_xlfn._xlws.FILTER(E:E,K:K=K13)))</f>
        <v>1</v>
      </c>
      <c r="M13" t="s">
        <v>3334</v>
      </c>
      <c r="N13" t="s">
        <v>3349</v>
      </c>
    </row>
    <row r="14">
      <c r="A14" t="n">
        <f>_xlfn.XLOOKUP(C14,'NACE Rev. All Levels'!$C:$C,'NACE Rev. All Levels'!A:A)</f>
        <v>3</v>
      </c>
      <c r="B14" t="str">
        <f>_xlfn.XLOOKUP(C14,'NACE Rev. All Levels'!$C:$C,'NACE Rev. All Levels'!B:B)</f>
        <v>231</v>
      </c>
      <c r="C14" t="s">
        <v>3322</v>
      </c>
      <c r="D14" t="str">
        <f t="array" ref="D14">_xlfn.TEXTJOIN(", ",TRUE,_xlfn.UNIQUE(_xlfn._xlws.FILTER(B:B,E:E=E14)))</f>
        <v>231</v>
      </c>
      <c r="E14" t="s">
        <v>3322</v>
      </c>
      <c r="F14" t="n">
        <f t="array" ref="F14">IF(I14="",0,COUNTA(_xlfn.UNIQUE(_xlfn._xlws.FILTER(K:K,E:E=E14))))</f>
        <v>1</v>
      </c>
      <c r="G14" s="1" t="s">
        <v>3339</v>
      </c>
      <c r="H14" s="3" t="str">
        <f>_xlfn.XLOOKUP(I14,'ETS activities'!B:B,'ETS activities'!A:A)</f>
        <v>31</v>
      </c>
      <c r="I14" t="s">
        <v>29</v>
      </c>
      <c r="J14" t="str">
        <f t="array" ref="J14">_xlfn.TEXTJOIN(", ",TRUE,_xlfn.UNIQUE(_xlfn._xlws.FILTER(H:H,K:K=K14)))</f>
        <v>31</v>
      </c>
      <c r="K14" t="s">
        <v>29</v>
      </c>
      <c r="L14" t="n">
        <f t="array" ref="L14">COUNTA(_xlfn.UNIQUE(_xlfn._xlws.FILTER(E:E,K:K=K14)))</f>
        <v>1</v>
      </c>
      <c r="M14" t="s">
        <v>3311</v>
      </c>
      <c r="N14" t="s">
        <v>3350</v>
      </c>
    </row>
    <row r="15">
      <c r="A15" t="n">
        <f>_xlfn.XLOOKUP(C15,'NACE Rev. All Levels'!$C:$C,'NACE Rev. All Levels'!A:A)</f>
        <v>3</v>
      </c>
      <c r="B15" t="str">
        <f>_xlfn.XLOOKUP(C15,'NACE Rev. All Levels'!$C:$C,'NACE Rev. All Levels'!B:B)</f>
        <v>232</v>
      </c>
      <c r="C15" t="s">
        <v>3323</v>
      </c>
      <c r="D15" t="str">
        <f t="array" ref="D15">_xlfn.TEXTJOIN(", ",TRUE,_xlfn.UNIQUE(_xlfn._xlws.FILTER(B:B,E:E=E15)))</f>
        <v>232, 233, 234</v>
      </c>
      <c r="E15" s="2" t="s">
        <v>3358</v>
      </c>
      <c r="F15" t="n">
        <f t="array" ref="F15">IF(I15="",0,COUNTA(_xlfn.UNIQUE(_xlfn._xlws.FILTER(K:K,E:E=E15))))</f>
        <v>1</v>
      </c>
      <c r="G15" s="1" t="s">
        <v>3341</v>
      </c>
      <c r="H15" s="3" t="str">
        <f>_xlfn.XLOOKUP(I15,'ETS activities'!B:B,'ETS activities'!A:A)</f>
        <v>32</v>
      </c>
      <c r="I15" t="s">
        <v>31</v>
      </c>
      <c r="J15" t="str">
        <f t="array" ref="J15">_xlfn.TEXTJOIN(", ",TRUE,_xlfn.UNIQUE(_xlfn._xlws.FILTER(H:H,K:K=K15)))</f>
        <v>32</v>
      </c>
      <c r="K15" t="s">
        <v>31</v>
      </c>
      <c r="L15" t="n">
        <f t="array" ref="L15">COUNTA(_xlfn.UNIQUE(_xlfn._xlws.FILTER(E:E,K:K=K15)))</f>
        <v>1</v>
      </c>
      <c r="M15" t="s">
        <v>3311</v>
      </c>
      <c r="N15" t="s">
        <v>3351</v>
      </c>
    </row>
    <row r="16">
      <c r="A16" t="n">
        <f>_xlfn.XLOOKUP(C16,'NACE Rev. All Levels'!$C:$C,'NACE Rev. All Levels'!A:A)</f>
        <v>3</v>
      </c>
      <c r="B16" t="str">
        <f>_xlfn.XLOOKUP(C16,'NACE Rev. All Levels'!$C:$C,'NACE Rev. All Levels'!B:B)</f>
        <v>233</v>
      </c>
      <c r="C16" t="s">
        <v>3324</v>
      </c>
      <c r="D16" t="str">
        <f t="array" ref="D16">_xlfn.TEXTJOIN(", ",TRUE,_xlfn.UNIQUE(_xlfn._xlws.FILTER(B:B,E:E=E16)))</f>
        <v>232, 233, 234</v>
      </c>
      <c r="E16" s="2" t="s">
        <v>3358</v>
      </c>
      <c r="F16" t="n">
        <f t="array" ref="F16">IF(I16="",0,COUNTA(_xlfn.UNIQUE(_xlfn._xlws.FILTER(K:K,E:E=E16))))</f>
        <v>1</v>
      </c>
      <c r="G16" s="1" t="s">
        <v>3341</v>
      </c>
      <c r="H16" s="3" t="str">
        <f>_xlfn.XLOOKUP(I16,'ETS activities'!B:B,'ETS activities'!A:A)</f>
        <v>32</v>
      </c>
      <c r="I16" t="s">
        <v>31</v>
      </c>
      <c r="J16" t="str">
        <f t="array" ref="J16">_xlfn.TEXTJOIN(", ",TRUE,_xlfn.UNIQUE(_xlfn._xlws.FILTER(H:H,K:K=K16)))</f>
        <v>32</v>
      </c>
      <c r="K16" t="s">
        <v>31</v>
      </c>
      <c r="L16" t="n">
        <f t="array" ref="L16">COUNTA(_xlfn.UNIQUE(_xlfn._xlws.FILTER(E:E,K:K=K16)))</f>
        <v>1</v>
      </c>
      <c r="M16" t="s">
        <v>3311</v>
      </c>
      <c r="N16" t="s">
        <v>3351</v>
      </c>
    </row>
    <row r="17">
      <c r="A17" t="n">
        <f>_xlfn.XLOOKUP(C17,'NACE Rev. All Levels'!$C:$C,'NACE Rev. All Levels'!A:A)</f>
        <v>3</v>
      </c>
      <c r="B17" t="str">
        <f>_xlfn.XLOOKUP(C17,'NACE Rev. All Levels'!$C:$C,'NACE Rev. All Levels'!B:B)</f>
        <v>234</v>
      </c>
      <c r="C17" t="s">
        <v>3325</v>
      </c>
      <c r="D17" t="str">
        <f t="array" ref="D17">_xlfn.TEXTJOIN(", ",TRUE,_xlfn.UNIQUE(_xlfn._xlws.FILTER(B:B,E:E=E17)))</f>
        <v>232, 233, 234</v>
      </c>
      <c r="E17" s="2" t="s">
        <v>3358</v>
      </c>
      <c r="F17" t="n">
        <f t="array" ref="F17">IF(I17="",0,COUNTA(_xlfn.UNIQUE(_xlfn._xlws.FILTER(K:K,E:E=E17))))</f>
        <v>1</v>
      </c>
      <c r="G17" s="1" t="s">
        <v>3341</v>
      </c>
      <c r="H17" s="3" t="str">
        <f>_xlfn.XLOOKUP(I17,'ETS activities'!B:B,'ETS activities'!A:A)</f>
        <v>32</v>
      </c>
      <c r="I17" t="s">
        <v>31</v>
      </c>
      <c r="J17" t="str">
        <f t="array" ref="J17">_xlfn.TEXTJOIN(", ",TRUE,_xlfn.UNIQUE(_xlfn._xlws.FILTER(H:H,K:K=K17)))</f>
        <v>32</v>
      </c>
      <c r="K17" t="s">
        <v>31</v>
      </c>
      <c r="L17" t="n">
        <f t="array" ref="L17">COUNTA(_xlfn.UNIQUE(_xlfn._xlws.FILTER(E:E,K:K=K17)))</f>
        <v>1</v>
      </c>
      <c r="M17" t="s">
        <v>3311</v>
      </c>
      <c r="N17" t="s">
        <v>3351</v>
      </c>
    </row>
    <row r="18">
      <c r="A18" t="n">
        <f>_xlfn.XLOOKUP(C18,'NACE Rev. All Levels'!$C:$C,'NACE Rev. All Levels'!A:A)</f>
        <v>3</v>
      </c>
      <c r="B18" t="str">
        <f>_xlfn.XLOOKUP(C18,'NACE Rev. All Levels'!$C:$C,'NACE Rev. All Levels'!B:B)</f>
        <v>235</v>
      </c>
      <c r="C18" t="s">
        <v>3321</v>
      </c>
      <c r="D18" t="str">
        <f t="array" ref="D18">_xlfn.TEXTJOIN(", ",TRUE,_xlfn.UNIQUE(_xlfn._xlws.FILTER(B:B,E:E=E18)))</f>
        <v>235</v>
      </c>
      <c r="E18" t="s">
        <v>3321</v>
      </c>
      <c r="F18" t="n">
        <f t="array" ref="F18">IF(I18="",0,COUNTA(_xlfn.UNIQUE(_xlfn._xlws.FILTER(K:K,E:E=E18))))</f>
        <v>1</v>
      </c>
      <c r="G18" s="1" t="s">
        <v>3340</v>
      </c>
      <c r="H18" s="3" t="str">
        <f>_xlfn.XLOOKUP(I18,'ETS activities'!B:B,'ETS activities'!A:A)</f>
        <v>29</v>
      </c>
      <c r="I18" t="s">
        <v>25</v>
      </c>
      <c r="J18" t="str">
        <f t="array" ref="J18">_xlfn.TEXTJOIN(", ",TRUE,_xlfn.UNIQUE(_xlfn._xlws.FILTER(H:H,K:K=K18)))</f>
        <v>29, 30</v>
      </c>
      <c r="K18" t="s">
        <v>3352</v>
      </c>
      <c r="L18" t="n">
        <f t="array" ref="L18">COUNTA(_xlfn.UNIQUE(_xlfn._xlws.FILTER(E:E,K:K=K18)))</f>
        <v>1</v>
      </c>
      <c r="M18" t="s">
        <v>3334</v>
      </c>
      <c r="N18" t="s">
        <v>3349</v>
      </c>
    </row>
    <row r="19">
      <c r="A19" t="n">
        <f>_xlfn.XLOOKUP(C19,'NACE Rev. All Levels'!$C:$C,'NACE Rev. All Levels'!A:A)</f>
        <v>3</v>
      </c>
      <c r="B19" t="str">
        <f>_xlfn.XLOOKUP(C19,'NACE Rev. All Levels'!$C:$C,'NACE Rev. All Levels'!B:B)</f>
        <v>235</v>
      </c>
      <c r="C19" t="s">
        <v>3321</v>
      </c>
      <c r="D19" t="str">
        <f t="array" ref="D19">_xlfn.TEXTJOIN(", ",TRUE,_xlfn.UNIQUE(_xlfn._xlws.FILTER(B:B,E:E=E19)))</f>
        <v>235</v>
      </c>
      <c r="E19" t="s">
        <v>3321</v>
      </c>
      <c r="F19" t="n">
        <f t="array" ref="F19">IF(I19="",0,COUNTA(_xlfn.UNIQUE(_xlfn._xlws.FILTER(K:K,E:E=E19))))</f>
        <v>1</v>
      </c>
      <c r="G19" s="1" t="s">
        <v>3340</v>
      </c>
      <c r="H19" s="3" t="str">
        <f>_xlfn.XLOOKUP(I19,'ETS activities'!B:B,'ETS activities'!A:A)</f>
        <v>30</v>
      </c>
      <c r="I19" t="s">
        <v>27</v>
      </c>
      <c r="J19" t="str">
        <f t="array" ref="J19">_xlfn.TEXTJOIN(", ",TRUE,_xlfn.UNIQUE(_xlfn._xlws.FILTER(H:H,K:K=K19)))</f>
        <v>29, 30</v>
      </c>
      <c r="K19" t="s">
        <v>3352</v>
      </c>
      <c r="L19" t="n">
        <f t="array" ref="L19">COUNTA(_xlfn.UNIQUE(_xlfn._xlws.FILTER(E:E,K:K=K19)))</f>
        <v>1</v>
      </c>
      <c r="M19" t="s">
        <v>3334</v>
      </c>
      <c r="N19" t="s">
        <v>3349</v>
      </c>
    </row>
    <row r="20">
      <c r="A20" t="n">
        <f>_xlfn.XLOOKUP(C20,'NACE Rev. All Levels'!$C:$C,'NACE Rev. All Levels'!A:A)</f>
        <v>3</v>
      </c>
      <c r="B20" t="str">
        <f>_xlfn.XLOOKUP(C20,'NACE Rev. All Levels'!$C:$C,'NACE Rev. All Levels'!B:B)</f>
        <v>236</v>
      </c>
      <c r="C20" t="s">
        <v>3327</v>
      </c>
      <c r="D20" t="str">
        <f t="array" ref="D20">_xlfn.TEXTJOIN(", ",TRUE,_xlfn.UNIQUE(_xlfn._xlws.FILTER(B:B,E:E=E20)))</f>
        <v>236</v>
      </c>
      <c r="E20" t="s">
        <v>3327</v>
      </c>
      <c r="F20" t="n">
        <f t="array" ref="F20">IF(I20="",0,COUNTA(_xlfn.UNIQUE(_xlfn._xlws.FILTER(K:K,E:E=E20))))</f>
        <v>1</v>
      </c>
      <c r="G20" s="1" t="s">
        <v>3339</v>
      </c>
      <c r="H20" s="3" t="str">
        <f>_xlfn.XLOOKUP(I20,'ETS activities'!B:B,'ETS activities'!A:A)</f>
        <v>34</v>
      </c>
      <c r="I20" t="s">
        <v>35</v>
      </c>
      <c r="J20" t="str">
        <f t="array" ref="J20">_xlfn.TEXTJOIN(", ",TRUE,_xlfn.UNIQUE(_xlfn._xlws.FILTER(H:H,K:K=K20)))</f>
        <v>34</v>
      </c>
      <c r="K20" t="s">
        <v>35</v>
      </c>
      <c r="L20" t="n">
        <f t="array" ref="L20">COUNTA(_xlfn.UNIQUE(_xlfn._xlws.FILTER(E:E,K:K=K20)))</f>
        <v>1</v>
      </c>
      <c r="M20" t="s">
        <v>3313</v>
      </c>
      <c r="N20" t="s">
        <v>3350</v>
      </c>
    </row>
    <row r="21">
      <c r="A21" t="n">
        <f>_xlfn.XLOOKUP(C21,'NACE Rev. All Levels'!$C:$C,'NACE Rev. All Levels'!A:A)</f>
        <v>3</v>
      </c>
      <c r="B21" t="str">
        <f>_xlfn.XLOOKUP(C21,'NACE Rev. All Levels'!$C:$C,'NACE Rev. All Levels'!B:B)</f>
        <v>239</v>
      </c>
      <c r="C21" t="s">
        <v>3326</v>
      </c>
      <c r="D21" t="str">
        <f t="array" ref="D21">_xlfn.TEXTJOIN(", ",TRUE,_xlfn.UNIQUE(_xlfn._xlws.FILTER(B:B,E:E=E21)))</f>
        <v>239</v>
      </c>
      <c r="E21" t="s">
        <v>3326</v>
      </c>
      <c r="F21" t="n">
        <f t="array" ref="F21">IF(I21="",0,COUNTA(_xlfn.UNIQUE(_xlfn._xlws.FILTER(K:K,E:E=E21))))</f>
        <v>1</v>
      </c>
      <c r="G21" s="1" t="s">
        <v>3339</v>
      </c>
      <c r="H21" s="3" t="str">
        <f>_xlfn.XLOOKUP(I21,'ETS activities'!B:B,'ETS activities'!A:A)</f>
        <v>33</v>
      </c>
      <c r="I21" t="s">
        <v>33</v>
      </c>
      <c r="J21" t="str">
        <f t="array" ref="J21">_xlfn.TEXTJOIN(", ",TRUE,_xlfn.UNIQUE(_xlfn._xlws.FILTER(H:H,K:K=K21)))</f>
        <v>33</v>
      </c>
      <c r="K21" t="s">
        <v>33</v>
      </c>
      <c r="L21" t="n">
        <f t="array" ref="L21">COUNTA(_xlfn.UNIQUE(_xlfn._xlws.FILTER(E:E,K:K=K21)))</f>
        <v>1</v>
      </c>
      <c r="M21" t="s">
        <v>3313</v>
      </c>
      <c r="N21" t="s">
        <v>3350</v>
      </c>
    </row>
    <row r="22">
      <c r="A22" t="n">
        <f>_xlfn.XLOOKUP(C22,'NACE Rev. All Levels'!$C:$C,'NACE Rev. All Levels'!A:A)</f>
        <v>3</v>
      </c>
      <c r="B22" t="str">
        <f>_xlfn.XLOOKUP(C22,'NACE Rev. All Levels'!$C:$C,'NACE Rev. All Levels'!B:B)</f>
        <v>241</v>
      </c>
      <c r="C22" t="s">
        <v>3317</v>
      </c>
      <c r="D22" t="str">
        <f t="array" ref="D22">_xlfn.TEXTJOIN(", ",TRUE,_xlfn.UNIQUE(_xlfn._xlws.FILTER(B:B,E:E=E22)))</f>
        <v>241</v>
      </c>
      <c r="E22" t="s">
        <v>3317</v>
      </c>
      <c r="F22" t="n">
        <f t="array" ref="F22">IF(I22="",0,COUNTA(_xlfn.UNIQUE(_xlfn._xlws.FILTER(K:K,E:E=E22))))</f>
        <v>1</v>
      </c>
      <c r="G22" s="1" t="s">
        <v>3340</v>
      </c>
      <c r="H22" s="3" t="str">
        <f>_xlfn.XLOOKUP(I22,'ETS activities'!B:B,'ETS activities'!A:A)</f>
        <v>23</v>
      </c>
      <c r="I22" t="s">
        <v>13</v>
      </c>
      <c r="J22" t="str">
        <f t="array" ref="J22">_xlfn.TEXTJOIN(", ",TRUE,_xlfn.UNIQUE(_xlfn._xlws.FILTER(H:H,K:K=K22)))</f>
        <v>23, 24</v>
      </c>
      <c r="K22" t="s">
        <v>3343</v>
      </c>
      <c r="L22" t="n">
        <f t="array" ref="L22">COUNTA(_xlfn.UNIQUE(_xlfn._xlws.FILTER(E:E,K:K=K22)))</f>
        <v>1</v>
      </c>
      <c r="M22" t="s">
        <v>3311</v>
      </c>
      <c r="N22" t="s">
        <v>3349</v>
      </c>
    </row>
    <row r="23">
      <c r="A23" t="n">
        <f>_xlfn.XLOOKUP(C23,'NACE Rev. All Levels'!$C:$C,'NACE Rev. All Levels'!A:A)</f>
        <v>3</v>
      </c>
      <c r="B23" t="str">
        <f>_xlfn.XLOOKUP(C23,'NACE Rev. All Levels'!$C:$C,'NACE Rev. All Levels'!B:B)</f>
        <v>241</v>
      </c>
      <c r="C23" t="s">
        <v>3317</v>
      </c>
      <c r="D23" t="str">
        <f t="array" ref="D23">_xlfn.TEXTJOIN(", ",TRUE,_xlfn.UNIQUE(_xlfn._xlws.FILTER(B:B,E:E=E23)))</f>
        <v>241</v>
      </c>
      <c r="E23" t="s">
        <v>3317</v>
      </c>
      <c r="F23" t="n">
        <f t="array" ref="F23">IF(I23="",0,COUNTA(_xlfn.UNIQUE(_xlfn._xlws.FILTER(K:K,E:E=E23))))</f>
        <v>1</v>
      </c>
      <c r="G23" s="1" t="s">
        <v>3340</v>
      </c>
      <c r="H23" s="3" t="str">
        <f>_xlfn.XLOOKUP(I23,'ETS activities'!B:B,'ETS activities'!A:A)</f>
        <v>24</v>
      </c>
      <c r="I23" t="s">
        <v>15</v>
      </c>
      <c r="J23" t="str">
        <f t="array" ref="J23">_xlfn.TEXTJOIN(", ",TRUE,_xlfn.UNIQUE(_xlfn._xlws.FILTER(H:H,K:K=K23)))</f>
        <v>23, 24</v>
      </c>
      <c r="K23" t="s">
        <v>3343</v>
      </c>
      <c r="L23" t="n">
        <f t="array" ref="L23">COUNTA(_xlfn.UNIQUE(_xlfn._xlws.FILTER(E:E,K:K=K23)))</f>
        <v>1</v>
      </c>
      <c r="M23" t="s">
        <v>3311</v>
      </c>
      <c r="N23" t="s">
        <v>3349</v>
      </c>
    </row>
    <row r="24">
      <c r="A24" t="n">
        <f>_xlfn.XLOOKUP(C24,'NACE Rev. All Levels'!$C:$C,'NACE Rev. All Levels'!A:A)</f>
        <v>3</v>
      </c>
      <c r="B24" t="str">
        <f>_xlfn.XLOOKUP(C24,'NACE Rev. All Levels'!$C:$C,'NACE Rev. All Levels'!B:B)</f>
        <v>242</v>
      </c>
      <c r="C24" t="s">
        <v>3318</v>
      </c>
      <c r="D24" t="str">
        <f t="array" ref="D24">_xlfn.TEXTJOIN(", ",TRUE,_xlfn.UNIQUE(_xlfn._xlws.FILTER(B:B,E:E=E24)))</f>
        <v>242, 243</v>
      </c>
      <c r="E24" s="2" t="s">
        <v>3359</v>
      </c>
      <c r="F24" t="n">
        <f t="array" ref="F24">IF(I24="",0,COUNTA(_xlfn.UNIQUE(_xlfn._xlws.FILTER(K:K,E:E=E24))))</f>
        <v>1</v>
      </c>
      <c r="G24" s="1" t="s">
        <v>3341</v>
      </c>
      <c r="H24" s="3" t="str">
        <f>_xlfn.XLOOKUP(I24,'ETS activities'!B:B,'ETS activities'!A:A)</f>
        <v>25</v>
      </c>
      <c r="I24" t="s">
        <v>17</v>
      </c>
      <c r="J24" t="str">
        <f t="array" ref="J24">_xlfn.TEXTJOIN(", ",TRUE,_xlfn.UNIQUE(_xlfn._xlws.FILTER(H:H,K:K=K24)))</f>
        <v>25</v>
      </c>
      <c r="K24" t="s">
        <v>17</v>
      </c>
      <c r="L24" t="n">
        <f t="array" ref="L24">COUNTA(_xlfn.UNIQUE(_xlfn._xlws.FILTER(E:E,K:K=K24)))</f>
        <v>1</v>
      </c>
      <c r="M24" t="s">
        <v>3311</v>
      </c>
      <c r="N24" t="s">
        <v>3353</v>
      </c>
    </row>
    <row r="25">
      <c r="A25" t="n">
        <f>_xlfn.XLOOKUP(C25,'NACE Rev. All Levels'!$C:$C,'NACE Rev. All Levels'!A:A)</f>
        <v>3</v>
      </c>
      <c r="B25" t="str">
        <f>_xlfn.XLOOKUP(C25,'NACE Rev. All Levels'!$C:$C,'NACE Rev. All Levels'!B:B)</f>
        <v>243</v>
      </c>
      <c r="C25" t="s">
        <v>3319</v>
      </c>
      <c r="D25" t="str">
        <f t="array" ref="D25">_xlfn.TEXTJOIN(", ",TRUE,_xlfn.UNIQUE(_xlfn._xlws.FILTER(B:B,E:E=E25)))</f>
        <v>242, 243</v>
      </c>
      <c r="E25" s="2" t="s">
        <v>3359</v>
      </c>
      <c r="F25" t="n">
        <f t="array" ref="F25">IF(I25="",0,COUNTA(_xlfn.UNIQUE(_xlfn._xlws.FILTER(K:K,E:E=E25))))</f>
        <v>1</v>
      </c>
      <c r="G25" s="1" t="s">
        <v>3341</v>
      </c>
      <c r="H25" s="3" t="str">
        <f>_xlfn.XLOOKUP(I25,'ETS activities'!B:B,'ETS activities'!A:A)</f>
        <v>25</v>
      </c>
      <c r="I25" t="s">
        <v>17</v>
      </c>
      <c r="J25" t="str">
        <f t="array" ref="J25">_xlfn.TEXTJOIN(", ",TRUE,_xlfn.UNIQUE(_xlfn._xlws.FILTER(H:H,K:K=K25)))</f>
        <v>25</v>
      </c>
      <c r="K25" t="s">
        <v>17</v>
      </c>
      <c r="L25" t="n">
        <f t="array" ref="L25">COUNTA(_xlfn.UNIQUE(_xlfn._xlws.FILTER(E:E,K:K=K25)))</f>
        <v>1</v>
      </c>
      <c r="M25" t="s">
        <v>3311</v>
      </c>
      <c r="N25" t="s">
        <v>3353</v>
      </c>
    </row>
    <row r="26">
      <c r="A26" t="n">
        <f>_xlfn.XLOOKUP(C26,'NACE Rev. All Levels'!$C:$C,'NACE Rev. All Levels'!A:A)</f>
        <v>3</v>
      </c>
      <c r="B26" t="str">
        <f>_xlfn.XLOOKUP(C26,'NACE Rev. All Levels'!$C:$C,'NACE Rev. All Levels'!B:B)</f>
        <v>244</v>
      </c>
      <c r="C26" t="s">
        <v>3320</v>
      </c>
      <c r="D26" t="str">
        <f t="array" ref="D26">_xlfn.TEXTJOIN(", ",TRUE,_xlfn.UNIQUE(_xlfn._xlws.FILTER(B:B,E:E=E26)))</f>
        <v>244</v>
      </c>
      <c r="E26" t="s">
        <v>3320</v>
      </c>
      <c r="F26" t="n">
        <f t="array" ref="F26">IF(I26="",0,COUNTA(_xlfn.UNIQUE(_xlfn._xlws.FILTER(K:K,E:E=E26))))</f>
        <v>1</v>
      </c>
      <c r="G26" s="1" t="s">
        <v>3340</v>
      </c>
      <c r="H26" s="3" t="str">
        <f>_xlfn.XLOOKUP(I26,'ETS activities'!B:B,'ETS activities'!A:A)</f>
        <v>28</v>
      </c>
      <c r="I26" t="s">
        <v>23</v>
      </c>
      <c r="J26" t="str">
        <f t="array" ref="J26">_xlfn.TEXTJOIN(", ",TRUE,_xlfn.UNIQUE(_xlfn._xlws.FILTER(H:H,K:K=K26)))</f>
        <v>28, 26, 27</v>
      </c>
      <c r="K26" t="s">
        <v>3354</v>
      </c>
      <c r="L26" t="n">
        <f t="array" ref="L26">COUNTA(_xlfn.UNIQUE(_xlfn._xlws.FILTER(E:E,K:K=K26)))</f>
        <v>1</v>
      </c>
      <c r="M26" t="s">
        <v>3334</v>
      </c>
      <c r="N26" t="s">
        <v>3355</v>
      </c>
    </row>
    <row r="27">
      <c r="A27" t="n">
        <f>_xlfn.XLOOKUP(C27,'NACE Rev. All Levels'!$C:$C,'NACE Rev. All Levels'!A:A)</f>
        <v>3</v>
      </c>
      <c r="B27" t="str">
        <f>_xlfn.XLOOKUP(C27,'NACE Rev. All Levels'!$C:$C,'NACE Rev. All Levels'!B:B)</f>
        <v>244</v>
      </c>
      <c r="C27" t="s">
        <v>3320</v>
      </c>
      <c r="D27" t="str">
        <f t="array" ref="D27">_xlfn.TEXTJOIN(", ",TRUE,_xlfn.UNIQUE(_xlfn._xlws.FILTER(B:B,E:E=E27)))</f>
        <v>244</v>
      </c>
      <c r="E27" t="s">
        <v>3320</v>
      </c>
      <c r="F27" t="n">
        <f t="array" ref="F27">IF(I27="",0,COUNTA(_xlfn.UNIQUE(_xlfn._xlws.FILTER(K:K,E:E=E27))))</f>
        <v>1</v>
      </c>
      <c r="G27" s="1" t="s">
        <v>3340</v>
      </c>
      <c r="H27" s="3" t="str">
        <f>_xlfn.XLOOKUP(I27,'ETS activities'!B:B,'ETS activities'!A:A)</f>
        <v>26</v>
      </c>
      <c r="I27" t="s">
        <v>19</v>
      </c>
      <c r="J27" t="str">
        <f t="array" ref="J27">_xlfn.TEXTJOIN(", ",TRUE,_xlfn.UNIQUE(_xlfn._xlws.FILTER(H:H,K:K=K27)))</f>
        <v>28, 26, 27</v>
      </c>
      <c r="K27" t="s">
        <v>3354</v>
      </c>
      <c r="L27" t="n">
        <f t="array" ref="L27">COUNTA(_xlfn.UNIQUE(_xlfn._xlws.FILTER(E:E,K:K=K27)))</f>
        <v>1</v>
      </c>
      <c r="M27" t="s">
        <v>3334</v>
      </c>
      <c r="N27" t="s">
        <v>3349</v>
      </c>
    </row>
    <row r="28">
      <c r="A28" t="n">
        <f>_xlfn.XLOOKUP(C28,'NACE Rev. All Levels'!$C:$C,'NACE Rev. All Levels'!A:A)</f>
        <v>3</v>
      </c>
      <c r="B28" t="str">
        <f>_xlfn.XLOOKUP(C28,'NACE Rev. All Levels'!$C:$C,'NACE Rev. All Levels'!B:B)</f>
        <v>244</v>
      </c>
      <c r="C28" t="s">
        <v>3320</v>
      </c>
      <c r="D28" t="str">
        <f t="array" ref="D28">_xlfn.TEXTJOIN(", ",TRUE,_xlfn.UNIQUE(_xlfn._xlws.FILTER(B:B,E:E=E28)))</f>
        <v>244</v>
      </c>
      <c r="E28" t="s">
        <v>3320</v>
      </c>
      <c r="F28" t="n">
        <f t="array" ref="F28">IF(I28="",0,COUNTA(_xlfn.UNIQUE(_xlfn._xlws.FILTER(K:K,E:E=E28))))</f>
        <v>1</v>
      </c>
      <c r="G28" s="1" t="s">
        <v>3340</v>
      </c>
      <c r="H28" s="3" t="str">
        <f>_xlfn.XLOOKUP(I28,'ETS activities'!B:B,'ETS activities'!A:A)</f>
        <v>27</v>
      </c>
      <c r="I28" t="s">
        <v>21</v>
      </c>
      <c r="J28" t="str">
        <f t="array" ref="J28">_xlfn.TEXTJOIN(", ",TRUE,_xlfn.UNIQUE(_xlfn._xlws.FILTER(H:H,K:K=K28)))</f>
        <v>28, 26, 27</v>
      </c>
      <c r="K28" t="s">
        <v>3354</v>
      </c>
      <c r="L28" t="n">
        <f t="array" ref="L28">COUNTA(_xlfn.UNIQUE(_xlfn._xlws.FILTER(E:E,K:K=K28)))</f>
        <v>1</v>
      </c>
      <c r="M28" t="s">
        <v>3334</v>
      </c>
      <c r="N28" t="s">
        <v>3349</v>
      </c>
    </row>
    <row r="29">
      <c r="A29" t="n">
        <f>_xlfn.XLOOKUP(C29,'NACE Rev. All Levels'!$C:$C,'NACE Rev. All Levels'!A:A)</f>
        <v>2</v>
      </c>
      <c r="B29" t="str">
        <f>_xlfn.XLOOKUP(C29,'NACE Rev. All Levels'!$C:$C,'NACE Rev. All Levels'!B:B)</f>
        <v>35</v>
      </c>
      <c r="C29" t="s">
        <v>3312</v>
      </c>
      <c r="D29" t="str">
        <f t="array" ref="D29">_xlfn.TEXTJOIN(", ",TRUE,_xlfn.UNIQUE(_xlfn._xlws.FILTER(B:B,E:E=E29)))</f>
        <v>35</v>
      </c>
      <c r="E29" t="s">
        <v>3312</v>
      </c>
      <c r="F29" t="n">
        <f t="array" ref="F29">IF(I29="",0,COUNTA(_xlfn.UNIQUE(_xlfn._xlws.FILTER(K:K,E:E=E29))))</f>
        <v>1</v>
      </c>
      <c r="G29" s="1" t="s">
        <v>3339</v>
      </c>
      <c r="H29" s="3" t="str">
        <f>_xlfn.XLOOKUP(I29,'ETS activities'!B:B,'ETS activities'!A:A)</f>
        <v>20</v>
      </c>
      <c r="I29" t="s">
        <v>3</v>
      </c>
      <c r="J29" t="str">
        <f t="array" ref="J29">_xlfn.TEXTJOIN(", ",TRUE,_xlfn.UNIQUE(_xlfn._xlws.FILTER(H:H,K:K=K29)))</f>
        <v>20</v>
      </c>
      <c r="K29" t="s">
        <v>3</v>
      </c>
      <c r="L29" t="n">
        <f t="array" ref="L29">COUNTA(_xlfn.UNIQUE(_xlfn._xlws.FILTER(E:E,K:K=K29)))</f>
        <v>1</v>
      </c>
      <c r="M29" t="s">
        <v>3313</v>
      </c>
      <c r="N29" t="s">
        <v>3350</v>
      </c>
    </row>
    <row r="30">
      <c r="A30" t="n">
        <f>_xlfn.XLOOKUP(C30,'NACE Rev. All Levels'!$C:$C,'NACE Rev. All Levels'!A:A)</f>
        <v>2</v>
      </c>
      <c r="B30" t="str">
        <f>_xlfn.XLOOKUP(C30,'NACE Rev. All Levels'!$C:$C,'NACE Rev. All Levels'!B:B)</f>
        <v>39</v>
      </c>
      <c r="C30" t="s">
        <v>3330</v>
      </c>
      <c r="D30" t="str">
        <f t="array" ref="D30">_xlfn.TEXTJOIN(", ",TRUE,_xlfn.UNIQUE(_xlfn._xlws.FILTER(B:B,E:E=E30)))</f>
        <v>39</v>
      </c>
      <c r="E30" t="s">
        <v>3330</v>
      </c>
      <c r="F30" t="n">
        <f t="array" ref="F30">IF(I30="",0,COUNTA(_xlfn.UNIQUE(_xlfn._xlws.FILTER(K:K,E:E=E30))))</f>
        <v>1</v>
      </c>
      <c r="G30" s="1" t="s">
        <v>3339</v>
      </c>
      <c r="H30" s="3" t="str">
        <f>_xlfn.XLOOKUP(I30,'ETS activities'!B:B,'ETS activities'!A:A)</f>
        <v>45</v>
      </c>
      <c r="I30" t="s">
        <v>57</v>
      </c>
      <c r="J30" t="str">
        <f t="array" ref="J30">_xlfn.TEXTJOIN(", ",TRUE,_xlfn.UNIQUE(_xlfn._xlws.FILTER(H:H,K:K=K30)))</f>
        <v>45</v>
      </c>
      <c r="K30" t="s">
        <v>57</v>
      </c>
      <c r="L30" t="n">
        <f t="array" ref="L30">COUNTA(_xlfn.UNIQUE(_xlfn._xlws.FILTER(E:E,K:K=K30)))</f>
        <v>1</v>
      </c>
      <c r="M30" t="s">
        <v>3313</v>
      </c>
      <c r="N30" t="s">
        <v>3350</v>
      </c>
    </row>
    <row r="31">
      <c r="A31" t="n">
        <f>_xlfn.XLOOKUP(C31,'NACE Rev. All Levels'!$C:$C,'NACE Rev. All Levels'!A:A)</f>
        <v>3</v>
      </c>
      <c r="B31" t="str">
        <f>_xlfn.XLOOKUP(C31,'NACE Rev. All Levels'!$C:$C,'NACE Rev. All Levels'!B:B)</f>
        <v>501</v>
      </c>
      <c r="C31" t="s">
        <v>3335</v>
      </c>
      <c r="D31" t="str">
        <f t="array" ref="D31">_xlfn.TEXTJOIN(", ",TRUE,_xlfn.UNIQUE(_xlfn._xlws.FILTER(B:B,E:E=E31)))</f>
        <v>501, 502</v>
      </c>
      <c r="E31" t="s">
        <v>3356</v>
      </c>
      <c r="F31" t="n">
        <f t="array" ref="F31">IF(I31="",0,COUNTA(_xlfn.UNIQUE(_xlfn._xlws.FILTER(K:K,E:E=E31))))</f>
        <v>1</v>
      </c>
      <c r="G31" s="1" t="s">
        <v>3341</v>
      </c>
      <c r="H31" s="3" t="str">
        <f>_xlfn.XLOOKUP(I31,'ETS activities'!B:B,'ETS activities'!A:A)</f>
        <v>50</v>
      </c>
      <c r="I31" t="s">
        <v>59</v>
      </c>
      <c r="J31" t="str">
        <f t="array" ref="J31">_xlfn.TEXTJOIN(", ",TRUE,_xlfn.UNIQUE(_xlfn._xlws.FILTER(H:H,K:K=K31)))</f>
        <v>50</v>
      </c>
      <c r="K31" t="s">
        <v>59</v>
      </c>
      <c r="L31" t="n">
        <f t="array" ref="L31">COUNTA(_xlfn.UNIQUE(_xlfn._xlws.FILTER(E:E,K:K=K31)))</f>
        <v>1</v>
      </c>
      <c r="M31" t="s">
        <v>3311</v>
      </c>
      <c r="N31" t="s">
        <v>3351</v>
      </c>
    </row>
    <row r="32">
      <c r="A32" t="n">
        <f>_xlfn.XLOOKUP(C32,'NACE Rev. All Levels'!$C:$C,'NACE Rev. All Levels'!A:A)</f>
        <v>3</v>
      </c>
      <c r="B32" t="str">
        <f>_xlfn.XLOOKUP(C32,'NACE Rev. All Levels'!$C:$C,'NACE Rev. All Levels'!B:B)</f>
        <v>502</v>
      </c>
      <c r="C32" t="s">
        <v>3336</v>
      </c>
      <c r="D32" t="str">
        <f t="array" ref="D32">_xlfn.TEXTJOIN(", ",TRUE,_xlfn.UNIQUE(_xlfn._xlws.FILTER(B:B,E:E=E32)))</f>
        <v>501, 502</v>
      </c>
      <c r="E32" t="s">
        <v>3356</v>
      </c>
      <c r="F32" t="n">
        <f t="array" ref="F32">IF(I32="",0,COUNTA(_xlfn.UNIQUE(_xlfn._xlws.FILTER(K:K,E:E=E32))))</f>
        <v>1</v>
      </c>
      <c r="G32" s="1" t="s">
        <v>3341</v>
      </c>
      <c r="H32" s="3" t="str">
        <f>_xlfn.XLOOKUP(I32,'ETS activities'!B:B,'ETS activities'!A:A)</f>
        <v>50</v>
      </c>
      <c r="I32" t="s">
        <v>59</v>
      </c>
      <c r="J32" t="str">
        <f t="array" ref="J32">_xlfn.TEXTJOIN(", ",TRUE,_xlfn.UNIQUE(_xlfn._xlws.FILTER(H:H,K:K=K32)))</f>
        <v>50</v>
      </c>
      <c r="K32" t="s">
        <v>59</v>
      </c>
      <c r="L32" t="n">
        <f t="array" ref="L32">COUNTA(_xlfn.UNIQUE(_xlfn._xlws.FILTER(E:E,K:K=K32)))</f>
        <v>1</v>
      </c>
      <c r="M32" t="s">
        <v>3311</v>
      </c>
      <c r="N32" t="s">
        <v>3351</v>
      </c>
    </row>
    <row r="33">
      <c r="A33" t="n">
        <f>_xlfn.XLOOKUP(C33,'NACE Rev. All Levels'!$C:$C,'NACE Rev. All Levels'!A:A)</f>
        <v>3</v>
      </c>
      <c r="B33" t="str">
        <f>_xlfn.XLOOKUP(C33,'NACE Rev. All Levels'!$C:$C,'NACE Rev. All Levels'!B:B)</f>
        <v>511</v>
      </c>
      <c r="C33" t="s">
        <v>3332</v>
      </c>
      <c r="D33" t="str">
        <f t="array" ref="D33">_xlfn.TEXTJOIN(", ",TRUE,_xlfn.UNIQUE(_xlfn._xlws.FILTER(B:B,E:E=E33)))</f>
        <v>511, 512</v>
      </c>
      <c r="E33" t="s">
        <v>3357</v>
      </c>
      <c r="F33" t="n">
        <f t="array" ref="F33">IF(I33="",0,COUNTA(_xlfn.UNIQUE(_xlfn._xlws.FILTER(K:K,E:E=E33))))</f>
        <v>1</v>
      </c>
      <c r="G33" s="1" t="s">
        <v>3341</v>
      </c>
      <c r="H33" s="3" t="str">
        <f>_xlfn.XLOOKUP(I33,'ETS activities'!B:B,'ETS activities'!A:A)</f>
        <v>10</v>
      </c>
      <c r="I33" t="s">
        <v>1</v>
      </c>
      <c r="J33" t="str">
        <f t="array" ref="J33">_xlfn.TEXTJOIN(", ",TRUE,_xlfn.UNIQUE(_xlfn._xlws.FILTER(H:H,K:K=K33)))</f>
        <v>10</v>
      </c>
      <c r="K33" t="s">
        <v>1</v>
      </c>
      <c r="L33" t="n">
        <f t="array" ref="L33">COUNTA(_xlfn.UNIQUE(_xlfn._xlws.FILTER(E:E,K:K=K33)))</f>
        <v>1</v>
      </c>
      <c r="M33" t="s">
        <v>3311</v>
      </c>
      <c r="N33" t="s">
        <v>3351</v>
      </c>
    </row>
    <row r="34">
      <c r="A34" t="n">
        <f>_xlfn.XLOOKUP(C34,'NACE Rev. All Levels'!$C:$C,'NACE Rev. All Levels'!A:A)</f>
        <v>3</v>
      </c>
      <c r="B34" t="str">
        <f>_xlfn.XLOOKUP(C34,'NACE Rev. All Levels'!$C:$C,'NACE Rev. All Levels'!B:B)</f>
        <v>512</v>
      </c>
      <c r="C34" t="s">
        <v>3333</v>
      </c>
      <c r="D34" t="str">
        <f t="array" ref="D34">_xlfn.TEXTJOIN(", ",TRUE,_xlfn.UNIQUE(_xlfn._xlws.FILTER(B:B,E:E=E34)))</f>
        <v>511, 512</v>
      </c>
      <c r="E34" t="s">
        <v>3357</v>
      </c>
      <c r="F34" t="n">
        <f t="array" ref="F34">IF(I34="",0,COUNTA(_xlfn.UNIQUE(_xlfn._xlws.FILTER(K:K,E:E=E34))))</f>
        <v>1</v>
      </c>
      <c r="G34" s="1" t="s">
        <v>3341</v>
      </c>
      <c r="H34" s="3" t="str">
        <f>_xlfn.XLOOKUP(I34,'ETS activities'!B:B,'ETS activities'!A:A)</f>
        <v>10</v>
      </c>
      <c r="I34" t="s">
        <v>1</v>
      </c>
      <c r="J34" t="str">
        <f t="array" ref="J34">_xlfn.TEXTJOIN(", ",TRUE,_xlfn.UNIQUE(_xlfn._xlws.FILTER(H:H,K:K=K34)))</f>
        <v>10</v>
      </c>
      <c r="K34" t="s">
        <v>1</v>
      </c>
      <c r="L34" t="n">
        <f t="array" ref="L34">COUNTA(_xlfn.UNIQUE(_xlfn._xlws.FILTER(E:E,K:K=K34)))</f>
        <v>1</v>
      </c>
      <c r="M34" t="s">
        <v>3311</v>
      </c>
      <c r="N34" t="s">
        <v>3351</v>
      </c>
    </row>
    <row r="35">
      <c r="G35" s="1"/>
    </row>
    <row r="36">
      <c r="G36" s="1"/>
    </row>
    <row r="37">
      <c r="G37" s="1"/>
    </row>
  </sheetData>
  <conditionalFormatting sqref="F2:F22 F24:F37">
    <cfRule type="colorScale" priority="3">
      <colorScale>
        <cfvo type="num" val="1"/>
        <cfvo type="percentile" val="50"/>
        <cfvo type="num" val="5"/>
        <color rgb="FF63BE7B"/>
        <color rgb="FFFFEB84"/>
        <color rgb="FFF8696B"/>
      </colorScale>
    </cfRule>
  </conditionalFormatting>
  <conditionalFormatting sqref="F2:F34">
    <cfRule type="colorScale" priority="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L2:L37">
    <cfRule type="colorScale" priority="2">
      <colorScale>
        <cfvo type="num" val="1"/>
        <cfvo type="percentile" val="50"/>
        <cfvo type="num" val="5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122" activePane="bottomLeft" state="frozen"/>
      <selection pane="bottomLeft" activeCell="G1" sqref="G1"/>
    </sheetView>
  </sheetViews>
  <sheetFormatPr defaultRowHeight="15.0" baseColWidth="10"/>
  <cols>
    <col min="1" max="1" width="4.6640625" hidden="0" customWidth="1"/>
    <col min="2" max="2" width="4.77734375" hidden="0" customWidth="1"/>
    <col min="3" max="3" width="71.21875" hidden="0" customWidth="1"/>
    <col min="4" max="4" width="125.5546875" hidden="1" customWidth="1"/>
    <col min="5" max="5" width="11.33203125" hidden="0" customWidth="1"/>
  </cols>
  <sheetData>
    <row r="1">
      <c r="A1" t="s">
        <v>3302</v>
      </c>
      <c r="B1" t="s">
        <v>335</v>
      </c>
      <c r="C1" t="s">
        <v>3303</v>
      </c>
      <c r="D1" t="s">
        <v>3304</v>
      </c>
      <c r="E1" t="s">
        <v>3305</v>
      </c>
      <c r="F1" t="s">
        <v>3306</v>
      </c>
    </row>
    <row r="2">
      <c r="A2" t="n">
        <v>2</v>
      </c>
      <c r="B2" t="s">
        <v>404</v>
      </c>
      <c r="C2" t="str">
        <f t="shared" ref="C2:C65" si="0">IF(A2=1,RIGHT(D2,LEN(D2)-2),IF(A2=2,RIGHT(D2,LEN(D2)-3),IF(A2=3,RIGHT(D2,LEN(D2)-5),RIGHT(D2,LEN(D2)-6))))</f>
        <v>Crop and animal production, hunting and related service activities</v>
      </c>
      <c r="D2" t="s">
        <v>405</v>
      </c>
      <c r="E2" t="s">
        <v>341</v>
      </c>
      <c r="F2" t="s">
        <v>406</v>
      </c>
    </row>
    <row r="3">
      <c r="A3" t="n">
        <v>3</v>
      </c>
      <c r="B3" t="s">
        <v>642</v>
      </c>
      <c r="C3" t="str">
        <f t="shared" si="0"/>
        <v>Growing of non-perennial crops</v>
      </c>
      <c r="D3" t="s">
        <v>643</v>
      </c>
      <c r="E3" t="s">
        <v>404</v>
      </c>
      <c r="F3" t="s">
        <v>644</v>
      </c>
    </row>
    <row r="4">
      <c r="A4" t="n">
        <v>4</v>
      </c>
      <c r="B4" t="s">
        <v>1457</v>
      </c>
      <c r="C4" t="str">
        <f t="shared" si="0"/>
        <v>Growing of cereals (except rice), leguminous crops and oil seeds</v>
      </c>
      <c r="D4" t="s">
        <v>1458</v>
      </c>
      <c r="E4" t="s">
        <v>642</v>
      </c>
      <c r="F4" t="s">
        <v>1459</v>
      </c>
    </row>
    <row r="5">
      <c r="A5" t="n">
        <v>4</v>
      </c>
      <c r="B5" t="s">
        <v>1460</v>
      </c>
      <c r="C5" t="str">
        <f t="shared" si="0"/>
        <v>Growing of rice</v>
      </c>
      <c r="D5" t="s">
        <v>1461</v>
      </c>
      <c r="E5" t="s">
        <v>642</v>
      </c>
      <c r="F5" t="s">
        <v>1462</v>
      </c>
    </row>
    <row r="6">
      <c r="A6" t="n">
        <v>4</v>
      </c>
      <c r="B6" t="s">
        <v>1463</v>
      </c>
      <c r="C6" t="str">
        <f t="shared" si="0"/>
        <v>Growing of vegetables and melons, roots and tubers</v>
      </c>
      <c r="D6" t="s">
        <v>1464</v>
      </c>
      <c r="E6" t="s">
        <v>642</v>
      </c>
      <c r="F6" t="s">
        <v>1465</v>
      </c>
    </row>
    <row r="7">
      <c r="A7" t="n">
        <v>4</v>
      </c>
      <c r="B7" t="s">
        <v>1466</v>
      </c>
      <c r="C7" t="str">
        <f t="shared" si="0"/>
        <v>Growing of sugar cane</v>
      </c>
      <c r="D7" t="s">
        <v>1467</v>
      </c>
      <c r="E7" t="s">
        <v>642</v>
      </c>
      <c r="F7" t="s">
        <v>1468</v>
      </c>
    </row>
    <row r="8">
      <c r="A8" t="n">
        <v>4</v>
      </c>
      <c r="B8" t="s">
        <v>1469</v>
      </c>
      <c r="C8" t="str">
        <f t="shared" si="0"/>
        <v>Growing of tobacco</v>
      </c>
      <c r="D8" t="s">
        <v>1470</v>
      </c>
      <c r="E8" t="s">
        <v>642</v>
      </c>
      <c r="F8" t="s">
        <v>1471</v>
      </c>
    </row>
    <row r="9">
      <c r="A9" t="n">
        <v>4</v>
      </c>
      <c r="B9" t="s">
        <v>1472</v>
      </c>
      <c r="C9" t="str">
        <f t="shared" si="0"/>
        <v>Growing of fibre crops</v>
      </c>
      <c r="D9" t="s">
        <v>1473</v>
      </c>
      <c r="E9" t="s">
        <v>642</v>
      </c>
      <c r="F9" t="s">
        <v>1474</v>
      </c>
    </row>
    <row r="10">
      <c r="A10" t="n">
        <v>4</v>
      </c>
      <c r="B10" t="s">
        <v>1475</v>
      </c>
      <c r="C10" t="str">
        <f t="shared" si="0"/>
        <v>Growing of other non-perennial crops</v>
      </c>
      <c r="D10" t="s">
        <v>1476</v>
      </c>
      <c r="E10" t="s">
        <v>642</v>
      </c>
      <c r="F10" t="s">
        <v>1477</v>
      </c>
    </row>
    <row r="11">
      <c r="A11" t="n">
        <v>3</v>
      </c>
      <c r="B11" t="s">
        <v>645</v>
      </c>
      <c r="C11" t="str">
        <f t="shared" si="0"/>
        <v>Growing of perennial crops</v>
      </c>
      <c r="D11" t="s">
        <v>646</v>
      </c>
      <c r="E11" t="s">
        <v>404</v>
      </c>
      <c r="F11" t="s">
        <v>647</v>
      </c>
    </row>
    <row r="12">
      <c r="A12" t="n">
        <v>4</v>
      </c>
      <c r="B12" t="s">
        <v>1478</v>
      </c>
      <c r="C12" t="str">
        <f t="shared" si="0"/>
        <v>Growing of grapes</v>
      </c>
      <c r="D12" t="s">
        <v>1479</v>
      </c>
      <c r="E12" t="s">
        <v>645</v>
      </c>
      <c r="F12" t="s">
        <v>1480</v>
      </c>
    </row>
    <row r="13">
      <c r="A13" t="n">
        <v>4</v>
      </c>
      <c r="B13" t="s">
        <v>1481</v>
      </c>
      <c r="C13" t="str">
        <f t="shared" si="0"/>
        <v>Growing of tropical and subtropical fruits</v>
      </c>
      <c r="D13" t="s">
        <v>1482</v>
      </c>
      <c r="E13" t="s">
        <v>645</v>
      </c>
      <c r="F13" t="s">
        <v>1483</v>
      </c>
    </row>
    <row r="14">
      <c r="A14" t="n">
        <v>4</v>
      </c>
      <c r="B14" t="s">
        <v>1484</v>
      </c>
      <c r="C14" t="str">
        <f t="shared" si="0"/>
        <v>Growing of citrus fruits</v>
      </c>
      <c r="D14" t="s">
        <v>1485</v>
      </c>
      <c r="E14" t="s">
        <v>645</v>
      </c>
      <c r="F14" t="s">
        <v>1486</v>
      </c>
    </row>
    <row r="15">
      <c r="A15" t="n">
        <v>4</v>
      </c>
      <c r="B15" t="s">
        <v>1487</v>
      </c>
      <c r="C15" t="str">
        <f t="shared" si="0"/>
        <v>Growing of pome fruits and stone fruits</v>
      </c>
      <c r="D15" t="s">
        <v>1488</v>
      </c>
      <c r="E15" t="s">
        <v>645</v>
      </c>
      <c r="F15" t="s">
        <v>1489</v>
      </c>
    </row>
    <row r="16">
      <c r="A16" t="n">
        <v>4</v>
      </c>
      <c r="B16" t="s">
        <v>1490</v>
      </c>
      <c r="C16" t="str">
        <f t="shared" si="0"/>
        <v>Growing of other tree and bush fruits and nuts</v>
      </c>
      <c r="D16" t="s">
        <v>1491</v>
      </c>
      <c r="E16" t="s">
        <v>645</v>
      </c>
      <c r="F16" t="s">
        <v>1492</v>
      </c>
    </row>
    <row r="17">
      <c r="A17" t="n">
        <v>4</v>
      </c>
      <c r="B17" t="s">
        <v>1493</v>
      </c>
      <c r="C17" t="str">
        <f t="shared" si="0"/>
        <v>Growing of oleaginous fruits</v>
      </c>
      <c r="D17" t="s">
        <v>1494</v>
      </c>
      <c r="E17" t="s">
        <v>645</v>
      </c>
      <c r="F17" t="s">
        <v>1495</v>
      </c>
    </row>
    <row r="18">
      <c r="A18" t="n">
        <v>4</v>
      </c>
      <c r="B18" t="s">
        <v>1496</v>
      </c>
      <c r="C18" t="str">
        <f t="shared" si="0"/>
        <v>Growing of beverage crops</v>
      </c>
      <c r="D18" t="s">
        <v>1497</v>
      </c>
      <c r="E18" t="s">
        <v>645</v>
      </c>
      <c r="F18" t="s">
        <v>1498</v>
      </c>
    </row>
    <row r="19">
      <c r="A19" t="n">
        <v>4</v>
      </c>
      <c r="B19" t="s">
        <v>1499</v>
      </c>
      <c r="C19" t="str">
        <f t="shared" si="0"/>
        <v>Growing of spices, aromatic, drug and pharmaceutical crops</v>
      </c>
      <c r="D19" t="s">
        <v>1500</v>
      </c>
      <c r="E19" t="s">
        <v>645</v>
      </c>
      <c r="F19" t="s">
        <v>1501</v>
      </c>
    </row>
    <row r="20">
      <c r="A20" t="n">
        <v>4</v>
      </c>
      <c r="B20" t="s">
        <v>1502</v>
      </c>
      <c r="C20" t="str">
        <f t="shared" si="0"/>
        <v>Growing of other perennial crops</v>
      </c>
      <c r="D20" t="s">
        <v>1503</v>
      </c>
      <c r="E20" t="s">
        <v>645</v>
      </c>
      <c r="F20" t="s">
        <v>1504</v>
      </c>
    </row>
    <row r="21">
      <c r="A21" t="n">
        <v>3</v>
      </c>
      <c r="B21" t="s">
        <v>648</v>
      </c>
      <c r="C21" t="str">
        <f t="shared" si="0"/>
        <v>Plant propagation</v>
      </c>
      <c r="D21" t="s">
        <v>649</v>
      </c>
      <c r="E21" t="s">
        <v>404</v>
      </c>
      <c r="F21" t="s">
        <v>650</v>
      </c>
    </row>
    <row r="22">
      <c r="A22" t="n">
        <v>4</v>
      </c>
      <c r="B22" t="s">
        <v>1505</v>
      </c>
      <c r="C22" t="str">
        <f t="shared" si="0"/>
        <v>Plant propagation</v>
      </c>
      <c r="D22" t="s">
        <v>1506</v>
      </c>
      <c r="E22" t="s">
        <v>648</v>
      </c>
      <c r="F22" t="s">
        <v>1507</v>
      </c>
    </row>
    <row r="23">
      <c r="A23" t="n">
        <v>3</v>
      </c>
      <c r="B23" t="s">
        <v>651</v>
      </c>
      <c r="C23" t="str">
        <f t="shared" si="0"/>
        <v>Animal production</v>
      </c>
      <c r="D23" t="s">
        <v>652</v>
      </c>
      <c r="E23" t="s">
        <v>404</v>
      </c>
      <c r="F23" t="s">
        <v>653</v>
      </c>
    </row>
    <row r="24">
      <c r="A24" t="n">
        <v>4</v>
      </c>
      <c r="B24" t="s">
        <v>1508</v>
      </c>
      <c r="C24" t="str">
        <f t="shared" si="0"/>
        <v>Raising of dairy cattle</v>
      </c>
      <c r="D24" t="s">
        <v>1509</v>
      </c>
      <c r="E24" t="s">
        <v>651</v>
      </c>
      <c r="F24" t="s">
        <v>1510</v>
      </c>
    </row>
    <row r="25">
      <c r="A25" t="n">
        <v>4</v>
      </c>
      <c r="B25" t="s">
        <v>1511</v>
      </c>
      <c r="C25" t="str">
        <f t="shared" si="0"/>
        <v>Raising of other cattle and buffaloes</v>
      </c>
      <c r="D25" t="s">
        <v>1512</v>
      </c>
      <c r="E25" t="s">
        <v>651</v>
      </c>
      <c r="F25" t="s">
        <v>1513</v>
      </c>
    </row>
    <row r="26">
      <c r="A26" t="n">
        <v>4</v>
      </c>
      <c r="B26" t="s">
        <v>1514</v>
      </c>
      <c r="C26" t="str">
        <f t="shared" si="0"/>
        <v>Raising of horses and other equines</v>
      </c>
      <c r="D26" t="s">
        <v>1515</v>
      </c>
      <c r="E26" t="s">
        <v>651</v>
      </c>
      <c r="F26" t="s">
        <v>1516</v>
      </c>
    </row>
    <row r="27">
      <c r="A27" t="n">
        <v>4</v>
      </c>
      <c r="B27" t="s">
        <v>1517</v>
      </c>
      <c r="C27" t="str">
        <f t="shared" si="0"/>
        <v>Raising of camels and camelids</v>
      </c>
      <c r="D27" t="s">
        <v>1518</v>
      </c>
      <c r="E27" t="s">
        <v>651</v>
      </c>
      <c r="F27" t="s">
        <v>1519</v>
      </c>
    </row>
    <row r="28">
      <c r="A28" t="n">
        <v>4</v>
      </c>
      <c r="B28" t="s">
        <v>1520</v>
      </c>
      <c r="C28" t="str">
        <f t="shared" si="0"/>
        <v>Raising of sheep and goats</v>
      </c>
      <c r="D28" t="s">
        <v>1521</v>
      </c>
      <c r="E28" t="s">
        <v>651</v>
      </c>
      <c r="F28" t="s">
        <v>1522</v>
      </c>
    </row>
    <row r="29">
      <c r="A29" t="n">
        <v>4</v>
      </c>
      <c r="B29" t="s">
        <v>1523</v>
      </c>
      <c r="C29" t="str">
        <f t="shared" si="0"/>
        <v>Raising of swine/pigs</v>
      </c>
      <c r="D29" t="s">
        <v>1524</v>
      </c>
      <c r="E29" t="s">
        <v>651</v>
      </c>
      <c r="F29" t="s">
        <v>1525</v>
      </c>
    </row>
    <row r="30">
      <c r="A30" t="n">
        <v>4</v>
      </c>
      <c r="B30" t="s">
        <v>1526</v>
      </c>
      <c r="C30" t="str">
        <f t="shared" si="0"/>
        <v>Raising of poultry</v>
      </c>
      <c r="D30" t="s">
        <v>1527</v>
      </c>
      <c r="E30" t="s">
        <v>651</v>
      </c>
      <c r="F30" t="s">
        <v>1528</v>
      </c>
    </row>
    <row r="31">
      <c r="A31" t="n">
        <v>4</v>
      </c>
      <c r="B31" t="s">
        <v>1529</v>
      </c>
      <c r="C31" t="str">
        <f t="shared" si="0"/>
        <v>Raising of other animals</v>
      </c>
      <c r="D31" t="s">
        <v>1530</v>
      </c>
      <c r="E31" t="s">
        <v>651</v>
      </c>
      <c r="F31" t="s">
        <v>1531</v>
      </c>
    </row>
    <row r="32">
      <c r="A32" t="n">
        <v>3</v>
      </c>
      <c r="B32" t="s">
        <v>654</v>
      </c>
      <c r="C32" t="str">
        <f t="shared" si="0"/>
        <v>Mixed farming</v>
      </c>
      <c r="D32" t="s">
        <v>655</v>
      </c>
      <c r="E32" t="s">
        <v>404</v>
      </c>
      <c r="F32" t="s">
        <v>656</v>
      </c>
    </row>
    <row r="33">
      <c r="A33" t="n">
        <v>4</v>
      </c>
      <c r="B33" t="s">
        <v>1532</v>
      </c>
      <c r="C33" t="str">
        <f t="shared" si="0"/>
        <v>Mixed farming</v>
      </c>
      <c r="D33" t="s">
        <v>1533</v>
      </c>
      <c r="E33" t="s">
        <v>654</v>
      </c>
      <c r="F33" t="s">
        <v>1534</v>
      </c>
    </row>
    <row r="34">
      <c r="A34" t="n">
        <v>3</v>
      </c>
      <c r="B34" t="s">
        <v>657</v>
      </c>
      <c r="C34" t="str">
        <f t="shared" si="0"/>
        <v>Support activities to agriculture and post-harvest crop activities</v>
      </c>
      <c r="D34" t="s">
        <v>658</v>
      </c>
      <c r="E34" t="s">
        <v>404</v>
      </c>
      <c r="F34" t="s">
        <v>659</v>
      </c>
    </row>
    <row r="35">
      <c r="A35" t="n">
        <v>4</v>
      </c>
      <c r="B35" t="s">
        <v>1535</v>
      </c>
      <c r="C35" t="str">
        <f t="shared" si="0"/>
        <v>Support activities for crop production</v>
      </c>
      <c r="D35" t="s">
        <v>1536</v>
      </c>
      <c r="E35" t="s">
        <v>657</v>
      </c>
      <c r="F35" t="s">
        <v>1537</v>
      </c>
    </row>
    <row r="36">
      <c r="A36" t="n">
        <v>4</v>
      </c>
      <c r="B36" t="s">
        <v>1538</v>
      </c>
      <c r="C36" t="str">
        <f t="shared" si="0"/>
        <v>Support activities for animal production</v>
      </c>
      <c r="D36" t="s">
        <v>1539</v>
      </c>
      <c r="E36" t="s">
        <v>657</v>
      </c>
      <c r="F36" t="s">
        <v>1540</v>
      </c>
    </row>
    <row r="37">
      <c r="A37" t="n">
        <v>4</v>
      </c>
      <c r="B37" t="s">
        <v>1541</v>
      </c>
      <c r="C37" t="str">
        <f t="shared" si="0"/>
        <v>Post-harvest crop activities</v>
      </c>
      <c r="D37" t="s">
        <v>1542</v>
      </c>
      <c r="E37" t="s">
        <v>657</v>
      </c>
      <c r="F37" t="s">
        <v>1543</v>
      </c>
    </row>
    <row r="38">
      <c r="A38" t="n">
        <v>4</v>
      </c>
      <c r="B38" t="s">
        <v>1544</v>
      </c>
      <c r="C38" t="str">
        <f t="shared" si="0"/>
        <v>Seed processing for propagation</v>
      </c>
      <c r="D38" t="s">
        <v>1545</v>
      </c>
      <c r="E38" t="s">
        <v>657</v>
      </c>
      <c r="F38" t="s">
        <v>1546</v>
      </c>
    </row>
    <row r="39">
      <c r="A39" t="n">
        <v>3</v>
      </c>
      <c r="B39" t="s">
        <v>660</v>
      </c>
      <c r="C39" t="str">
        <f t="shared" si="0"/>
        <v>Hunting, trapping and related service activities</v>
      </c>
      <c r="D39" t="s">
        <v>661</v>
      </c>
      <c r="E39" t="s">
        <v>404</v>
      </c>
      <c r="F39" t="s">
        <v>662</v>
      </c>
    </row>
    <row r="40">
      <c r="A40" t="n">
        <v>4</v>
      </c>
      <c r="B40" t="s">
        <v>1547</v>
      </c>
      <c r="C40" t="str">
        <f t="shared" si="0"/>
        <v>Hunting, trapping and related service activities</v>
      </c>
      <c r="D40" t="s">
        <v>1548</v>
      </c>
      <c r="E40" t="s">
        <v>660</v>
      </c>
      <c r="F40" t="s">
        <v>1549</v>
      </c>
    </row>
    <row r="41">
      <c r="A41" t="n">
        <v>2</v>
      </c>
      <c r="B41" t="s">
        <v>407</v>
      </c>
      <c r="C41" t="str">
        <f t="shared" si="0"/>
        <v>Forestry and logging</v>
      </c>
      <c r="D41" t="s">
        <v>408</v>
      </c>
      <c r="E41" t="s">
        <v>341</v>
      </c>
      <c r="F41" t="s">
        <v>409</v>
      </c>
    </row>
    <row r="42">
      <c r="A42" t="n">
        <v>3</v>
      </c>
      <c r="B42" t="s">
        <v>663</v>
      </c>
      <c r="C42" t="str">
        <f t="shared" si="0"/>
        <v>Silviculture and other forestry activities</v>
      </c>
      <c r="D42" t="s">
        <v>664</v>
      </c>
      <c r="E42" t="s">
        <v>407</v>
      </c>
      <c r="F42" t="s">
        <v>665</v>
      </c>
    </row>
    <row r="43">
      <c r="A43" t="n">
        <v>4</v>
      </c>
      <c r="B43" t="s">
        <v>1550</v>
      </c>
      <c r="C43" t="str">
        <f t="shared" si="0"/>
        <v>Silviculture and other forestry activities</v>
      </c>
      <c r="D43" t="s">
        <v>1551</v>
      </c>
      <c r="E43" t="s">
        <v>663</v>
      </c>
      <c r="F43" t="s">
        <v>1552</v>
      </c>
    </row>
    <row r="44">
      <c r="A44" t="n">
        <v>3</v>
      </c>
      <c r="B44" t="s">
        <v>666</v>
      </c>
      <c r="C44" t="str">
        <f t="shared" si="0"/>
        <v>Logging</v>
      </c>
      <c r="D44" t="s">
        <v>667</v>
      </c>
      <c r="E44" t="s">
        <v>407</v>
      </c>
      <c r="F44" t="s">
        <v>668</v>
      </c>
    </row>
    <row r="45">
      <c r="A45" t="n">
        <v>4</v>
      </c>
      <c r="B45" t="s">
        <v>1553</v>
      </c>
      <c r="C45" t="str">
        <f t="shared" si="0"/>
        <v>Logging</v>
      </c>
      <c r="D45" t="s">
        <v>1554</v>
      </c>
      <c r="E45" t="s">
        <v>666</v>
      </c>
      <c r="F45" t="s">
        <v>1555</v>
      </c>
    </row>
    <row r="46">
      <c r="A46" t="n">
        <v>3</v>
      </c>
      <c r="B46" t="s">
        <v>669</v>
      </c>
      <c r="C46" t="str">
        <f t="shared" si="0"/>
        <v>Gathering of wild growing non-wood products</v>
      </c>
      <c r="D46" t="s">
        <v>670</v>
      </c>
      <c r="E46" t="s">
        <v>407</v>
      </c>
      <c r="F46" t="s">
        <v>671</v>
      </c>
    </row>
    <row r="47">
      <c r="A47" t="n">
        <v>4</v>
      </c>
      <c r="B47" t="s">
        <v>1556</v>
      </c>
      <c r="C47" t="str">
        <f t="shared" si="0"/>
        <v>Gathering of wild growing non-wood products</v>
      </c>
      <c r="D47" t="s">
        <v>1557</v>
      </c>
      <c r="E47" t="s">
        <v>669</v>
      </c>
      <c r="F47" t="s">
        <v>1558</v>
      </c>
    </row>
    <row r="48">
      <c r="A48" t="n">
        <v>3</v>
      </c>
      <c r="B48" t="s">
        <v>672</v>
      </c>
      <c r="C48" t="str">
        <f t="shared" si="0"/>
        <v>Support services to forestry</v>
      </c>
      <c r="D48" t="s">
        <v>673</v>
      </c>
      <c r="E48" t="s">
        <v>407</v>
      </c>
      <c r="F48" t="s">
        <v>674</v>
      </c>
    </row>
    <row r="49">
      <c r="A49" t="n">
        <v>4</v>
      </c>
      <c r="B49" t="s">
        <v>1559</v>
      </c>
      <c r="C49" t="str">
        <f t="shared" si="0"/>
        <v>Support services to forestry</v>
      </c>
      <c r="D49" t="s">
        <v>1560</v>
      </c>
      <c r="E49" t="s">
        <v>672</v>
      </c>
      <c r="F49" t="s">
        <v>1561</v>
      </c>
    </row>
    <row r="50">
      <c r="A50" t="n">
        <v>2</v>
      </c>
      <c r="B50" t="s">
        <v>410</v>
      </c>
      <c r="C50" t="str">
        <f t="shared" si="0"/>
        <v>Fishing and aquaculture</v>
      </c>
      <c r="D50" t="s">
        <v>411</v>
      </c>
      <c r="E50" t="s">
        <v>341</v>
      </c>
      <c r="F50" t="s">
        <v>412</v>
      </c>
    </row>
    <row r="51">
      <c r="A51" t="n">
        <v>3</v>
      </c>
      <c r="B51" t="s">
        <v>675</v>
      </c>
      <c r="C51" t="str">
        <f t="shared" si="0"/>
        <v>Fishing</v>
      </c>
      <c r="D51" t="s">
        <v>676</v>
      </c>
      <c r="E51" t="s">
        <v>410</v>
      </c>
      <c r="F51" t="s">
        <v>677</v>
      </c>
    </row>
    <row r="52">
      <c r="A52" t="n">
        <v>4</v>
      </c>
      <c r="B52" t="s">
        <v>1562</v>
      </c>
      <c r="C52" t="str">
        <f t="shared" si="0"/>
        <v>Marine fishing</v>
      </c>
      <c r="D52" t="s">
        <v>1563</v>
      </c>
      <c r="E52" t="s">
        <v>675</v>
      </c>
      <c r="F52" t="s">
        <v>1564</v>
      </c>
    </row>
    <row r="53">
      <c r="A53" t="n">
        <v>4</v>
      </c>
      <c r="B53" t="s">
        <v>1565</v>
      </c>
      <c r="C53" t="str">
        <f t="shared" si="0"/>
        <v>Freshwater fishing</v>
      </c>
      <c r="D53" t="s">
        <v>1566</v>
      </c>
      <c r="E53" t="s">
        <v>675</v>
      </c>
      <c r="F53" t="s">
        <v>1567</v>
      </c>
    </row>
    <row r="54">
      <c r="A54" t="n">
        <v>3</v>
      </c>
      <c r="B54" t="s">
        <v>678</v>
      </c>
      <c r="C54" t="str">
        <f t="shared" si="0"/>
        <v>Aquaculture</v>
      </c>
      <c r="D54" t="s">
        <v>679</v>
      </c>
      <c r="E54" t="s">
        <v>410</v>
      </c>
      <c r="F54" t="s">
        <v>680</v>
      </c>
    </row>
    <row r="55">
      <c r="A55" t="n">
        <v>4</v>
      </c>
      <c r="B55" t="s">
        <v>1568</v>
      </c>
      <c r="C55" t="str">
        <f t="shared" si="0"/>
        <v>Marine aquaculture</v>
      </c>
      <c r="D55" t="s">
        <v>1569</v>
      </c>
      <c r="E55" t="s">
        <v>678</v>
      </c>
      <c r="F55" t="s">
        <v>1570</v>
      </c>
    </row>
    <row r="56">
      <c r="A56" t="n">
        <v>4</v>
      </c>
      <c r="B56" t="s">
        <v>1571</v>
      </c>
      <c r="C56" t="str">
        <f t="shared" si="0"/>
        <v>Freshwater aquaculture</v>
      </c>
      <c r="D56" t="s">
        <v>1572</v>
      </c>
      <c r="E56" t="s">
        <v>678</v>
      </c>
      <c r="F56" t="s">
        <v>1573</v>
      </c>
    </row>
    <row r="57">
      <c r="A57" t="n">
        <v>2</v>
      </c>
      <c r="B57" t="s">
        <v>413</v>
      </c>
      <c r="C57" t="str">
        <f t="shared" si="0"/>
        <v>Mining of coal and lignite</v>
      </c>
      <c r="D57" t="s">
        <v>414</v>
      </c>
      <c r="E57" t="s">
        <v>344</v>
      </c>
      <c r="F57" t="s">
        <v>415</v>
      </c>
    </row>
    <row r="58">
      <c r="A58" t="n">
        <v>3</v>
      </c>
      <c r="B58" t="s">
        <v>681</v>
      </c>
      <c r="C58" t="str">
        <f t="shared" si="0"/>
        <v>Mining of hard coal</v>
      </c>
      <c r="D58" t="s">
        <v>682</v>
      </c>
      <c r="E58" t="s">
        <v>413</v>
      </c>
      <c r="F58" t="s">
        <v>683</v>
      </c>
    </row>
    <row r="59">
      <c r="A59" t="n">
        <v>4</v>
      </c>
      <c r="B59" t="s">
        <v>1574</v>
      </c>
      <c r="C59" t="str">
        <f t="shared" si="0"/>
        <v>Mining of hard coal</v>
      </c>
      <c r="D59" t="s">
        <v>1575</v>
      </c>
      <c r="E59" t="s">
        <v>681</v>
      </c>
      <c r="F59" t="s">
        <v>1576</v>
      </c>
    </row>
    <row r="60">
      <c r="A60" t="n">
        <v>3</v>
      </c>
      <c r="B60" t="s">
        <v>684</v>
      </c>
      <c r="C60" t="str">
        <f t="shared" si="0"/>
        <v>Mining of lignite</v>
      </c>
      <c r="D60" t="s">
        <v>685</v>
      </c>
      <c r="E60" t="s">
        <v>413</v>
      </c>
      <c r="F60" t="s">
        <v>686</v>
      </c>
    </row>
    <row r="61">
      <c r="A61" t="n">
        <v>4</v>
      </c>
      <c r="B61" t="s">
        <v>1577</v>
      </c>
      <c r="C61" t="str">
        <f t="shared" si="0"/>
        <v>Mining of lignite</v>
      </c>
      <c r="D61" t="s">
        <v>1578</v>
      </c>
      <c r="E61" t="s">
        <v>684</v>
      </c>
      <c r="F61" t="s">
        <v>1579</v>
      </c>
    </row>
    <row r="62">
      <c r="A62" t="n">
        <v>2</v>
      </c>
      <c r="B62" t="s">
        <v>416</v>
      </c>
      <c r="C62" t="str">
        <f t="shared" si="0"/>
        <v>Extraction of crude petroleum and natural gas</v>
      </c>
      <c r="D62" t="s">
        <v>417</v>
      </c>
      <c r="E62" t="s">
        <v>344</v>
      </c>
      <c r="F62" t="s">
        <v>418</v>
      </c>
    </row>
    <row r="63">
      <c r="A63" t="n">
        <v>3</v>
      </c>
      <c r="B63" t="s">
        <v>687</v>
      </c>
      <c r="C63" t="str">
        <f t="shared" si="0"/>
        <v>Extraction of crude petroleum</v>
      </c>
      <c r="D63" t="s">
        <v>688</v>
      </c>
      <c r="E63" t="s">
        <v>416</v>
      </c>
      <c r="F63" t="s">
        <v>689</v>
      </c>
    </row>
    <row r="64">
      <c r="A64" t="n">
        <v>4</v>
      </c>
      <c r="B64" t="s">
        <v>1580</v>
      </c>
      <c r="C64" t="str">
        <f t="shared" si="0"/>
        <v>Extraction of crude petroleum</v>
      </c>
      <c r="D64" t="s">
        <v>1581</v>
      </c>
      <c r="E64" t="s">
        <v>687</v>
      </c>
      <c r="F64" t="s">
        <v>1582</v>
      </c>
    </row>
    <row r="65">
      <c r="A65" t="n">
        <v>3</v>
      </c>
      <c r="B65" t="s">
        <v>690</v>
      </c>
      <c r="C65" t="str">
        <f t="shared" si="0"/>
        <v>Extraction of natural gas</v>
      </c>
      <c r="D65" t="s">
        <v>691</v>
      </c>
      <c r="E65" t="s">
        <v>416</v>
      </c>
      <c r="F65" t="s">
        <v>692</v>
      </c>
    </row>
    <row r="66">
      <c r="A66" t="n">
        <v>4</v>
      </c>
      <c r="B66" t="s">
        <v>1583</v>
      </c>
      <c r="C66" t="str">
        <f t="shared" ref="C66:C129" si="1">IF(A66=1,RIGHT(D66,LEN(D66)-2),IF(A66=2,RIGHT(D66,LEN(D66)-3),IF(A66=3,RIGHT(D66,LEN(D66)-5),RIGHT(D66,LEN(D66)-6))))</f>
        <v>Extraction of natural gas</v>
      </c>
      <c r="D66" t="s">
        <v>1584</v>
      </c>
      <c r="E66" t="s">
        <v>690</v>
      </c>
      <c r="F66" t="s">
        <v>1585</v>
      </c>
    </row>
    <row r="67">
      <c r="A67" t="n">
        <v>2</v>
      </c>
      <c r="B67" t="s">
        <v>419</v>
      </c>
      <c r="C67" t="str">
        <f t="shared" si="1"/>
        <v>Mining of metal ores</v>
      </c>
      <c r="D67" t="s">
        <v>420</v>
      </c>
      <c r="E67" t="s">
        <v>344</v>
      </c>
      <c r="F67" t="s">
        <v>421</v>
      </c>
    </row>
    <row r="68">
      <c r="A68" t="n">
        <v>3</v>
      </c>
      <c r="B68" t="s">
        <v>693</v>
      </c>
      <c r="C68" t="str">
        <f t="shared" si="1"/>
        <v>Mining of iron ores</v>
      </c>
      <c r="D68" t="s">
        <v>694</v>
      </c>
      <c r="E68" t="s">
        <v>419</v>
      </c>
      <c r="F68" t="s">
        <v>695</v>
      </c>
    </row>
    <row r="69">
      <c r="A69" t="n">
        <v>4</v>
      </c>
      <c r="B69" t="s">
        <v>1586</v>
      </c>
      <c r="C69" t="str">
        <f t="shared" si="1"/>
        <v>Mining of iron ores</v>
      </c>
      <c r="D69" t="s">
        <v>1587</v>
      </c>
      <c r="E69" t="s">
        <v>693</v>
      </c>
      <c r="F69" t="s">
        <v>1588</v>
      </c>
    </row>
    <row r="70">
      <c r="A70" t="n">
        <v>3</v>
      </c>
      <c r="B70" t="s">
        <v>696</v>
      </c>
      <c r="C70" t="str">
        <f t="shared" si="1"/>
        <v>Mining of non-ferrous metal ores</v>
      </c>
      <c r="D70" t="s">
        <v>697</v>
      </c>
      <c r="E70" t="s">
        <v>419</v>
      </c>
      <c r="F70" t="s">
        <v>698</v>
      </c>
    </row>
    <row r="71">
      <c r="A71" t="n">
        <v>4</v>
      </c>
      <c r="B71" t="s">
        <v>1589</v>
      </c>
      <c r="C71" t="str">
        <f t="shared" si="1"/>
        <v>Mining of uranium and thorium ores</v>
      </c>
      <c r="D71" t="s">
        <v>1590</v>
      </c>
      <c r="E71" t="s">
        <v>696</v>
      </c>
      <c r="F71" t="s">
        <v>1591</v>
      </c>
    </row>
    <row r="72">
      <c r="A72" t="n">
        <v>4</v>
      </c>
      <c r="B72" t="s">
        <v>1592</v>
      </c>
      <c r="C72" t="str">
        <f t="shared" si="1"/>
        <v>Mining of other non-ferrous metal ores</v>
      </c>
      <c r="D72" t="s">
        <v>1593</v>
      </c>
      <c r="E72" t="s">
        <v>696</v>
      </c>
      <c r="F72" t="s">
        <v>1594</v>
      </c>
    </row>
    <row r="73">
      <c r="A73" t="n">
        <v>2</v>
      </c>
      <c r="B73" t="s">
        <v>422</v>
      </c>
      <c r="C73" t="str">
        <f t="shared" si="1"/>
        <v>Other mining and quarrying</v>
      </c>
      <c r="D73" t="s">
        <v>423</v>
      </c>
      <c r="E73" t="s">
        <v>344</v>
      </c>
      <c r="F73" t="s">
        <v>424</v>
      </c>
    </row>
    <row r="74">
      <c r="A74" t="n">
        <v>3</v>
      </c>
      <c r="B74" t="s">
        <v>699</v>
      </c>
      <c r="C74" t="str">
        <f t="shared" si="1"/>
        <v>Quarrying of stone, sand and clay</v>
      </c>
      <c r="D74" t="s">
        <v>700</v>
      </c>
      <c r="E74" t="s">
        <v>422</v>
      </c>
      <c r="F74" t="s">
        <v>701</v>
      </c>
    </row>
    <row r="75">
      <c r="A75" t="n">
        <v>4</v>
      </c>
      <c r="B75" t="s">
        <v>1595</v>
      </c>
      <c r="C75" t="str">
        <f t="shared" si="1"/>
        <v>Quarrying of ornamental and building stone, limestone, gypsum, chalk and slate</v>
      </c>
      <c r="D75" t="s">
        <v>1596</v>
      </c>
      <c r="E75" t="s">
        <v>699</v>
      </c>
      <c r="F75" t="s">
        <v>1597</v>
      </c>
    </row>
    <row r="76">
      <c r="A76" t="n">
        <v>4</v>
      </c>
      <c r="B76" t="s">
        <v>1598</v>
      </c>
      <c r="C76" t="str">
        <f t="shared" si="1"/>
        <v>Operation of gravel and sand pits; mining of clays and kaolin</v>
      </c>
      <c r="D76" t="s">
        <v>1599</v>
      </c>
      <c r="E76" t="s">
        <v>699</v>
      </c>
      <c r="F76" t="s">
        <v>1600</v>
      </c>
    </row>
    <row r="77">
      <c r="A77" t="n">
        <v>3</v>
      </c>
      <c r="B77" t="s">
        <v>702</v>
      </c>
      <c r="C77" t="str">
        <f t="shared" si="1"/>
        <v>Mining and quarrying n.e.c.</v>
      </c>
      <c r="D77" t="s">
        <v>703</v>
      </c>
      <c r="E77" t="s">
        <v>422</v>
      </c>
      <c r="F77" t="s">
        <v>704</v>
      </c>
    </row>
    <row r="78">
      <c r="A78" t="n">
        <v>4</v>
      </c>
      <c r="B78" t="s">
        <v>1601</v>
      </c>
      <c r="C78" t="str">
        <f t="shared" si="1"/>
        <v>Mining of chemical and fertiliser minerals</v>
      </c>
      <c r="D78" t="s">
        <v>1602</v>
      </c>
      <c r="E78" t="s">
        <v>702</v>
      </c>
      <c r="F78" t="s">
        <v>1603</v>
      </c>
    </row>
    <row r="79">
      <c r="A79" t="n">
        <v>4</v>
      </c>
      <c r="B79" t="s">
        <v>1604</v>
      </c>
      <c r="C79" t="str">
        <f t="shared" si="1"/>
        <v>Extraction of peat</v>
      </c>
      <c r="D79" t="s">
        <v>1605</v>
      </c>
      <c r="E79" t="s">
        <v>702</v>
      </c>
      <c r="F79" t="s">
        <v>1606</v>
      </c>
    </row>
    <row r="80">
      <c r="A80" t="n">
        <v>4</v>
      </c>
      <c r="B80" t="s">
        <v>1607</v>
      </c>
      <c r="C80" t="str">
        <f t="shared" si="1"/>
        <v>Extraction of salt</v>
      </c>
      <c r="D80" t="s">
        <v>1608</v>
      </c>
      <c r="E80" t="s">
        <v>702</v>
      </c>
      <c r="F80" t="s">
        <v>1609</v>
      </c>
    </row>
    <row r="81">
      <c r="A81" t="n">
        <v>4</v>
      </c>
      <c r="B81" t="s">
        <v>1610</v>
      </c>
      <c r="C81" t="str">
        <f t="shared" si="1"/>
        <v>Other mining and quarrying n.e.c.</v>
      </c>
      <c r="D81" t="s">
        <v>1611</v>
      </c>
      <c r="E81" t="s">
        <v>702</v>
      </c>
      <c r="F81" t="s">
        <v>1612</v>
      </c>
    </row>
    <row r="82">
      <c r="A82" t="n">
        <v>2</v>
      </c>
      <c r="B82" t="s">
        <v>425</v>
      </c>
      <c r="C82" t="str">
        <f t="shared" si="1"/>
        <v>Mining support service activities</v>
      </c>
      <c r="D82" t="s">
        <v>426</v>
      </c>
      <c r="E82" t="s">
        <v>344</v>
      </c>
      <c r="F82" t="s">
        <v>427</v>
      </c>
    </row>
    <row r="83">
      <c r="A83" t="n">
        <v>3</v>
      </c>
      <c r="B83" t="s">
        <v>705</v>
      </c>
      <c r="C83" t="str">
        <f t="shared" si="1"/>
        <v>Support activities for petroleum and natural gas extraction</v>
      </c>
      <c r="D83" t="s">
        <v>706</v>
      </c>
      <c r="E83" t="s">
        <v>425</v>
      </c>
      <c r="F83" t="s">
        <v>707</v>
      </c>
    </row>
    <row r="84">
      <c r="A84" t="n">
        <v>4</v>
      </c>
      <c r="B84" t="s">
        <v>1613</v>
      </c>
      <c r="C84" t="str">
        <f t="shared" si="1"/>
        <v>Support activities for petroleum and natural gas extraction</v>
      </c>
      <c r="D84" t="s">
        <v>1614</v>
      </c>
      <c r="E84" t="s">
        <v>705</v>
      </c>
      <c r="F84" t="s">
        <v>1615</v>
      </c>
    </row>
    <row r="85">
      <c r="A85" t="n">
        <v>3</v>
      </c>
      <c r="B85" t="s">
        <v>708</v>
      </c>
      <c r="C85" t="str">
        <f t="shared" si="1"/>
        <v>Support activities for other mining and quarrying</v>
      </c>
      <c r="D85" t="s">
        <v>709</v>
      </c>
      <c r="E85" t="s">
        <v>425</v>
      </c>
      <c r="F85" t="s">
        <v>710</v>
      </c>
    </row>
    <row r="86">
      <c r="A86" t="n">
        <v>4</v>
      </c>
      <c r="B86" t="s">
        <v>1616</v>
      </c>
      <c r="C86" t="str">
        <f t="shared" si="1"/>
        <v>Support activities for other mining and quarrying</v>
      </c>
      <c r="D86" t="s">
        <v>1617</v>
      </c>
      <c r="E86" t="s">
        <v>708</v>
      </c>
      <c r="F86" t="s">
        <v>1618</v>
      </c>
    </row>
    <row r="87">
      <c r="A87" t="n">
        <v>2</v>
      </c>
      <c r="B87" t="s">
        <v>0</v>
      </c>
      <c r="C87" t="str">
        <f t="shared" si="1"/>
        <v>Manufacture of food products</v>
      </c>
      <c r="D87" t="s">
        <v>428</v>
      </c>
      <c r="E87" t="s">
        <v>347</v>
      </c>
      <c r="F87" t="s">
        <v>429</v>
      </c>
    </row>
    <row r="88">
      <c r="A88" t="n">
        <v>3</v>
      </c>
      <c r="B88" t="s">
        <v>711</v>
      </c>
      <c r="C88" t="str">
        <f t="shared" si="1"/>
        <v>Processing and preserving of meat and production of meat products</v>
      </c>
      <c r="D88" t="s">
        <v>712</v>
      </c>
      <c r="E88" t="s">
        <v>0</v>
      </c>
      <c r="F88" t="s">
        <v>713</v>
      </c>
    </row>
    <row r="89">
      <c r="A89" t="n">
        <v>4</v>
      </c>
      <c r="B89" t="s">
        <v>1619</v>
      </c>
      <c r="C89" t="str">
        <f t="shared" si="1"/>
        <v>Processing and preserving of meat</v>
      </c>
      <c r="D89" t="s">
        <v>1620</v>
      </c>
      <c r="E89" t="s">
        <v>711</v>
      </c>
      <c r="F89" t="s">
        <v>1621</v>
      </c>
    </row>
    <row r="90">
      <c r="A90" t="n">
        <v>4</v>
      </c>
      <c r="B90" t="s">
        <v>1622</v>
      </c>
      <c r="C90" t="str">
        <f t="shared" si="1"/>
        <v>Processing and preserving of poultry meat</v>
      </c>
      <c r="D90" t="s">
        <v>1623</v>
      </c>
      <c r="E90" t="s">
        <v>711</v>
      </c>
      <c r="F90" t="s">
        <v>1624</v>
      </c>
    </row>
    <row r="91">
      <c r="A91" t="n">
        <v>4</v>
      </c>
      <c r="B91" t="s">
        <v>1625</v>
      </c>
      <c r="C91" t="str">
        <f t="shared" si="1"/>
        <v>Production of meat and poultry meat products</v>
      </c>
      <c r="D91" t="s">
        <v>1626</v>
      </c>
      <c r="E91" t="s">
        <v>711</v>
      </c>
      <c r="F91" t="s">
        <v>1627</v>
      </c>
    </row>
    <row r="92">
      <c r="A92" t="n">
        <v>3</v>
      </c>
      <c r="B92" t="s">
        <v>714</v>
      </c>
      <c r="C92" t="str">
        <f t="shared" si="1"/>
        <v>Processing and preserving of fish, crustaceans and molluscs</v>
      </c>
      <c r="D92" t="s">
        <v>715</v>
      </c>
      <c r="E92" t="s">
        <v>0</v>
      </c>
      <c r="F92" t="s">
        <v>716</v>
      </c>
    </row>
    <row r="93">
      <c r="A93" t="n">
        <v>4</v>
      </c>
      <c r="B93" t="s">
        <v>1628</v>
      </c>
      <c r="C93" t="str">
        <f t="shared" si="1"/>
        <v>Processing and preserving of fish, crustaceans and molluscs</v>
      </c>
      <c r="D93" t="s">
        <v>1629</v>
      </c>
      <c r="E93" t="s">
        <v>714</v>
      </c>
      <c r="F93" t="s">
        <v>1630</v>
      </c>
    </row>
    <row r="94">
      <c r="A94" t="n">
        <v>3</v>
      </c>
      <c r="B94" t="s">
        <v>717</v>
      </c>
      <c r="C94" t="str">
        <f t="shared" si="1"/>
        <v>Processing and preserving of fruit and vegetables</v>
      </c>
      <c r="D94" t="s">
        <v>718</v>
      </c>
      <c r="E94" t="s">
        <v>0</v>
      </c>
      <c r="F94" t="s">
        <v>719</v>
      </c>
    </row>
    <row r="95">
      <c r="A95" t="n">
        <v>4</v>
      </c>
      <c r="B95" t="s">
        <v>1631</v>
      </c>
      <c r="C95" t="str">
        <f t="shared" si="1"/>
        <v>Processing and preserving of potatoes</v>
      </c>
      <c r="D95" t="s">
        <v>1632</v>
      </c>
      <c r="E95" t="s">
        <v>717</v>
      </c>
      <c r="F95" t="s">
        <v>1633</v>
      </c>
    </row>
    <row r="96">
      <c r="A96" t="n">
        <v>4</v>
      </c>
      <c r="B96" t="s">
        <v>1634</v>
      </c>
      <c r="C96" t="str">
        <f t="shared" si="1"/>
        <v>Manufacture of fruit and vegetable juice</v>
      </c>
      <c r="D96" t="s">
        <v>1635</v>
      </c>
      <c r="E96" t="s">
        <v>717</v>
      </c>
      <c r="F96" t="s">
        <v>1636</v>
      </c>
    </row>
    <row r="97">
      <c r="A97" t="n">
        <v>4</v>
      </c>
      <c r="B97" t="s">
        <v>1637</v>
      </c>
      <c r="C97" t="str">
        <f t="shared" si="1"/>
        <v>Other processing and preserving of fruit and vegetables</v>
      </c>
      <c r="D97" t="s">
        <v>1638</v>
      </c>
      <c r="E97" t="s">
        <v>717</v>
      </c>
      <c r="F97" t="s">
        <v>1639</v>
      </c>
    </row>
    <row r="98">
      <c r="A98" t="n">
        <v>3</v>
      </c>
      <c r="B98" t="s">
        <v>720</v>
      </c>
      <c r="C98" t="str">
        <f t="shared" si="1"/>
        <v>Manufacture of vegetable and animal oils and fats</v>
      </c>
      <c r="D98" t="s">
        <v>721</v>
      </c>
      <c r="E98" t="s">
        <v>0</v>
      </c>
      <c r="F98" t="s">
        <v>722</v>
      </c>
    </row>
    <row r="99">
      <c r="A99" t="n">
        <v>4</v>
      </c>
      <c r="B99" t="s">
        <v>1640</v>
      </c>
      <c r="C99" t="str">
        <f t="shared" si="1"/>
        <v>Manufacture of oils and fats</v>
      </c>
      <c r="D99" t="s">
        <v>1641</v>
      </c>
      <c r="E99" t="s">
        <v>720</v>
      </c>
      <c r="F99" t="s">
        <v>1642</v>
      </c>
    </row>
    <row r="100">
      <c r="A100" t="n">
        <v>4</v>
      </c>
      <c r="B100" t="s">
        <v>1643</v>
      </c>
      <c r="C100" t="str">
        <f t="shared" si="1"/>
        <v>Manufacture of margarine and similar edible fats</v>
      </c>
      <c r="D100" t="s">
        <v>1644</v>
      </c>
      <c r="E100" t="s">
        <v>720</v>
      </c>
      <c r="F100" t="s">
        <v>1645</v>
      </c>
    </row>
    <row r="101">
      <c r="A101" t="n">
        <v>3</v>
      </c>
      <c r="B101" t="s">
        <v>723</v>
      </c>
      <c r="C101" t="str">
        <f t="shared" si="1"/>
        <v>Manufacture of dairy products</v>
      </c>
      <c r="D101" t="s">
        <v>724</v>
      </c>
      <c r="E101" t="s">
        <v>0</v>
      </c>
      <c r="F101" t="s">
        <v>725</v>
      </c>
    </row>
    <row r="102">
      <c r="A102" t="n">
        <v>4</v>
      </c>
      <c r="B102" t="s">
        <v>1646</v>
      </c>
      <c r="C102" t="str">
        <f t="shared" si="1"/>
        <v>Operation of dairies and cheese making</v>
      </c>
      <c r="D102" t="s">
        <v>1647</v>
      </c>
      <c r="E102" t="s">
        <v>723</v>
      </c>
      <c r="F102" t="s">
        <v>1648</v>
      </c>
    </row>
    <row r="103">
      <c r="A103" t="n">
        <v>4</v>
      </c>
      <c r="B103" t="s">
        <v>1649</v>
      </c>
      <c r="C103" t="str">
        <f t="shared" si="1"/>
        <v>Manufacture of ice cream</v>
      </c>
      <c r="D103" t="s">
        <v>1650</v>
      </c>
      <c r="E103" t="s">
        <v>723</v>
      </c>
      <c r="F103" t="s">
        <v>1651</v>
      </c>
    </row>
    <row r="104">
      <c r="A104" t="n">
        <v>3</v>
      </c>
      <c r="B104" t="s">
        <v>726</v>
      </c>
      <c r="C104" t="str">
        <f t="shared" si="1"/>
        <v>Manufacture of grain mill products, starches and starch products</v>
      </c>
      <c r="D104" t="s">
        <v>727</v>
      </c>
      <c r="E104" t="s">
        <v>0</v>
      </c>
      <c r="F104" t="s">
        <v>728</v>
      </c>
    </row>
    <row r="105">
      <c r="A105" t="n">
        <v>4</v>
      </c>
      <c r="B105" t="s">
        <v>1652</v>
      </c>
      <c r="C105" t="str">
        <f t="shared" si="1"/>
        <v>Manufacture of grain mill products</v>
      </c>
      <c r="D105" t="s">
        <v>1653</v>
      </c>
      <c r="E105" t="s">
        <v>726</v>
      </c>
      <c r="F105" t="s">
        <v>1654</v>
      </c>
    </row>
    <row r="106">
      <c r="A106" t="n">
        <v>4</v>
      </c>
      <c r="B106" t="s">
        <v>1655</v>
      </c>
      <c r="C106" t="str">
        <f t="shared" si="1"/>
        <v>Manufacture of starches and starch products</v>
      </c>
      <c r="D106" t="s">
        <v>1656</v>
      </c>
      <c r="E106" t="s">
        <v>726</v>
      </c>
      <c r="F106" t="s">
        <v>1657</v>
      </c>
    </row>
    <row r="107">
      <c r="A107" t="n">
        <v>3</v>
      </c>
      <c r="B107" t="s">
        <v>729</v>
      </c>
      <c r="C107" t="str">
        <f t="shared" si="1"/>
        <v>Manufacture of bakery and farinaceous products</v>
      </c>
      <c r="D107" t="s">
        <v>730</v>
      </c>
      <c r="E107" t="s">
        <v>0</v>
      </c>
      <c r="F107" t="s">
        <v>731</v>
      </c>
    </row>
    <row r="108">
      <c r="A108" t="n">
        <v>4</v>
      </c>
      <c r="B108" t="s">
        <v>1658</v>
      </c>
      <c r="C108" t="str">
        <f t="shared" si="1"/>
        <v>Manufacture of bread; manufacture of fresh pastry goods and cakes</v>
      </c>
      <c r="D108" t="s">
        <v>1659</v>
      </c>
      <c r="E108" t="s">
        <v>729</v>
      </c>
      <c r="F108" t="s">
        <v>1660</v>
      </c>
    </row>
    <row r="109">
      <c r="A109" t="n">
        <v>4</v>
      </c>
      <c r="B109" t="s">
        <v>1661</v>
      </c>
      <c r="C109" t="str">
        <f t="shared" si="1"/>
        <v>Manufacture of rusks and biscuits; manufacture of preserved pastry goods and cakes</v>
      </c>
      <c r="D109" t="s">
        <v>1662</v>
      </c>
      <c r="E109" t="s">
        <v>729</v>
      </c>
      <c r="F109" t="s">
        <v>1663</v>
      </c>
    </row>
    <row r="110">
      <c r="A110" t="n">
        <v>4</v>
      </c>
      <c r="B110" t="s">
        <v>1664</v>
      </c>
      <c r="C110" t="str">
        <f t="shared" si="1"/>
        <v>Manufacture of macaroni, noodles, couscous and similar farinaceous products</v>
      </c>
      <c r="D110" t="s">
        <v>1665</v>
      </c>
      <c r="E110" t="s">
        <v>729</v>
      </c>
      <c r="F110" t="s">
        <v>1666</v>
      </c>
    </row>
    <row r="111">
      <c r="A111" t="n">
        <v>3</v>
      </c>
      <c r="B111" t="s">
        <v>732</v>
      </c>
      <c r="C111" t="str">
        <f t="shared" si="1"/>
        <v>Manufacture of other food products</v>
      </c>
      <c r="D111" t="s">
        <v>733</v>
      </c>
      <c r="E111" t="s">
        <v>0</v>
      </c>
      <c r="F111" t="s">
        <v>734</v>
      </c>
    </row>
    <row r="112">
      <c r="A112" t="n">
        <v>4</v>
      </c>
      <c r="B112" t="s">
        <v>1667</v>
      </c>
      <c r="C112" t="str">
        <f t="shared" si="1"/>
        <v>Manufacture of sugar</v>
      </c>
      <c r="D112" t="s">
        <v>1668</v>
      </c>
      <c r="E112" t="s">
        <v>732</v>
      </c>
      <c r="F112" t="s">
        <v>1669</v>
      </c>
    </row>
    <row r="113">
      <c r="A113" t="n">
        <v>4</v>
      </c>
      <c r="B113" t="s">
        <v>1670</v>
      </c>
      <c r="C113" t="str">
        <f t="shared" si="1"/>
        <v>Manufacture of cocoa, chocolate and sugar confectionery</v>
      </c>
      <c r="D113" t="s">
        <v>1671</v>
      </c>
      <c r="E113" t="s">
        <v>732</v>
      </c>
      <c r="F113" t="s">
        <v>1672</v>
      </c>
    </row>
    <row r="114">
      <c r="A114" t="n">
        <v>4</v>
      </c>
      <c r="B114" t="s">
        <v>1673</v>
      </c>
      <c r="C114" t="str">
        <f t="shared" si="1"/>
        <v>Processing of tea and coffee</v>
      </c>
      <c r="D114" t="s">
        <v>1674</v>
      </c>
      <c r="E114" t="s">
        <v>732</v>
      </c>
      <c r="F114" t="s">
        <v>1675</v>
      </c>
    </row>
    <row r="115">
      <c r="A115" t="n">
        <v>4</v>
      </c>
      <c r="B115" t="s">
        <v>1676</v>
      </c>
      <c r="C115" t="str">
        <f t="shared" si="1"/>
        <v>Manufacture of condiments and seasonings</v>
      </c>
      <c r="D115" t="s">
        <v>1677</v>
      </c>
      <c r="E115" t="s">
        <v>732</v>
      </c>
      <c r="F115" t="s">
        <v>1678</v>
      </c>
    </row>
    <row r="116">
      <c r="A116" t="n">
        <v>4</v>
      </c>
      <c r="B116" t="s">
        <v>1679</v>
      </c>
      <c r="C116" t="str">
        <f t="shared" si="1"/>
        <v>Manufacture of prepared meals and dishes</v>
      </c>
      <c r="D116" t="s">
        <v>1680</v>
      </c>
      <c r="E116" t="s">
        <v>732</v>
      </c>
      <c r="F116" t="s">
        <v>1681</v>
      </c>
    </row>
    <row r="117">
      <c r="A117" t="n">
        <v>4</v>
      </c>
      <c r="B117" t="s">
        <v>1682</v>
      </c>
      <c r="C117" t="str">
        <f t="shared" si="1"/>
        <v>Manufacture of homogenised food preparations and dietetic food</v>
      </c>
      <c r="D117" t="s">
        <v>1683</v>
      </c>
      <c r="E117" t="s">
        <v>732</v>
      </c>
      <c r="F117" t="s">
        <v>1684</v>
      </c>
    </row>
    <row r="118">
      <c r="A118" t="n">
        <v>4</v>
      </c>
      <c r="B118" t="s">
        <v>1685</v>
      </c>
      <c r="C118" t="str">
        <f t="shared" si="1"/>
        <v>Manufacture of other food products n.e.c.</v>
      </c>
      <c r="D118" t="s">
        <v>1686</v>
      </c>
      <c r="E118" t="s">
        <v>732</v>
      </c>
      <c r="F118" t="s">
        <v>1687</v>
      </c>
    </row>
    <row r="119">
      <c r="A119" t="n">
        <v>3</v>
      </c>
      <c r="B119" t="s">
        <v>735</v>
      </c>
      <c r="C119" t="str">
        <f t="shared" si="1"/>
        <v>Manufacture of prepared animal feeds</v>
      </c>
      <c r="D119" t="s">
        <v>736</v>
      </c>
      <c r="E119" t="s">
        <v>0</v>
      </c>
      <c r="F119" t="s">
        <v>737</v>
      </c>
    </row>
    <row r="120">
      <c r="A120" t="n">
        <v>4</v>
      </c>
      <c r="B120" t="s">
        <v>1688</v>
      </c>
      <c r="C120" t="str">
        <f t="shared" si="1"/>
        <v>Manufacture of prepared feeds for farm animals</v>
      </c>
      <c r="D120" t="s">
        <v>1689</v>
      </c>
      <c r="E120" t="s">
        <v>735</v>
      </c>
      <c r="F120" t="s">
        <v>1690</v>
      </c>
    </row>
    <row r="121">
      <c r="A121" t="n">
        <v>4</v>
      </c>
      <c r="B121" t="s">
        <v>1691</v>
      </c>
      <c r="C121" t="str">
        <f t="shared" si="1"/>
        <v>Manufacture of prepared pet foods</v>
      </c>
      <c r="D121" t="s">
        <v>1692</v>
      </c>
      <c r="E121" t="s">
        <v>735</v>
      </c>
      <c r="F121" t="s">
        <v>1693</v>
      </c>
    </row>
    <row r="122">
      <c r="A122" t="n">
        <v>2</v>
      </c>
      <c r="B122" t="s">
        <v>430</v>
      </c>
      <c r="C122" t="str">
        <f t="shared" si="1"/>
        <v>Manufacture of beverages</v>
      </c>
      <c r="D122" t="s">
        <v>431</v>
      </c>
      <c r="E122" t="s">
        <v>347</v>
      </c>
      <c r="F122" t="s">
        <v>432</v>
      </c>
    </row>
    <row r="123">
      <c r="A123" t="n">
        <v>3</v>
      </c>
      <c r="B123" t="s">
        <v>738</v>
      </c>
      <c r="C123" t="str">
        <f t="shared" si="1"/>
        <v>Manufacture of beverages</v>
      </c>
      <c r="D123" t="s">
        <v>739</v>
      </c>
      <c r="E123" t="s">
        <v>430</v>
      </c>
      <c r="F123" t="s">
        <v>740</v>
      </c>
    </row>
    <row r="124">
      <c r="A124" t="n">
        <v>4</v>
      </c>
      <c r="B124" t="s">
        <v>1694</v>
      </c>
      <c r="C124" t="str">
        <f t="shared" si="1"/>
        <v>Distilling, rectifying and blending of spirits</v>
      </c>
      <c r="D124" t="s">
        <v>1695</v>
      </c>
      <c r="E124" t="s">
        <v>738</v>
      </c>
      <c r="F124" t="s">
        <v>1696</v>
      </c>
    </row>
    <row r="125">
      <c r="A125" t="n">
        <v>4</v>
      </c>
      <c r="B125" t="s">
        <v>1697</v>
      </c>
      <c r="C125" t="str">
        <f t="shared" si="1"/>
        <v>Manufacture of wine from grape</v>
      </c>
      <c r="D125" t="s">
        <v>1698</v>
      </c>
      <c r="E125" t="s">
        <v>738</v>
      </c>
      <c r="F125" t="s">
        <v>1699</v>
      </c>
    </row>
    <row r="126">
      <c r="A126" t="n">
        <v>4</v>
      </c>
      <c r="B126" t="s">
        <v>1700</v>
      </c>
      <c r="C126" t="str">
        <f t="shared" si="1"/>
        <v>Manufacture of cider and other fruit wines</v>
      </c>
      <c r="D126" t="s">
        <v>1701</v>
      </c>
      <c r="E126" t="s">
        <v>738</v>
      </c>
      <c r="F126" t="s">
        <v>1702</v>
      </c>
    </row>
    <row r="127">
      <c r="A127" t="n">
        <v>4</v>
      </c>
      <c r="B127" t="s">
        <v>1703</v>
      </c>
      <c r="C127" t="str">
        <f t="shared" si="1"/>
        <v>Manufacture of other non-distilled fermented beverages</v>
      </c>
      <c r="D127" t="s">
        <v>1704</v>
      </c>
      <c r="E127" t="s">
        <v>738</v>
      </c>
      <c r="F127" t="s">
        <v>1705</v>
      </c>
    </row>
    <row r="128">
      <c r="A128" t="n">
        <v>4</v>
      </c>
      <c r="B128" t="s">
        <v>1706</v>
      </c>
      <c r="C128" t="str">
        <f t="shared" si="1"/>
        <v>Manufacture of beer</v>
      </c>
      <c r="D128" t="s">
        <v>1707</v>
      </c>
      <c r="E128" t="s">
        <v>738</v>
      </c>
      <c r="F128" t="s">
        <v>1708</v>
      </c>
    </row>
    <row r="129">
      <c r="A129" t="n">
        <v>4</v>
      </c>
      <c r="B129" t="s">
        <v>1709</v>
      </c>
      <c r="C129" t="str">
        <f t="shared" si="1"/>
        <v>Manufacture of malt</v>
      </c>
      <c r="D129" t="s">
        <v>1710</v>
      </c>
      <c r="E129" t="s">
        <v>738</v>
      </c>
      <c r="F129" t="s">
        <v>1711</v>
      </c>
    </row>
    <row r="130">
      <c r="A130" t="n">
        <v>4</v>
      </c>
      <c r="B130" t="s">
        <v>1712</v>
      </c>
      <c r="C130" t="str">
        <f t="shared" ref="C130:C193" si="2">IF(A130=1,RIGHT(D130,LEN(D130)-2),IF(A130=2,RIGHT(D130,LEN(D130)-3),IF(A130=3,RIGHT(D130,LEN(D130)-5),RIGHT(D130,LEN(D130)-6))))</f>
        <v>Manufacture of soft drinks; production of mineral waters and other bottled waters</v>
      </c>
      <c r="D130" t="s">
        <v>1713</v>
      </c>
      <c r="E130" t="s">
        <v>738</v>
      </c>
      <c r="F130" t="s">
        <v>1714</v>
      </c>
    </row>
    <row r="131">
      <c r="A131" t="n">
        <v>2</v>
      </c>
      <c r="B131" t="s">
        <v>433</v>
      </c>
      <c r="C131" t="str">
        <f t="shared" si="2"/>
        <v>Manufacture of tobacco products</v>
      </c>
      <c r="D131" t="s">
        <v>434</v>
      </c>
      <c r="E131" t="s">
        <v>347</v>
      </c>
      <c r="F131" t="s">
        <v>435</v>
      </c>
    </row>
    <row r="132">
      <c r="A132" t="n">
        <v>3</v>
      </c>
      <c r="B132" t="s">
        <v>741</v>
      </c>
      <c r="C132" t="str">
        <f t="shared" si="2"/>
        <v>Manufacture of tobacco products</v>
      </c>
      <c r="D132" t="s">
        <v>742</v>
      </c>
      <c r="E132" t="s">
        <v>433</v>
      </c>
      <c r="F132" t="s">
        <v>743</v>
      </c>
    </row>
    <row r="133">
      <c r="A133" t="n">
        <v>4</v>
      </c>
      <c r="B133" t="s">
        <v>1715</v>
      </c>
      <c r="C133" t="str">
        <f t="shared" si="2"/>
        <v>Manufacture of tobacco products</v>
      </c>
      <c r="D133" t="s">
        <v>1716</v>
      </c>
      <c r="E133" t="s">
        <v>741</v>
      </c>
      <c r="F133" t="s">
        <v>1717</v>
      </c>
    </row>
    <row r="134">
      <c r="A134" t="n">
        <v>2</v>
      </c>
      <c r="B134" t="s">
        <v>436</v>
      </c>
      <c r="C134" t="str">
        <f t="shared" si="2"/>
        <v>Manufacture of textiles</v>
      </c>
      <c r="D134" t="s">
        <v>437</v>
      </c>
      <c r="E134" t="s">
        <v>347</v>
      </c>
      <c r="F134" t="s">
        <v>438</v>
      </c>
    </row>
    <row r="135">
      <c r="A135" t="n">
        <v>3</v>
      </c>
      <c r="B135" t="s">
        <v>744</v>
      </c>
      <c r="C135" t="str">
        <f t="shared" si="2"/>
        <v>Preparation and spinning of textile fibres</v>
      </c>
      <c r="D135" t="s">
        <v>745</v>
      </c>
      <c r="E135" t="s">
        <v>436</v>
      </c>
      <c r="F135" t="s">
        <v>746</v>
      </c>
    </row>
    <row r="136">
      <c r="A136" t="n">
        <v>4</v>
      </c>
      <c r="B136" t="s">
        <v>1718</v>
      </c>
      <c r="C136" t="str">
        <f t="shared" si="2"/>
        <v>Preparation and spinning of textile fibres</v>
      </c>
      <c r="D136" t="s">
        <v>1719</v>
      </c>
      <c r="E136" t="s">
        <v>744</v>
      </c>
      <c r="F136" t="s">
        <v>1720</v>
      </c>
    </row>
    <row r="137">
      <c r="A137" t="n">
        <v>3</v>
      </c>
      <c r="B137" t="s">
        <v>747</v>
      </c>
      <c r="C137" t="str">
        <f t="shared" si="2"/>
        <v>Weaving of textiles</v>
      </c>
      <c r="D137" t="s">
        <v>748</v>
      </c>
      <c r="E137" t="s">
        <v>436</v>
      </c>
      <c r="F137" t="s">
        <v>749</v>
      </c>
    </row>
    <row r="138">
      <c r="A138" t="n">
        <v>4</v>
      </c>
      <c r="B138" t="s">
        <v>1721</v>
      </c>
      <c r="C138" t="str">
        <f t="shared" si="2"/>
        <v>Weaving of textiles</v>
      </c>
      <c r="D138" t="s">
        <v>1722</v>
      </c>
      <c r="E138" t="s">
        <v>747</v>
      </c>
      <c r="F138" t="s">
        <v>1723</v>
      </c>
    </row>
    <row r="139">
      <c r="A139" t="n">
        <v>3</v>
      </c>
      <c r="B139" t="s">
        <v>750</v>
      </c>
      <c r="C139" t="str">
        <f t="shared" si="2"/>
        <v>Finishing of textiles</v>
      </c>
      <c r="D139" t="s">
        <v>751</v>
      </c>
      <c r="E139" t="s">
        <v>436</v>
      </c>
      <c r="F139" t="s">
        <v>752</v>
      </c>
    </row>
    <row r="140">
      <c r="A140" t="n">
        <v>4</v>
      </c>
      <c r="B140" t="s">
        <v>1724</v>
      </c>
      <c r="C140" t="str">
        <f t="shared" si="2"/>
        <v>Finishing of textiles</v>
      </c>
      <c r="D140" t="s">
        <v>1725</v>
      </c>
      <c r="E140" t="s">
        <v>750</v>
      </c>
      <c r="F140" t="s">
        <v>1726</v>
      </c>
    </row>
    <row r="141">
      <c r="A141" t="n">
        <v>3</v>
      </c>
      <c r="B141" t="s">
        <v>753</v>
      </c>
      <c r="C141" t="str">
        <f t="shared" si="2"/>
        <v>Manufacture of other textiles</v>
      </c>
      <c r="D141" t="s">
        <v>754</v>
      </c>
      <c r="E141" t="s">
        <v>436</v>
      </c>
      <c r="F141" t="s">
        <v>755</v>
      </c>
    </row>
    <row r="142">
      <c r="A142" t="n">
        <v>4</v>
      </c>
      <c r="B142" t="s">
        <v>1727</v>
      </c>
      <c r="C142" t="str">
        <f t="shared" si="2"/>
        <v>Manufacture of knitted and crocheted fabrics</v>
      </c>
      <c r="D142" t="s">
        <v>1728</v>
      </c>
      <c r="E142" t="s">
        <v>753</v>
      </c>
      <c r="F142" t="s">
        <v>1729</v>
      </c>
    </row>
    <row r="143">
      <c r="A143" t="n">
        <v>4</v>
      </c>
      <c r="B143" t="s">
        <v>1730</v>
      </c>
      <c r="C143" t="str">
        <f t="shared" si="2"/>
        <v>Manufacture of made-up textile articles, except apparel</v>
      </c>
      <c r="D143" t="s">
        <v>1731</v>
      </c>
      <c r="E143" t="s">
        <v>753</v>
      </c>
      <c r="F143" t="s">
        <v>1732</v>
      </c>
    </row>
    <row r="144">
      <c r="A144" t="n">
        <v>4</v>
      </c>
      <c r="B144" t="s">
        <v>1733</v>
      </c>
      <c r="C144" t="str">
        <f t="shared" si="2"/>
        <v>Manufacture of carpets and rugs</v>
      </c>
      <c r="D144" t="s">
        <v>1734</v>
      </c>
      <c r="E144" t="s">
        <v>753</v>
      </c>
      <c r="F144" t="s">
        <v>1735</v>
      </c>
    </row>
    <row r="145">
      <c r="A145" t="n">
        <v>4</v>
      </c>
      <c r="B145" t="s">
        <v>1736</v>
      </c>
      <c r="C145" t="str">
        <f t="shared" si="2"/>
        <v>Manufacture of cordage, rope, twine and netting</v>
      </c>
      <c r="D145" t="s">
        <v>1737</v>
      </c>
      <c r="E145" t="s">
        <v>753</v>
      </c>
      <c r="F145" t="s">
        <v>1738</v>
      </c>
    </row>
    <row r="146">
      <c r="A146" t="n">
        <v>4</v>
      </c>
      <c r="B146" t="s">
        <v>1739</v>
      </c>
      <c r="C146" t="str">
        <f t="shared" si="2"/>
        <v>Manufacture of non-wovens and articles made from non-wovens, except apparel</v>
      </c>
      <c r="D146" t="s">
        <v>1740</v>
      </c>
      <c r="E146" t="s">
        <v>753</v>
      </c>
      <c r="F146" t="s">
        <v>1741</v>
      </c>
    </row>
    <row r="147">
      <c r="A147" t="n">
        <v>4</v>
      </c>
      <c r="B147" t="s">
        <v>1742</v>
      </c>
      <c r="C147" t="str">
        <f t="shared" si="2"/>
        <v>Manufacture of other technical and industrial textiles</v>
      </c>
      <c r="D147" t="s">
        <v>1743</v>
      </c>
      <c r="E147" t="s">
        <v>753</v>
      </c>
      <c r="F147" t="s">
        <v>1744</v>
      </c>
    </row>
    <row r="148">
      <c r="A148" t="n">
        <v>4</v>
      </c>
      <c r="B148" t="s">
        <v>1745</v>
      </c>
      <c r="C148" t="str">
        <f t="shared" si="2"/>
        <v>Manufacture of other textiles n.e.c.</v>
      </c>
      <c r="D148" t="s">
        <v>1746</v>
      </c>
      <c r="E148" t="s">
        <v>753</v>
      </c>
      <c r="F148" t="s">
        <v>1747</v>
      </c>
    </row>
    <row r="149">
      <c r="A149" t="n">
        <v>2</v>
      </c>
      <c r="B149" t="s">
        <v>439</v>
      </c>
      <c r="C149" t="str">
        <f t="shared" si="2"/>
        <v>Manufacture of wearing apparel</v>
      </c>
      <c r="D149" t="s">
        <v>440</v>
      </c>
      <c r="E149" t="s">
        <v>347</v>
      </c>
      <c r="F149" t="s">
        <v>441</v>
      </c>
    </row>
    <row r="150">
      <c r="A150" t="n">
        <v>3</v>
      </c>
      <c r="B150" t="s">
        <v>756</v>
      </c>
      <c r="C150" t="str">
        <f t="shared" si="2"/>
        <v>Manufacture of wearing apparel, except fur apparel</v>
      </c>
      <c r="D150" t="s">
        <v>757</v>
      </c>
      <c r="E150" t="s">
        <v>439</v>
      </c>
      <c r="F150" t="s">
        <v>758</v>
      </c>
    </row>
    <row r="151">
      <c r="A151" t="n">
        <v>4</v>
      </c>
      <c r="B151" t="s">
        <v>1748</v>
      </c>
      <c r="C151" t="str">
        <f t="shared" si="2"/>
        <v>Manufacture of leather clothes</v>
      </c>
      <c r="D151" t="s">
        <v>1749</v>
      </c>
      <c r="E151" t="s">
        <v>756</v>
      </c>
      <c r="F151" t="s">
        <v>1750</v>
      </c>
    </row>
    <row r="152">
      <c r="A152" t="n">
        <v>4</v>
      </c>
      <c r="B152" t="s">
        <v>1751</v>
      </c>
      <c r="C152" t="str">
        <f t="shared" si="2"/>
        <v>Manufacture of workwear</v>
      </c>
      <c r="D152" t="s">
        <v>1752</v>
      </c>
      <c r="E152" t="s">
        <v>756</v>
      </c>
      <c r="F152" t="s">
        <v>1753</v>
      </c>
    </row>
    <row r="153">
      <c r="A153" t="n">
        <v>4</v>
      </c>
      <c r="B153" t="s">
        <v>1754</v>
      </c>
      <c r="C153" t="str">
        <f t="shared" si="2"/>
        <v>Manufacture of other outerwear</v>
      </c>
      <c r="D153" t="s">
        <v>1755</v>
      </c>
      <c r="E153" t="s">
        <v>756</v>
      </c>
      <c r="F153" t="s">
        <v>1756</v>
      </c>
    </row>
    <row r="154">
      <c r="A154" t="n">
        <v>4</v>
      </c>
      <c r="B154" t="s">
        <v>1757</v>
      </c>
      <c r="C154" t="str">
        <f t="shared" si="2"/>
        <v>Manufacture of underwear</v>
      </c>
      <c r="D154" t="s">
        <v>1758</v>
      </c>
      <c r="E154" t="s">
        <v>756</v>
      </c>
      <c r="F154" t="s">
        <v>1759</v>
      </c>
    </row>
    <row r="155">
      <c r="A155" t="n">
        <v>4</v>
      </c>
      <c r="B155" t="s">
        <v>1760</v>
      </c>
      <c r="C155" t="str">
        <f t="shared" si="2"/>
        <v>Manufacture of other wearing apparel and accessories</v>
      </c>
      <c r="D155" t="s">
        <v>1761</v>
      </c>
      <c r="E155" t="s">
        <v>756</v>
      </c>
      <c r="F155" t="s">
        <v>1762</v>
      </c>
    </row>
    <row r="156">
      <c r="A156" t="n">
        <v>3</v>
      </c>
      <c r="B156" t="s">
        <v>759</v>
      </c>
      <c r="C156" t="str">
        <f t="shared" si="2"/>
        <v>Manufacture of articles of fur</v>
      </c>
      <c r="D156" t="s">
        <v>760</v>
      </c>
      <c r="E156" t="s">
        <v>439</v>
      </c>
      <c r="F156" t="s">
        <v>761</v>
      </c>
    </row>
    <row r="157">
      <c r="A157" t="n">
        <v>4</v>
      </c>
      <c r="B157" t="s">
        <v>1763</v>
      </c>
      <c r="C157" t="str">
        <f t="shared" si="2"/>
        <v>Manufacture of articles of fur</v>
      </c>
      <c r="D157" t="s">
        <v>1764</v>
      </c>
      <c r="E157" t="s">
        <v>759</v>
      </c>
      <c r="F157" t="s">
        <v>1765</v>
      </c>
    </row>
    <row r="158">
      <c r="A158" t="n">
        <v>3</v>
      </c>
      <c r="B158" t="s">
        <v>762</v>
      </c>
      <c r="C158" t="str">
        <f t="shared" si="2"/>
        <v>Manufacture of knitted and crocheted apparel</v>
      </c>
      <c r="D158" t="s">
        <v>763</v>
      </c>
      <c r="E158" t="s">
        <v>439</v>
      </c>
      <c r="F158" t="s">
        <v>764</v>
      </c>
    </row>
    <row r="159">
      <c r="A159" t="n">
        <v>4</v>
      </c>
      <c r="B159" t="s">
        <v>1766</v>
      </c>
      <c r="C159" t="str">
        <f t="shared" si="2"/>
        <v>Manufacture of knitted and crocheted hosiery</v>
      </c>
      <c r="D159" t="s">
        <v>1767</v>
      </c>
      <c r="E159" t="s">
        <v>762</v>
      </c>
      <c r="F159" t="s">
        <v>1768</v>
      </c>
    </row>
    <row r="160">
      <c r="A160" t="n">
        <v>4</v>
      </c>
      <c r="B160" t="s">
        <v>1769</v>
      </c>
      <c r="C160" t="str">
        <f t="shared" si="2"/>
        <v>Manufacture of other knitted and crocheted apparel</v>
      </c>
      <c r="D160" t="s">
        <v>1770</v>
      </c>
      <c r="E160" t="s">
        <v>762</v>
      </c>
      <c r="F160" t="s">
        <v>1771</v>
      </c>
    </row>
    <row r="161">
      <c r="A161" t="n">
        <v>2</v>
      </c>
      <c r="B161" t="s">
        <v>442</v>
      </c>
      <c r="C161" t="str">
        <f t="shared" si="2"/>
        <v>Manufacture of leather and related products</v>
      </c>
      <c r="D161" t="s">
        <v>443</v>
      </c>
      <c r="E161" t="s">
        <v>347</v>
      </c>
      <c r="F161" t="s">
        <v>444</v>
      </c>
    </row>
    <row r="162">
      <c r="A162" t="n">
        <v>3</v>
      </c>
      <c r="B162" t="s">
        <v>765</v>
      </c>
      <c r="C162" t="str">
        <f t="shared" si="2"/>
        <v>Tanning and dressing of leather; manufacture of luggage, handbags, saddlery and harness; dressing and dyeing of fur</v>
      </c>
      <c r="D162" t="s">
        <v>766</v>
      </c>
      <c r="E162" t="s">
        <v>442</v>
      </c>
      <c r="F162" t="s">
        <v>767</v>
      </c>
    </row>
    <row r="163">
      <c r="A163" t="n">
        <v>4</v>
      </c>
      <c r="B163" t="s">
        <v>1772</v>
      </c>
      <c r="C163" t="str">
        <f t="shared" si="2"/>
        <v>Tanning and dressing of leather; dressing and dyeing of fur</v>
      </c>
      <c r="D163" t="s">
        <v>1773</v>
      </c>
      <c r="E163" t="s">
        <v>765</v>
      </c>
      <c r="F163" t="s">
        <v>1774</v>
      </c>
    </row>
    <row r="164">
      <c r="A164" t="n">
        <v>4</v>
      </c>
      <c r="B164" t="s">
        <v>1775</v>
      </c>
      <c r="C164" t="str">
        <f t="shared" si="2"/>
        <v>Manufacture of luggage, handbags and the like, saddlery and harness</v>
      </c>
      <c r="D164" t="s">
        <v>1776</v>
      </c>
      <c r="E164" t="s">
        <v>765</v>
      </c>
      <c r="F164" t="s">
        <v>1777</v>
      </c>
    </row>
    <row r="165">
      <c r="A165" t="n">
        <v>3</v>
      </c>
      <c r="B165" t="s">
        <v>768</v>
      </c>
      <c r="C165" t="str">
        <f t="shared" si="2"/>
        <v>Manufacture of footwear</v>
      </c>
      <c r="D165" t="s">
        <v>769</v>
      </c>
      <c r="E165" t="s">
        <v>442</v>
      </c>
      <c r="F165" t="s">
        <v>770</v>
      </c>
    </row>
    <row r="166">
      <c r="A166" t="n">
        <v>4</v>
      </c>
      <c r="B166" t="s">
        <v>1778</v>
      </c>
      <c r="C166" t="str">
        <f t="shared" si="2"/>
        <v>Manufacture of footwear</v>
      </c>
      <c r="D166" t="s">
        <v>1779</v>
      </c>
      <c r="E166" t="s">
        <v>768</v>
      </c>
      <c r="F166" t="s">
        <v>1780</v>
      </c>
    </row>
    <row r="167">
      <c r="A167" t="n">
        <v>2</v>
      </c>
      <c r="B167" t="s">
        <v>445</v>
      </c>
      <c r="C167" t="str">
        <f t="shared" si="2"/>
        <v>Manufacture of wood and of products of wood and cork, except furniture; manufacture of articles of straw and plaiting materials</v>
      </c>
      <c r="D167" t="s">
        <v>446</v>
      </c>
      <c r="E167" t="s">
        <v>347</v>
      </c>
      <c r="F167" t="s">
        <v>447</v>
      </c>
    </row>
    <row r="168">
      <c r="A168" t="n">
        <v>3</v>
      </c>
      <c r="B168" t="s">
        <v>771</v>
      </c>
      <c r="C168" t="str">
        <f t="shared" si="2"/>
        <v>Sawmilling and planing of wood</v>
      </c>
      <c r="D168" t="s">
        <v>772</v>
      </c>
      <c r="E168" t="s">
        <v>445</v>
      </c>
      <c r="F168" t="s">
        <v>773</v>
      </c>
    </row>
    <row r="169">
      <c r="A169" t="n">
        <v>4</v>
      </c>
      <c r="B169" t="s">
        <v>1781</v>
      </c>
      <c r="C169" t="str">
        <f t="shared" si="2"/>
        <v>Sawmilling and planing of wood</v>
      </c>
      <c r="D169" t="s">
        <v>1782</v>
      </c>
      <c r="E169" t="s">
        <v>771</v>
      </c>
      <c r="F169" t="s">
        <v>1783</v>
      </c>
    </row>
    <row r="170">
      <c r="A170" t="n">
        <v>3</v>
      </c>
      <c r="B170" t="s">
        <v>774</v>
      </c>
      <c r="C170" t="str">
        <f t="shared" si="2"/>
        <v>Manufacture of products of wood, cork, straw and plaiting materials</v>
      </c>
      <c r="D170" t="s">
        <v>775</v>
      </c>
      <c r="E170" t="s">
        <v>445</v>
      </c>
      <c r="F170" t="s">
        <v>776</v>
      </c>
    </row>
    <row r="171">
      <c r="A171" t="n">
        <v>4</v>
      </c>
      <c r="B171" t="s">
        <v>1784</v>
      </c>
      <c r="C171" t="str">
        <f t="shared" si="2"/>
        <v>Manufacture of veneer sheets and wood-based panels</v>
      </c>
      <c r="D171" t="s">
        <v>1785</v>
      </c>
      <c r="E171" t="s">
        <v>774</v>
      </c>
      <c r="F171" t="s">
        <v>1786</v>
      </c>
    </row>
    <row r="172">
      <c r="A172" t="n">
        <v>4</v>
      </c>
      <c r="B172" t="s">
        <v>1787</v>
      </c>
      <c r="C172" t="str">
        <f t="shared" si="2"/>
        <v>Manufacture of assembled parquet floors</v>
      </c>
      <c r="D172" t="s">
        <v>1788</v>
      </c>
      <c r="E172" t="s">
        <v>774</v>
      </c>
      <c r="F172" t="s">
        <v>1789</v>
      </c>
    </row>
    <row r="173">
      <c r="A173" t="n">
        <v>4</v>
      </c>
      <c r="B173" t="s">
        <v>1790</v>
      </c>
      <c r="C173" t="str">
        <f t="shared" si="2"/>
        <v>Manufacture of other builders' carpentry and joinery</v>
      </c>
      <c r="D173" t="s">
        <v>1791</v>
      </c>
      <c r="E173" t="s">
        <v>774</v>
      </c>
      <c r="F173" t="s">
        <v>1792</v>
      </c>
    </row>
    <row r="174">
      <c r="A174" t="n">
        <v>4</v>
      </c>
      <c r="B174" t="s">
        <v>1793</v>
      </c>
      <c r="C174" t="str">
        <f t="shared" si="2"/>
        <v>Manufacture of wooden containers</v>
      </c>
      <c r="D174" t="s">
        <v>1794</v>
      </c>
      <c r="E174" t="s">
        <v>774</v>
      </c>
      <c r="F174" t="s">
        <v>1795</v>
      </c>
    </row>
    <row r="175">
      <c r="A175" t="n">
        <v>4</v>
      </c>
      <c r="B175" t="s">
        <v>1796</v>
      </c>
      <c r="C175" t="str">
        <f t="shared" si="2"/>
        <v>Manufacture of other products of wood; manufacture of articles of cork, straw and plaiting materials</v>
      </c>
      <c r="D175" t="s">
        <v>1797</v>
      </c>
      <c r="E175" t="s">
        <v>774</v>
      </c>
      <c r="F175" t="s">
        <v>1798</v>
      </c>
    </row>
    <row r="176">
      <c r="A176" t="n">
        <v>2</v>
      </c>
      <c r="B176" t="s">
        <v>448</v>
      </c>
      <c r="C176" t="str">
        <f t="shared" si="2"/>
        <v>Manufacture of paper and paper products</v>
      </c>
      <c r="D176" t="s">
        <v>449</v>
      </c>
      <c r="E176" t="s">
        <v>347</v>
      </c>
      <c r="F176" t="s">
        <v>450</v>
      </c>
    </row>
    <row r="177">
      <c r="A177" t="n">
        <v>3</v>
      </c>
      <c r="B177" t="s">
        <v>777</v>
      </c>
      <c r="C177" t="str">
        <f t="shared" si="2"/>
        <v>Manufacture of pulp, paper and paperboard</v>
      </c>
      <c r="D177" t="s">
        <v>778</v>
      </c>
      <c r="E177" t="s">
        <v>448</v>
      </c>
      <c r="F177" t="s">
        <v>779</v>
      </c>
    </row>
    <row r="178">
      <c r="A178" t="n">
        <v>4</v>
      </c>
      <c r="B178" t="s">
        <v>1799</v>
      </c>
      <c r="C178" t="str">
        <f t="shared" si="2"/>
        <v>Manufacture of pulp</v>
      </c>
      <c r="D178" t="s">
        <v>1800</v>
      </c>
      <c r="E178" t="s">
        <v>777</v>
      </c>
      <c r="F178" t="s">
        <v>1801</v>
      </c>
    </row>
    <row r="179">
      <c r="A179" t="n">
        <v>4</v>
      </c>
      <c r="B179" t="s">
        <v>1802</v>
      </c>
      <c r="C179" t="str">
        <f t="shared" si="2"/>
        <v>Manufacture of paper and paperboard</v>
      </c>
      <c r="D179" t="s">
        <v>1803</v>
      </c>
      <c r="E179" t="s">
        <v>777</v>
      </c>
      <c r="F179" t="s">
        <v>1804</v>
      </c>
    </row>
    <row r="180">
      <c r="A180" t="n">
        <v>3</v>
      </c>
      <c r="B180" t="s">
        <v>780</v>
      </c>
      <c r="C180" t="str">
        <f t="shared" si="2"/>
        <v>Manufacture of articles of paper and paperboard</v>
      </c>
      <c r="D180" t="s">
        <v>781</v>
      </c>
      <c r="E180" t="s">
        <v>448</v>
      </c>
      <c r="F180" t="s">
        <v>782</v>
      </c>
    </row>
    <row r="181">
      <c r="A181" t="n">
        <v>4</v>
      </c>
      <c r="B181" t="s">
        <v>1805</v>
      </c>
      <c r="C181" t="str">
        <f t="shared" si="2"/>
        <v>Manufacture of corrugated paper and paperboard and of containers of paper and paperboard</v>
      </c>
      <c r="D181" t="s">
        <v>1806</v>
      </c>
      <c r="E181" t="s">
        <v>780</v>
      </c>
      <c r="F181" t="s">
        <v>1807</v>
      </c>
    </row>
    <row r="182">
      <c r="A182" t="n">
        <v>4</v>
      </c>
      <c r="B182" t="s">
        <v>1808</v>
      </c>
      <c r="C182" t="str">
        <f t="shared" si="2"/>
        <v>Manufacture of household and sanitary goods and of toilet requisites</v>
      </c>
      <c r="D182" t="s">
        <v>1809</v>
      </c>
      <c r="E182" t="s">
        <v>780</v>
      </c>
      <c r="F182" t="s">
        <v>1810</v>
      </c>
    </row>
    <row r="183">
      <c r="A183" t="n">
        <v>4</v>
      </c>
      <c r="B183" t="s">
        <v>1811</v>
      </c>
      <c r="C183" t="str">
        <f t="shared" si="2"/>
        <v>Manufacture of paper stationery</v>
      </c>
      <c r="D183" t="s">
        <v>1812</v>
      </c>
      <c r="E183" t="s">
        <v>780</v>
      </c>
      <c r="F183" t="s">
        <v>1813</v>
      </c>
    </row>
    <row r="184">
      <c r="A184" t="n">
        <v>4</v>
      </c>
      <c r="B184" t="s">
        <v>1814</v>
      </c>
      <c r="C184" t="str">
        <f t="shared" si="2"/>
        <v>Manufacture of wallpaper</v>
      </c>
      <c r="D184" t="s">
        <v>1815</v>
      </c>
      <c r="E184" t="s">
        <v>780</v>
      </c>
      <c r="F184" t="s">
        <v>1816</v>
      </c>
    </row>
    <row r="185">
      <c r="A185" t="n">
        <v>4</v>
      </c>
      <c r="B185" t="s">
        <v>1817</v>
      </c>
      <c r="C185" t="str">
        <f t="shared" si="2"/>
        <v>Manufacture of other articles of paper and paperboard</v>
      </c>
      <c r="D185" t="s">
        <v>1818</v>
      </c>
      <c r="E185" t="s">
        <v>780</v>
      </c>
      <c r="F185" t="s">
        <v>1819</v>
      </c>
    </row>
    <row r="186">
      <c r="A186" t="n">
        <v>2</v>
      </c>
      <c r="B186" t="s">
        <v>451</v>
      </c>
      <c r="C186" t="str">
        <f t="shared" si="2"/>
        <v>Printing and reproduction of recorded media</v>
      </c>
      <c r="D186" t="s">
        <v>452</v>
      </c>
      <c r="E186" t="s">
        <v>347</v>
      </c>
      <c r="F186" t="s">
        <v>453</v>
      </c>
    </row>
    <row r="187">
      <c r="A187" t="n">
        <v>3</v>
      </c>
      <c r="B187" t="s">
        <v>783</v>
      </c>
      <c r="C187" t="str">
        <f t="shared" si="2"/>
        <v>Printing and service activities related to printing</v>
      </c>
      <c r="D187" t="s">
        <v>784</v>
      </c>
      <c r="E187" t="s">
        <v>451</v>
      </c>
      <c r="F187" t="s">
        <v>785</v>
      </c>
    </row>
    <row r="188">
      <c r="A188" t="n">
        <v>4</v>
      </c>
      <c r="B188" t="s">
        <v>1820</v>
      </c>
      <c r="C188" t="str">
        <f t="shared" si="2"/>
        <v>Printing of newspapers</v>
      </c>
      <c r="D188" t="s">
        <v>1821</v>
      </c>
      <c r="E188" t="s">
        <v>783</v>
      </c>
      <c r="F188" t="s">
        <v>1822</v>
      </c>
    </row>
    <row r="189">
      <c r="A189" t="n">
        <v>4</v>
      </c>
      <c r="B189" t="s">
        <v>1823</v>
      </c>
      <c r="C189" t="str">
        <f t="shared" si="2"/>
        <v>Other printing</v>
      </c>
      <c r="D189" t="s">
        <v>1824</v>
      </c>
      <c r="E189" t="s">
        <v>783</v>
      </c>
      <c r="F189" t="s">
        <v>1825</v>
      </c>
    </row>
    <row r="190">
      <c r="A190" t="n">
        <v>4</v>
      </c>
      <c r="B190" t="s">
        <v>1826</v>
      </c>
      <c r="C190" t="str">
        <f t="shared" si="2"/>
        <v>Pre-press and pre-media services</v>
      </c>
      <c r="D190" t="s">
        <v>1827</v>
      </c>
      <c r="E190" t="s">
        <v>783</v>
      </c>
      <c r="F190" t="s">
        <v>1828</v>
      </c>
    </row>
    <row r="191">
      <c r="A191" t="n">
        <v>4</v>
      </c>
      <c r="B191" t="s">
        <v>1829</v>
      </c>
      <c r="C191" t="str">
        <f t="shared" si="2"/>
        <v>Binding and related services</v>
      </c>
      <c r="D191" t="s">
        <v>1830</v>
      </c>
      <c r="E191" t="s">
        <v>783</v>
      </c>
      <c r="F191" t="s">
        <v>1831</v>
      </c>
    </row>
    <row r="192">
      <c r="A192" t="n">
        <v>3</v>
      </c>
      <c r="B192" t="s">
        <v>786</v>
      </c>
      <c r="C192" t="str">
        <f t="shared" si="2"/>
        <v>Reproduction of recorded media</v>
      </c>
      <c r="D192" t="s">
        <v>787</v>
      </c>
      <c r="E192" t="s">
        <v>451</v>
      </c>
      <c r="F192" t="s">
        <v>788</v>
      </c>
    </row>
    <row r="193">
      <c r="A193" t="n">
        <v>4</v>
      </c>
      <c r="B193" t="s">
        <v>1832</v>
      </c>
      <c r="C193" t="str">
        <f t="shared" si="2"/>
        <v>Reproduction of recorded media</v>
      </c>
      <c r="D193" t="s">
        <v>1833</v>
      </c>
      <c r="E193" t="s">
        <v>786</v>
      </c>
      <c r="F193" t="s">
        <v>1834</v>
      </c>
    </row>
    <row r="194">
      <c r="A194" t="n">
        <v>2</v>
      </c>
      <c r="B194" t="s">
        <v>454</v>
      </c>
      <c r="C194" t="str">
        <f t="shared" ref="C194:C257" si="3">IF(A194=1,RIGHT(D194,LEN(D194)-2),IF(A194=2,RIGHT(D194,LEN(D194)-3),IF(A194=3,RIGHT(D194,LEN(D194)-5),RIGHT(D194,LEN(D194)-6))))</f>
        <v>Manufacture of coke and refined petroleum products</v>
      </c>
      <c r="D194" t="s">
        <v>455</v>
      </c>
      <c r="E194" t="s">
        <v>347</v>
      </c>
      <c r="F194" t="s">
        <v>456</v>
      </c>
    </row>
    <row r="195">
      <c r="A195" t="n">
        <v>3</v>
      </c>
      <c r="B195" t="s">
        <v>789</v>
      </c>
      <c r="C195" t="str">
        <f t="shared" si="3"/>
        <v>Manufacture of coke oven products</v>
      </c>
      <c r="D195" t="s">
        <v>790</v>
      </c>
      <c r="E195" t="s">
        <v>454</v>
      </c>
      <c r="F195" t="s">
        <v>791</v>
      </c>
    </row>
    <row r="196">
      <c r="A196" t="n">
        <v>4</v>
      </c>
      <c r="B196" t="s">
        <v>1835</v>
      </c>
      <c r="C196" t="str">
        <f t="shared" si="3"/>
        <v>Manufacture of coke oven products</v>
      </c>
      <c r="D196" t="s">
        <v>1836</v>
      </c>
      <c r="E196" t="s">
        <v>789</v>
      </c>
      <c r="F196" t="s">
        <v>1837</v>
      </c>
    </row>
    <row r="197">
      <c r="A197" t="n">
        <v>3</v>
      </c>
      <c r="B197" t="s">
        <v>792</v>
      </c>
      <c r="C197" t="str">
        <f t="shared" si="3"/>
        <v>Manufacture of refined petroleum products</v>
      </c>
      <c r="D197" t="s">
        <v>793</v>
      </c>
      <c r="E197" t="s">
        <v>454</v>
      </c>
      <c r="F197" t="s">
        <v>794</v>
      </c>
    </row>
    <row r="198">
      <c r="A198" t="n">
        <v>4</v>
      </c>
      <c r="B198" t="s">
        <v>1838</v>
      </c>
      <c r="C198" t="str">
        <f t="shared" si="3"/>
        <v>Manufacture of refined petroleum products</v>
      </c>
      <c r="D198" t="s">
        <v>1839</v>
      </c>
      <c r="E198" t="s">
        <v>792</v>
      </c>
      <c r="F198" t="s">
        <v>1840</v>
      </c>
    </row>
    <row r="199">
      <c r="A199" t="n">
        <v>2</v>
      </c>
      <c r="B199" t="s">
        <v>2</v>
      </c>
      <c r="C199" t="str">
        <f t="shared" si="3"/>
        <v>Manufacture of chemicals and chemical products</v>
      </c>
      <c r="D199" t="s">
        <v>457</v>
      </c>
      <c r="E199" t="s">
        <v>347</v>
      </c>
      <c r="F199" t="s">
        <v>458</v>
      </c>
    </row>
    <row r="200">
      <c r="A200" t="n">
        <v>3</v>
      </c>
      <c r="B200" t="s">
        <v>795</v>
      </c>
      <c r="C200" t="str">
        <f t="shared" si="3"/>
        <v>Manufacture of basic chemicals, fertilisers and nitrogen compounds, plastics and synthetic rubber in primary forms</v>
      </c>
      <c r="D200" t="s">
        <v>796</v>
      </c>
      <c r="E200" t="s">
        <v>2</v>
      </c>
      <c r="F200" t="s">
        <v>797</v>
      </c>
    </row>
    <row r="201">
      <c r="A201" t="n">
        <v>4</v>
      </c>
      <c r="B201" t="s">
        <v>1841</v>
      </c>
      <c r="C201" t="str">
        <f t="shared" si="3"/>
        <v>Manufacture of industrial gases</v>
      </c>
      <c r="D201" t="s">
        <v>1842</v>
      </c>
      <c r="E201" t="s">
        <v>795</v>
      </c>
      <c r="F201" t="s">
        <v>1843</v>
      </c>
    </row>
    <row r="202">
      <c r="A202" t="n">
        <v>4</v>
      </c>
      <c r="B202" t="s">
        <v>1844</v>
      </c>
      <c r="C202" t="str">
        <f t="shared" si="3"/>
        <v>Manufacture of dyes and pigments</v>
      </c>
      <c r="D202" t="s">
        <v>1845</v>
      </c>
      <c r="E202" t="s">
        <v>795</v>
      </c>
      <c r="F202" t="s">
        <v>1846</v>
      </c>
    </row>
    <row r="203">
      <c r="A203" t="n">
        <v>4</v>
      </c>
      <c r="B203" t="s">
        <v>1847</v>
      </c>
      <c r="C203" t="str">
        <f t="shared" si="3"/>
        <v>Manufacture of other inorganic basic chemicals</v>
      </c>
      <c r="D203" t="s">
        <v>1848</v>
      </c>
      <c r="E203" t="s">
        <v>795</v>
      </c>
      <c r="F203" t="s">
        <v>1849</v>
      </c>
    </row>
    <row r="204">
      <c r="A204" t="n">
        <v>4</v>
      </c>
      <c r="B204" t="s">
        <v>1850</v>
      </c>
      <c r="C204" t="str">
        <f t="shared" si="3"/>
        <v>Manufacture of other organic basic chemicals</v>
      </c>
      <c r="D204" t="s">
        <v>1851</v>
      </c>
      <c r="E204" t="s">
        <v>795</v>
      </c>
      <c r="F204" t="s">
        <v>1852</v>
      </c>
    </row>
    <row r="205">
      <c r="A205" t="n">
        <v>4</v>
      </c>
      <c r="B205" t="s">
        <v>1853</v>
      </c>
      <c r="C205" t="str">
        <f t="shared" si="3"/>
        <v>Manufacture of fertilisers and nitrogen compounds</v>
      </c>
      <c r="D205" t="s">
        <v>1854</v>
      </c>
      <c r="E205" t="s">
        <v>795</v>
      </c>
      <c r="F205" t="s">
        <v>1855</v>
      </c>
    </row>
    <row r="206">
      <c r="A206" t="n">
        <v>4</v>
      </c>
      <c r="B206" t="s">
        <v>1856</v>
      </c>
      <c r="C206" t="str">
        <f t="shared" si="3"/>
        <v>Manufacture of plastics in primary forms</v>
      </c>
      <c r="D206" t="s">
        <v>1857</v>
      </c>
      <c r="E206" t="s">
        <v>795</v>
      </c>
      <c r="F206" t="s">
        <v>1858</v>
      </c>
    </row>
    <row r="207">
      <c r="A207" t="n">
        <v>4</v>
      </c>
      <c r="B207" t="s">
        <v>1859</v>
      </c>
      <c r="C207" t="str">
        <f t="shared" si="3"/>
        <v>Manufacture of synthetic rubber in primary forms</v>
      </c>
      <c r="D207" t="s">
        <v>1860</v>
      </c>
      <c r="E207" t="s">
        <v>795</v>
      </c>
      <c r="F207" t="s">
        <v>1861</v>
      </c>
    </row>
    <row r="208">
      <c r="A208" t="n">
        <v>3</v>
      </c>
      <c r="B208" t="s">
        <v>798</v>
      </c>
      <c r="C208" t="str">
        <f t="shared" si="3"/>
        <v>Manufacture of pesticides and other agrochemical products</v>
      </c>
      <c r="D208" t="s">
        <v>799</v>
      </c>
      <c r="E208" t="s">
        <v>2</v>
      </c>
      <c r="F208" t="s">
        <v>800</v>
      </c>
    </row>
    <row r="209">
      <c r="A209" t="n">
        <v>4</v>
      </c>
      <c r="B209" t="s">
        <v>1862</v>
      </c>
      <c r="C209" t="str">
        <f t="shared" si="3"/>
        <v>Manufacture of pesticides and other agrochemical products</v>
      </c>
      <c r="D209" t="s">
        <v>1863</v>
      </c>
      <c r="E209" t="s">
        <v>798</v>
      </c>
      <c r="F209" t="s">
        <v>1864</v>
      </c>
    </row>
    <row r="210">
      <c r="A210" t="n">
        <v>3</v>
      </c>
      <c r="B210" t="s">
        <v>801</v>
      </c>
      <c r="C210" t="str">
        <f t="shared" si="3"/>
        <v>Manufacture of paints, varnishes and similar coatings, printing ink and mastics</v>
      </c>
      <c r="D210" t="s">
        <v>802</v>
      </c>
      <c r="E210" t="s">
        <v>2</v>
      </c>
      <c r="F210" t="s">
        <v>803</v>
      </c>
    </row>
    <row r="211">
      <c r="A211" t="n">
        <v>4</v>
      </c>
      <c r="B211" t="s">
        <v>1865</v>
      </c>
      <c r="C211" t="str">
        <f t="shared" si="3"/>
        <v>Manufacture of paints, varnishes and similar coatings, printing ink and mastics</v>
      </c>
      <c r="D211" t="s">
        <v>1866</v>
      </c>
      <c r="E211" t="s">
        <v>801</v>
      </c>
      <c r="F211" t="s">
        <v>1867</v>
      </c>
    </row>
    <row r="212">
      <c r="A212" t="n">
        <v>3</v>
      </c>
      <c r="B212" t="s">
        <v>804</v>
      </c>
      <c r="C212" t="str">
        <f t="shared" si="3"/>
        <v>Manufacture of soap and detergents, cleaning and polishing preparations, perfumes and toilet preparations</v>
      </c>
      <c r="D212" t="s">
        <v>805</v>
      </c>
      <c r="E212" t="s">
        <v>2</v>
      </c>
      <c r="F212" t="s">
        <v>806</v>
      </c>
    </row>
    <row r="213">
      <c r="A213" t="n">
        <v>4</v>
      </c>
      <c r="B213" t="s">
        <v>1868</v>
      </c>
      <c r="C213" t="str">
        <f t="shared" si="3"/>
        <v>Manufacture of soap and detergents, cleaning and polishing preparations</v>
      </c>
      <c r="D213" t="s">
        <v>1869</v>
      </c>
      <c r="E213" t="s">
        <v>804</v>
      </c>
      <c r="F213" t="s">
        <v>1870</v>
      </c>
    </row>
    <row r="214">
      <c r="A214" t="n">
        <v>4</v>
      </c>
      <c r="B214" t="s">
        <v>1871</v>
      </c>
      <c r="C214" t="str">
        <f t="shared" si="3"/>
        <v>Manufacture of perfumes and toilet preparations</v>
      </c>
      <c r="D214" t="s">
        <v>1872</v>
      </c>
      <c r="E214" t="s">
        <v>804</v>
      </c>
      <c r="F214" t="s">
        <v>1873</v>
      </c>
    </row>
    <row r="215">
      <c r="A215" t="n">
        <v>3</v>
      </c>
      <c r="B215" t="s">
        <v>807</v>
      </c>
      <c r="C215" t="str">
        <f t="shared" si="3"/>
        <v>Manufacture of other chemical products</v>
      </c>
      <c r="D215" t="s">
        <v>808</v>
      </c>
      <c r="E215" t="s">
        <v>2</v>
      </c>
      <c r="F215" t="s">
        <v>809</v>
      </c>
    </row>
    <row r="216">
      <c r="A216" t="n">
        <v>4</v>
      </c>
      <c r="B216" t="s">
        <v>1874</v>
      </c>
      <c r="C216" t="str">
        <f t="shared" si="3"/>
        <v>Manufacture of explosives</v>
      </c>
      <c r="D216" t="s">
        <v>1875</v>
      </c>
      <c r="E216" t="s">
        <v>807</v>
      </c>
      <c r="F216" t="s">
        <v>1876</v>
      </c>
    </row>
    <row r="217">
      <c r="A217" t="n">
        <v>4</v>
      </c>
      <c r="B217" t="s">
        <v>1877</v>
      </c>
      <c r="C217" t="str">
        <f t="shared" si="3"/>
        <v>Manufacture of glues</v>
      </c>
      <c r="D217" t="s">
        <v>1878</v>
      </c>
      <c r="E217" t="s">
        <v>807</v>
      </c>
      <c r="F217" t="s">
        <v>1879</v>
      </c>
    </row>
    <row r="218">
      <c r="A218" t="n">
        <v>4</v>
      </c>
      <c r="B218" t="s">
        <v>1880</v>
      </c>
      <c r="C218" t="str">
        <f t="shared" si="3"/>
        <v>Manufacture of essential oils</v>
      </c>
      <c r="D218" t="s">
        <v>1881</v>
      </c>
      <c r="E218" t="s">
        <v>807</v>
      </c>
      <c r="F218" t="s">
        <v>1882</v>
      </c>
    </row>
    <row r="219">
      <c r="A219" t="n">
        <v>4</v>
      </c>
      <c r="B219" t="s">
        <v>1883</v>
      </c>
      <c r="C219" t="str">
        <f t="shared" si="3"/>
        <v>Manufacture of other chemical products n.e.c.</v>
      </c>
      <c r="D219" t="s">
        <v>1884</v>
      </c>
      <c r="E219" t="s">
        <v>807</v>
      </c>
      <c r="F219" t="s">
        <v>1885</v>
      </c>
    </row>
    <row r="220">
      <c r="A220" t="n">
        <v>3</v>
      </c>
      <c r="B220" t="s">
        <v>810</v>
      </c>
      <c r="C220" t="str">
        <f t="shared" si="3"/>
        <v>Manufacture of man-made fibres</v>
      </c>
      <c r="D220" t="s">
        <v>811</v>
      </c>
      <c r="E220" t="s">
        <v>2</v>
      </c>
      <c r="F220" t="s">
        <v>812</v>
      </c>
    </row>
    <row r="221">
      <c r="A221" t="n">
        <v>4</v>
      </c>
      <c r="B221" t="s">
        <v>1886</v>
      </c>
      <c r="C221" t="str">
        <f t="shared" si="3"/>
        <v>Manufacture of man-made fibres</v>
      </c>
      <c r="D221" t="s">
        <v>1887</v>
      </c>
      <c r="E221" t="s">
        <v>810</v>
      </c>
      <c r="F221" t="s">
        <v>1888</v>
      </c>
    </row>
    <row r="222">
      <c r="A222" t="n">
        <v>2</v>
      </c>
      <c r="B222" t="s">
        <v>6</v>
      </c>
      <c r="C222" t="str">
        <f t="shared" si="3"/>
        <v>Manufacture of basic pharmaceutical products and pharmaceutical preparations</v>
      </c>
      <c r="D222" t="s">
        <v>459</v>
      </c>
      <c r="E222" t="s">
        <v>347</v>
      </c>
      <c r="F222" t="s">
        <v>460</v>
      </c>
    </row>
    <row r="223">
      <c r="A223" t="n">
        <v>3</v>
      </c>
      <c r="B223" t="s">
        <v>813</v>
      </c>
      <c r="C223" t="str">
        <f t="shared" si="3"/>
        <v>Manufacture of basic pharmaceutical products</v>
      </c>
      <c r="D223" t="s">
        <v>814</v>
      </c>
      <c r="E223" t="s">
        <v>6</v>
      </c>
      <c r="F223" t="s">
        <v>815</v>
      </c>
    </row>
    <row r="224">
      <c r="A224" t="n">
        <v>4</v>
      </c>
      <c r="B224" t="s">
        <v>1889</v>
      </c>
      <c r="C224" t="str">
        <f t="shared" si="3"/>
        <v>Manufacture of basic pharmaceutical products</v>
      </c>
      <c r="D224" t="s">
        <v>1890</v>
      </c>
      <c r="E224" t="s">
        <v>813</v>
      </c>
      <c r="F224" t="s">
        <v>1891</v>
      </c>
    </row>
    <row r="225">
      <c r="A225" t="n">
        <v>3</v>
      </c>
      <c r="B225" t="s">
        <v>816</v>
      </c>
      <c r="C225" t="str">
        <f t="shared" si="3"/>
        <v>Manufacture of pharmaceutical preparations</v>
      </c>
      <c r="D225" t="s">
        <v>817</v>
      </c>
      <c r="E225" t="s">
        <v>6</v>
      </c>
      <c r="F225" t="s">
        <v>818</v>
      </c>
    </row>
    <row r="226">
      <c r="A226" t="n">
        <v>4</v>
      </c>
      <c r="B226" t="s">
        <v>1892</v>
      </c>
      <c r="C226" t="str">
        <f t="shared" si="3"/>
        <v>Manufacture of pharmaceutical preparations</v>
      </c>
      <c r="D226" t="s">
        <v>1893</v>
      </c>
      <c r="E226" t="s">
        <v>816</v>
      </c>
      <c r="F226" t="s">
        <v>1894</v>
      </c>
    </row>
    <row r="227">
      <c r="A227" t="n">
        <v>2</v>
      </c>
      <c r="B227" t="s">
        <v>10</v>
      </c>
      <c r="C227" t="str">
        <f t="shared" si="3"/>
        <v>Manufacture of rubber and plastic products</v>
      </c>
      <c r="D227" t="s">
        <v>461</v>
      </c>
      <c r="E227" t="s">
        <v>347</v>
      </c>
      <c r="F227" t="s">
        <v>462</v>
      </c>
    </row>
    <row r="228">
      <c r="A228" t="n">
        <v>3</v>
      </c>
      <c r="B228" t="s">
        <v>819</v>
      </c>
      <c r="C228" t="str">
        <f t="shared" si="3"/>
        <v>Manufacture of rubber products</v>
      </c>
      <c r="D228" t="s">
        <v>820</v>
      </c>
      <c r="E228" t="s">
        <v>10</v>
      </c>
      <c r="F228" t="s">
        <v>821</v>
      </c>
    </row>
    <row r="229">
      <c r="A229" t="n">
        <v>4</v>
      </c>
      <c r="B229" t="s">
        <v>1895</v>
      </c>
      <c r="C229" t="str">
        <f t="shared" si="3"/>
        <v>Manufacture of rubber tyres and tubes; retreading and rebuilding of rubber tyres</v>
      </c>
      <c r="D229" t="s">
        <v>1896</v>
      </c>
      <c r="E229" t="s">
        <v>819</v>
      </c>
      <c r="F229" t="s">
        <v>1897</v>
      </c>
    </row>
    <row r="230">
      <c r="A230" t="n">
        <v>4</v>
      </c>
      <c r="B230" t="s">
        <v>1898</v>
      </c>
      <c r="C230" t="str">
        <f t="shared" si="3"/>
        <v>Manufacture of other rubber products</v>
      </c>
      <c r="D230" t="s">
        <v>1899</v>
      </c>
      <c r="E230" t="s">
        <v>819</v>
      </c>
      <c r="F230" t="s">
        <v>1900</v>
      </c>
    </row>
    <row r="231">
      <c r="A231" t="n">
        <v>3</v>
      </c>
      <c r="B231" t="s">
        <v>822</v>
      </c>
      <c r="C231" t="str">
        <f t="shared" si="3"/>
        <v>Manufacture of plastics products</v>
      </c>
      <c r="D231" t="s">
        <v>3307</v>
      </c>
      <c r="E231" t="s">
        <v>10</v>
      </c>
      <c r="F231" t="s">
        <v>823</v>
      </c>
    </row>
    <row r="232">
      <c r="A232" t="n">
        <v>4</v>
      </c>
      <c r="B232" t="s">
        <v>1901</v>
      </c>
      <c r="C232" t="str">
        <f t="shared" si="3"/>
        <v>Manufacture of plastic plates, sheets, tubes and profiles</v>
      </c>
      <c r="D232" t="s">
        <v>1902</v>
      </c>
      <c r="E232" t="s">
        <v>822</v>
      </c>
      <c r="F232" t="s">
        <v>1903</v>
      </c>
    </row>
    <row r="233">
      <c r="A233" t="n">
        <v>4</v>
      </c>
      <c r="B233" t="s">
        <v>1904</v>
      </c>
      <c r="C233" t="str">
        <f t="shared" si="3"/>
        <v>Manufacture of plastic packing goods</v>
      </c>
      <c r="D233" t="s">
        <v>1905</v>
      </c>
      <c r="E233" t="s">
        <v>822</v>
      </c>
      <c r="F233" t="s">
        <v>1906</v>
      </c>
    </row>
    <row r="234">
      <c r="A234" t="n">
        <v>4</v>
      </c>
      <c r="B234" t="s">
        <v>1907</v>
      </c>
      <c r="C234" t="str">
        <f t="shared" si="3"/>
        <v>Manufacture of builders’ ware of plastic</v>
      </c>
      <c r="D234" t="s">
        <v>1908</v>
      </c>
      <c r="E234" t="s">
        <v>822</v>
      </c>
      <c r="F234" t="s">
        <v>1909</v>
      </c>
    </row>
    <row r="235">
      <c r="A235" t="n">
        <v>4</v>
      </c>
      <c r="B235" t="s">
        <v>1910</v>
      </c>
      <c r="C235" t="str">
        <f t="shared" si="3"/>
        <v>Manufacture of other plastic products</v>
      </c>
      <c r="D235" t="s">
        <v>1911</v>
      </c>
      <c r="E235" t="s">
        <v>822</v>
      </c>
      <c r="F235" t="s">
        <v>1912</v>
      </c>
    </row>
    <row r="236">
      <c r="A236" t="n">
        <v>2</v>
      </c>
      <c r="B236" t="s">
        <v>12</v>
      </c>
      <c r="C236" t="str">
        <f t="shared" si="3"/>
        <v>Manufacture of other non-metallic mineral products</v>
      </c>
      <c r="D236" t="s">
        <v>463</v>
      </c>
      <c r="E236" t="s">
        <v>347</v>
      </c>
      <c r="F236" t="s">
        <v>464</v>
      </c>
    </row>
    <row r="237">
      <c r="A237" t="n">
        <v>3</v>
      </c>
      <c r="B237" t="s">
        <v>824</v>
      </c>
      <c r="C237" t="str">
        <f t="shared" si="3"/>
        <v>Manufacture of glass and glass products</v>
      </c>
      <c r="D237" t="s">
        <v>825</v>
      </c>
      <c r="E237" t="s">
        <v>12</v>
      </c>
      <c r="F237" t="s">
        <v>826</v>
      </c>
    </row>
    <row r="238">
      <c r="A238" t="n">
        <v>4</v>
      </c>
      <c r="B238" t="s">
        <v>1913</v>
      </c>
      <c r="C238" t="str">
        <f t="shared" si="3"/>
        <v>Manufacture of flat glass</v>
      </c>
      <c r="D238" t="s">
        <v>1914</v>
      </c>
      <c r="E238" t="s">
        <v>824</v>
      </c>
      <c r="F238" t="s">
        <v>1915</v>
      </c>
    </row>
    <row r="239">
      <c r="A239" t="n">
        <v>4</v>
      </c>
      <c r="B239" t="s">
        <v>1916</v>
      </c>
      <c r="C239" t="str">
        <f t="shared" si="3"/>
        <v>Shaping and processing of flat glass</v>
      </c>
      <c r="D239" t="s">
        <v>1917</v>
      </c>
      <c r="E239" t="s">
        <v>824</v>
      </c>
      <c r="F239" t="s">
        <v>1918</v>
      </c>
    </row>
    <row r="240">
      <c r="A240" t="n">
        <v>4</v>
      </c>
      <c r="B240" t="s">
        <v>1919</v>
      </c>
      <c r="C240" t="str">
        <f t="shared" si="3"/>
        <v>Manufacture of hollow glass</v>
      </c>
      <c r="D240" t="s">
        <v>1920</v>
      </c>
      <c r="E240" t="s">
        <v>824</v>
      </c>
      <c r="F240" t="s">
        <v>1921</v>
      </c>
    </row>
    <row r="241">
      <c r="A241" t="n">
        <v>4</v>
      </c>
      <c r="B241" t="s">
        <v>1922</v>
      </c>
      <c r="C241" t="str">
        <f t="shared" si="3"/>
        <v>Manufacture of glass fibres</v>
      </c>
      <c r="D241" t="s">
        <v>1923</v>
      </c>
      <c r="E241" t="s">
        <v>824</v>
      </c>
      <c r="F241" t="s">
        <v>1924</v>
      </c>
    </row>
    <row r="242">
      <c r="A242" t="n">
        <v>4</v>
      </c>
      <c r="B242" t="s">
        <v>1925</v>
      </c>
      <c r="C242" t="str">
        <f t="shared" si="3"/>
        <v>Manufacture and processing of other glass, including technical glassware</v>
      </c>
      <c r="D242" t="s">
        <v>1926</v>
      </c>
      <c r="E242" t="s">
        <v>824</v>
      </c>
      <c r="F242" t="s">
        <v>1927</v>
      </c>
    </row>
    <row r="243">
      <c r="A243" t="n">
        <v>3</v>
      </c>
      <c r="B243" t="s">
        <v>827</v>
      </c>
      <c r="C243" t="str">
        <f t="shared" si="3"/>
        <v>Manufacture of refractory products</v>
      </c>
      <c r="D243" t="s">
        <v>828</v>
      </c>
      <c r="E243" t="s">
        <v>12</v>
      </c>
      <c r="F243" t="s">
        <v>829</v>
      </c>
    </row>
    <row r="244">
      <c r="A244" t="n">
        <v>4</v>
      </c>
      <c r="B244" t="s">
        <v>1928</v>
      </c>
      <c r="C244" t="str">
        <f t="shared" si="3"/>
        <v>Manufacture of refractory products</v>
      </c>
      <c r="D244" t="s">
        <v>1929</v>
      </c>
      <c r="E244" t="s">
        <v>827</v>
      </c>
      <c r="F244" t="s">
        <v>1930</v>
      </c>
    </row>
    <row r="245">
      <c r="A245" t="n">
        <v>3</v>
      </c>
      <c r="B245" t="s">
        <v>830</v>
      </c>
      <c r="C245" t="str">
        <f t="shared" si="3"/>
        <v>Manufacture of clay building materials</v>
      </c>
      <c r="D245" t="s">
        <v>831</v>
      </c>
      <c r="E245" t="s">
        <v>12</v>
      </c>
      <c r="F245" t="s">
        <v>832</v>
      </c>
    </row>
    <row r="246">
      <c r="A246" t="n">
        <v>4</v>
      </c>
      <c r="B246" t="s">
        <v>1931</v>
      </c>
      <c r="C246" t="str">
        <f t="shared" si="3"/>
        <v>Manufacture of ceramic tiles and flags</v>
      </c>
      <c r="D246" t="s">
        <v>1932</v>
      </c>
      <c r="E246" t="s">
        <v>830</v>
      </c>
      <c r="F246" t="s">
        <v>1933</v>
      </c>
    </row>
    <row r="247">
      <c r="A247" t="n">
        <v>4</v>
      </c>
      <c r="B247" t="s">
        <v>1934</v>
      </c>
      <c r="C247" t="str">
        <f t="shared" si="3"/>
        <v>Manufacture of bricks, tiles and construction products, in baked clay</v>
      </c>
      <c r="D247" t="s">
        <v>1935</v>
      </c>
      <c r="E247" t="s">
        <v>830</v>
      </c>
      <c r="F247" t="s">
        <v>1936</v>
      </c>
    </row>
    <row r="248">
      <c r="A248" t="n">
        <v>3</v>
      </c>
      <c r="B248" t="s">
        <v>833</v>
      </c>
      <c r="C248" t="str">
        <f t="shared" si="3"/>
        <v>Manufacture of other porcelain and ceramic products</v>
      </c>
      <c r="D248" t="s">
        <v>834</v>
      </c>
      <c r="E248" t="s">
        <v>12</v>
      </c>
      <c r="F248" t="s">
        <v>835</v>
      </c>
    </row>
    <row r="249">
      <c r="A249" t="n">
        <v>4</v>
      </c>
      <c r="B249" t="s">
        <v>1937</v>
      </c>
      <c r="C249" t="str">
        <f t="shared" si="3"/>
        <v>Manufacture of ceramic household and ornamental articles</v>
      </c>
      <c r="D249" t="s">
        <v>1938</v>
      </c>
      <c r="E249" t="s">
        <v>833</v>
      </c>
      <c r="F249" t="s">
        <v>1939</v>
      </c>
    </row>
    <row r="250">
      <c r="A250" t="n">
        <v>4</v>
      </c>
      <c r="B250" t="s">
        <v>1940</v>
      </c>
      <c r="C250" t="str">
        <f t="shared" si="3"/>
        <v>Manufacture of ceramic sanitary fixtures</v>
      </c>
      <c r="D250" t="s">
        <v>1941</v>
      </c>
      <c r="E250" t="s">
        <v>833</v>
      </c>
      <c r="F250" t="s">
        <v>1942</v>
      </c>
    </row>
    <row r="251">
      <c r="A251" t="n">
        <v>4</v>
      </c>
      <c r="B251" t="s">
        <v>1943</v>
      </c>
      <c r="C251" t="str">
        <f t="shared" si="3"/>
        <v>Manufacture of ceramic insulators and insulating fittings</v>
      </c>
      <c r="D251" t="s">
        <v>1944</v>
      </c>
      <c r="E251" t="s">
        <v>833</v>
      </c>
      <c r="F251" t="s">
        <v>1945</v>
      </c>
    </row>
    <row r="252">
      <c r="A252" t="n">
        <v>4</v>
      </c>
      <c r="B252" t="s">
        <v>1946</v>
      </c>
      <c r="C252" t="str">
        <f t="shared" si="3"/>
        <v>Manufacture of other technical ceramic products</v>
      </c>
      <c r="D252" t="s">
        <v>1947</v>
      </c>
      <c r="E252" t="s">
        <v>833</v>
      </c>
      <c r="F252" t="s">
        <v>1948</v>
      </c>
    </row>
    <row r="253">
      <c r="A253" t="n">
        <v>4</v>
      </c>
      <c r="B253" t="s">
        <v>1949</v>
      </c>
      <c r="C253" t="str">
        <f t="shared" si="3"/>
        <v>Manufacture of other ceramic products</v>
      </c>
      <c r="D253" t="s">
        <v>1950</v>
      </c>
      <c r="E253" t="s">
        <v>833</v>
      </c>
      <c r="F253" t="s">
        <v>1951</v>
      </c>
    </row>
    <row r="254">
      <c r="A254" t="n">
        <v>3</v>
      </c>
      <c r="B254" t="s">
        <v>836</v>
      </c>
      <c r="C254" t="str">
        <f t="shared" si="3"/>
        <v>Manufacture of cement, lime and plaster</v>
      </c>
      <c r="D254" t="s">
        <v>837</v>
      </c>
      <c r="E254" t="s">
        <v>12</v>
      </c>
      <c r="F254" t="s">
        <v>838</v>
      </c>
    </row>
    <row r="255">
      <c r="A255" t="n">
        <v>4</v>
      </c>
      <c r="B255" t="s">
        <v>1952</v>
      </c>
      <c r="C255" t="str">
        <f t="shared" si="3"/>
        <v>Manufacture of cement</v>
      </c>
      <c r="D255" t="s">
        <v>1953</v>
      </c>
      <c r="E255" t="s">
        <v>836</v>
      </c>
      <c r="F255" t="s">
        <v>1954</v>
      </c>
    </row>
    <row r="256">
      <c r="A256" t="n">
        <v>4</v>
      </c>
      <c r="B256" t="s">
        <v>1955</v>
      </c>
      <c r="C256" t="str">
        <f t="shared" si="3"/>
        <v>Manufacture of lime and plaster</v>
      </c>
      <c r="D256" t="s">
        <v>1956</v>
      </c>
      <c r="E256" t="s">
        <v>836</v>
      </c>
      <c r="F256" t="s">
        <v>1957</v>
      </c>
    </row>
    <row r="257">
      <c r="A257" t="n">
        <v>3</v>
      </c>
      <c r="B257" t="s">
        <v>839</v>
      </c>
      <c r="C257" t="str">
        <f t="shared" si="3"/>
        <v>Manufacture of articles of concrete, cement and plaster</v>
      </c>
      <c r="D257" t="s">
        <v>840</v>
      </c>
      <c r="E257" t="s">
        <v>12</v>
      </c>
      <c r="F257" t="s">
        <v>841</v>
      </c>
    </row>
    <row r="258">
      <c r="A258" t="n">
        <v>4</v>
      </c>
      <c r="B258" t="s">
        <v>1958</v>
      </c>
      <c r="C258" t="str">
        <f t="shared" ref="C258:C280" si="4">IF(A258=1,RIGHT(D258,LEN(D258)-2),IF(A258=2,RIGHT(D258,LEN(D258)-3),IF(A258=3,RIGHT(D258,LEN(D258)-5),RIGHT(D258,LEN(D258)-6))))</f>
        <v>Manufacture of concrete products for construction purposes</v>
      </c>
      <c r="D258" t="s">
        <v>1959</v>
      </c>
      <c r="E258" t="s">
        <v>839</v>
      </c>
      <c r="F258" t="s">
        <v>1960</v>
      </c>
    </row>
    <row r="259">
      <c r="A259" t="n">
        <v>4</v>
      </c>
      <c r="B259" t="s">
        <v>1961</v>
      </c>
      <c r="C259" t="str">
        <f t="shared" si="4"/>
        <v>Manufacture of plaster products for construction purposes</v>
      </c>
      <c r="D259" t="s">
        <v>1962</v>
      </c>
      <c r="E259" t="s">
        <v>839</v>
      </c>
      <c r="F259" t="s">
        <v>1963</v>
      </c>
    </row>
    <row r="260">
      <c r="A260" t="n">
        <v>4</v>
      </c>
      <c r="B260" t="s">
        <v>1964</v>
      </c>
      <c r="C260" t="str">
        <f t="shared" si="4"/>
        <v>Manufacture of ready-mixed concrete</v>
      </c>
      <c r="D260" t="s">
        <v>1965</v>
      </c>
      <c r="E260" t="s">
        <v>839</v>
      </c>
      <c r="F260" t="s">
        <v>1966</v>
      </c>
    </row>
    <row r="261">
      <c r="A261" t="n">
        <v>4</v>
      </c>
      <c r="B261" t="s">
        <v>1967</v>
      </c>
      <c r="C261" t="str">
        <f t="shared" si="4"/>
        <v>Manufacture of mortars</v>
      </c>
      <c r="D261" t="s">
        <v>1968</v>
      </c>
      <c r="E261" t="s">
        <v>839</v>
      </c>
      <c r="F261" t="s">
        <v>1969</v>
      </c>
    </row>
    <row r="262">
      <c r="A262" t="n">
        <v>4</v>
      </c>
      <c r="B262" t="s">
        <v>1970</v>
      </c>
      <c r="C262" t="str">
        <f t="shared" si="4"/>
        <v>Manufacture of fibre cement</v>
      </c>
      <c r="D262" t="s">
        <v>1971</v>
      </c>
      <c r="E262" t="s">
        <v>839</v>
      </c>
      <c r="F262" t="s">
        <v>1972</v>
      </c>
    </row>
    <row r="263">
      <c r="A263" t="n">
        <v>4</v>
      </c>
      <c r="B263" t="s">
        <v>1973</v>
      </c>
      <c r="C263" t="str">
        <f t="shared" si="4"/>
        <v>Manufacture of other articles of concrete, plaster and cement</v>
      </c>
      <c r="D263" t="s">
        <v>1974</v>
      </c>
      <c r="E263" t="s">
        <v>839</v>
      </c>
      <c r="F263" t="s">
        <v>1975</v>
      </c>
    </row>
    <row r="264">
      <c r="A264" t="n">
        <v>3</v>
      </c>
      <c r="B264" t="s">
        <v>842</v>
      </c>
      <c r="C264" t="str">
        <f t="shared" si="4"/>
        <v>Cutting, shaping and finishing of stone</v>
      </c>
      <c r="D264" t="s">
        <v>843</v>
      </c>
      <c r="E264" t="s">
        <v>12</v>
      </c>
      <c r="F264" t="s">
        <v>844</v>
      </c>
    </row>
    <row r="265">
      <c r="A265" t="n">
        <v>4</v>
      </c>
      <c r="B265" t="s">
        <v>1976</v>
      </c>
      <c r="C265" t="str">
        <f t="shared" si="4"/>
        <v>Cutting, shaping and finishing of stone</v>
      </c>
      <c r="D265" t="s">
        <v>1977</v>
      </c>
      <c r="E265" t="s">
        <v>842</v>
      </c>
      <c r="F265" t="s">
        <v>1978</v>
      </c>
    </row>
    <row r="266">
      <c r="A266" t="n">
        <v>3</v>
      </c>
      <c r="B266" t="s">
        <v>845</v>
      </c>
      <c r="C266" t="str">
        <f t="shared" si="4"/>
        <v>Manufacture of abrasive products and non-metallic mineral products n.e.c.</v>
      </c>
      <c r="D266" t="s">
        <v>846</v>
      </c>
      <c r="E266" t="s">
        <v>12</v>
      </c>
      <c r="F266" t="s">
        <v>847</v>
      </c>
    </row>
    <row r="267">
      <c r="A267" t="n">
        <v>4</v>
      </c>
      <c r="B267" t="s">
        <v>1979</v>
      </c>
      <c r="C267" t="str">
        <f t="shared" si="4"/>
        <v>Production of abrasive products</v>
      </c>
      <c r="D267" t="s">
        <v>1980</v>
      </c>
      <c r="E267" t="s">
        <v>845</v>
      </c>
      <c r="F267" t="s">
        <v>1981</v>
      </c>
    </row>
    <row r="268">
      <c r="A268" t="n">
        <v>4</v>
      </c>
      <c r="B268" t="s">
        <v>1982</v>
      </c>
      <c r="C268" t="str">
        <f t="shared" si="4"/>
        <v>Manufacture of other non-metallic mineral products n.e.c.</v>
      </c>
      <c r="D268" t="s">
        <v>1983</v>
      </c>
      <c r="E268" t="s">
        <v>845</v>
      </c>
      <c r="F268" t="s">
        <v>1984</v>
      </c>
    </row>
    <row r="269">
      <c r="A269" t="n">
        <v>2</v>
      </c>
      <c r="B269" t="s">
        <v>14</v>
      </c>
      <c r="C269" t="str">
        <f t="shared" si="4"/>
        <v>Manufacture of basic metals</v>
      </c>
      <c r="D269" t="s">
        <v>465</v>
      </c>
      <c r="E269" t="s">
        <v>347</v>
      </c>
      <c r="F269" t="s">
        <v>466</v>
      </c>
    </row>
    <row r="270">
      <c r="A270" t="n">
        <v>3</v>
      </c>
      <c r="B270" t="s">
        <v>848</v>
      </c>
      <c r="C270" t="str">
        <f t="shared" si="4"/>
        <v>Manufacture of basic iron and steel and of ferro-alloys</v>
      </c>
      <c r="D270" t="s">
        <v>849</v>
      </c>
      <c r="E270" t="s">
        <v>14</v>
      </c>
      <c r="F270" t="s">
        <v>850</v>
      </c>
    </row>
    <row r="271">
      <c r="A271" t="n">
        <v>4</v>
      </c>
      <c r="B271" t="s">
        <v>1985</v>
      </c>
      <c r="C271" t="str">
        <f t="shared" si="4"/>
        <v>Manufacture of basic iron and steel and of ferro-alloys</v>
      </c>
      <c r="D271" t="s">
        <v>1986</v>
      </c>
      <c r="E271" t="s">
        <v>848</v>
      </c>
      <c r="F271" t="s">
        <v>1987</v>
      </c>
    </row>
    <row r="272">
      <c r="A272" t="n">
        <v>3</v>
      </c>
      <c r="B272" t="s">
        <v>851</v>
      </c>
      <c r="C272" t="str">
        <f t="shared" si="4"/>
        <v>Manufacture of tubes, pipes, hollow profiles and related fittings, of steel</v>
      </c>
      <c r="D272" t="s">
        <v>852</v>
      </c>
      <c r="E272" t="s">
        <v>14</v>
      </c>
      <c r="F272" t="s">
        <v>853</v>
      </c>
    </row>
    <row r="273">
      <c r="A273" t="n">
        <v>4</v>
      </c>
      <c r="B273" t="s">
        <v>1988</v>
      </c>
      <c r="C273" t="str">
        <f t="shared" si="4"/>
        <v>Manufacture of tubes, pipes, hollow profiles and related fittings, of steel</v>
      </c>
      <c r="D273" t="s">
        <v>1989</v>
      </c>
      <c r="E273" t="s">
        <v>851</v>
      </c>
      <c r="F273" t="s">
        <v>1990</v>
      </c>
    </row>
    <row r="274">
      <c r="A274" t="n">
        <v>3</v>
      </c>
      <c r="B274" t="s">
        <v>854</v>
      </c>
      <c r="C274" t="str">
        <f t="shared" si="4"/>
        <v>Manufacture of other products of first processing of steel</v>
      </c>
      <c r="D274" t="s">
        <v>855</v>
      </c>
      <c r="E274" t="s">
        <v>14</v>
      </c>
      <c r="F274" t="s">
        <v>856</v>
      </c>
    </row>
    <row r="275">
      <c r="A275" t="n">
        <v>4</v>
      </c>
      <c r="B275" t="s">
        <v>1991</v>
      </c>
      <c r="C275" t="str">
        <f t="shared" si="4"/>
        <v>Cold drawing of bars</v>
      </c>
      <c r="D275" t="s">
        <v>1992</v>
      </c>
      <c r="E275" t="s">
        <v>854</v>
      </c>
      <c r="F275" t="s">
        <v>1993</v>
      </c>
    </row>
    <row r="276">
      <c r="A276" t="n">
        <v>4</v>
      </c>
      <c r="B276" t="s">
        <v>1994</v>
      </c>
      <c r="C276" t="str">
        <f t="shared" si="4"/>
        <v>Cold rolling of narrow strip</v>
      </c>
      <c r="D276" t="s">
        <v>1995</v>
      </c>
      <c r="E276" t="s">
        <v>854</v>
      </c>
      <c r="F276" t="s">
        <v>1996</v>
      </c>
    </row>
    <row r="277">
      <c r="A277" t="n">
        <v>4</v>
      </c>
      <c r="B277" t="s">
        <v>1997</v>
      </c>
      <c r="C277" t="str">
        <f t="shared" si="4"/>
        <v>Cold forming or folding</v>
      </c>
      <c r="D277" t="s">
        <v>1998</v>
      </c>
      <c r="E277" t="s">
        <v>854</v>
      </c>
      <c r="F277" t="s">
        <v>1999</v>
      </c>
    </row>
    <row r="278">
      <c r="A278" t="n">
        <v>4</v>
      </c>
      <c r="B278" t="s">
        <v>2000</v>
      </c>
      <c r="C278" t="str">
        <f t="shared" si="4"/>
        <v>Cold drawing of wire</v>
      </c>
      <c r="D278" t="s">
        <v>2001</v>
      </c>
      <c r="E278" t="s">
        <v>854</v>
      </c>
      <c r="F278" t="s">
        <v>2002</v>
      </c>
    </row>
    <row r="279">
      <c r="A279" t="n">
        <v>3</v>
      </c>
      <c r="B279" t="s">
        <v>857</v>
      </c>
      <c r="C279" t="str">
        <f t="shared" si="4"/>
        <v>Manufacture of basic precious and other non-ferrous metals</v>
      </c>
      <c r="D279" t="s">
        <v>858</v>
      </c>
      <c r="E279" t="s">
        <v>14</v>
      </c>
      <c r="F279" t="s">
        <v>859</v>
      </c>
    </row>
    <row r="280">
      <c r="A280" t="n">
        <v>4</v>
      </c>
      <c r="B280" t="s">
        <v>2003</v>
      </c>
      <c r="C280" t="str">
        <f t="shared" si="4"/>
        <v>Precious metals production</v>
      </c>
      <c r="D280" t="s">
        <v>2004</v>
      </c>
      <c r="E280" t="s">
        <v>857</v>
      </c>
      <c r="F280" t="s">
        <v>2005</v>
      </c>
    </row>
    <row r="281">
      <c r="A281" t="n">
        <v>4</v>
      </c>
      <c r="B281" t="s">
        <v>2006</v>
      </c>
      <c r="C281" s="4" t="s">
        <v>3331</v>
      </c>
      <c r="D281" t="s">
        <v>2007</v>
      </c>
      <c r="E281" t="s">
        <v>857</v>
      </c>
      <c r="F281" t="s">
        <v>2008</v>
      </c>
    </row>
    <row r="282">
      <c r="A282" t="n">
        <v>4</v>
      </c>
      <c r="B282" t="s">
        <v>2009</v>
      </c>
      <c r="C282" t="str">
        <f t="shared" ref="C282:C345" si="5">IF(A282=1,RIGHT(D282,LEN(D282)-2),IF(A282=2,RIGHT(D282,LEN(D282)-3),IF(A282=3,RIGHT(D282,LEN(D282)-5),RIGHT(D282,LEN(D282)-6))))</f>
        <v>Lead, zinc and tin production</v>
      </c>
      <c r="D282" t="s">
        <v>2010</v>
      </c>
      <c r="E282" t="s">
        <v>857</v>
      </c>
      <c r="F282" t="s">
        <v>2011</v>
      </c>
    </row>
    <row r="283">
      <c r="A283" t="n">
        <v>4</v>
      </c>
      <c r="B283" t="s">
        <v>2012</v>
      </c>
      <c r="C283" t="str">
        <f t="shared" si="5"/>
        <v>Copper production</v>
      </c>
      <c r="D283" t="s">
        <v>2013</v>
      </c>
      <c r="E283" t="s">
        <v>857</v>
      </c>
      <c r="F283" t="s">
        <v>2014</v>
      </c>
    </row>
    <row r="284">
      <c r="A284" t="n">
        <v>4</v>
      </c>
      <c r="B284" t="s">
        <v>2015</v>
      </c>
      <c r="C284" t="str">
        <f t="shared" si="5"/>
        <v>Other non-ferrous metal production</v>
      </c>
      <c r="D284" t="s">
        <v>2016</v>
      </c>
      <c r="E284" t="s">
        <v>857</v>
      </c>
      <c r="F284" t="s">
        <v>2017</v>
      </c>
    </row>
    <row r="285">
      <c r="A285" t="n">
        <v>4</v>
      </c>
      <c r="B285" t="s">
        <v>2018</v>
      </c>
      <c r="C285" t="str">
        <f t="shared" si="5"/>
        <v>Processing of nuclear fuel</v>
      </c>
      <c r="D285" t="s">
        <v>2019</v>
      </c>
      <c r="E285" t="s">
        <v>857</v>
      </c>
      <c r="F285" t="s">
        <v>2020</v>
      </c>
    </row>
    <row r="286">
      <c r="A286" t="n">
        <v>3</v>
      </c>
      <c r="B286" t="s">
        <v>860</v>
      </c>
      <c r="C286" t="str">
        <f t="shared" si="5"/>
        <v>Casting of metals</v>
      </c>
      <c r="D286" t="s">
        <v>861</v>
      </c>
      <c r="E286" t="s">
        <v>14</v>
      </c>
      <c r="F286" t="s">
        <v>862</v>
      </c>
    </row>
    <row r="287">
      <c r="A287" t="n">
        <v>4</v>
      </c>
      <c r="B287" t="s">
        <v>2021</v>
      </c>
      <c r="C287" t="str">
        <f t="shared" si="5"/>
        <v>Casting of iron</v>
      </c>
      <c r="D287" t="s">
        <v>2022</v>
      </c>
      <c r="E287" t="s">
        <v>860</v>
      </c>
      <c r="F287" t="s">
        <v>2023</v>
      </c>
    </row>
    <row r="288">
      <c r="A288" t="n">
        <v>4</v>
      </c>
      <c r="B288" t="s">
        <v>2024</v>
      </c>
      <c r="C288" t="str">
        <f t="shared" si="5"/>
        <v>Casting of steel</v>
      </c>
      <c r="D288" t="s">
        <v>2025</v>
      </c>
      <c r="E288" t="s">
        <v>860</v>
      </c>
      <c r="F288" t="s">
        <v>2026</v>
      </c>
    </row>
    <row r="289">
      <c r="A289" t="n">
        <v>4</v>
      </c>
      <c r="B289" t="s">
        <v>2027</v>
      </c>
      <c r="C289" t="str">
        <f t="shared" si="5"/>
        <v>Casting of light metals</v>
      </c>
      <c r="D289" t="s">
        <v>2028</v>
      </c>
      <c r="E289" t="s">
        <v>860</v>
      </c>
      <c r="F289" t="s">
        <v>2029</v>
      </c>
    </row>
    <row r="290">
      <c r="A290" t="n">
        <v>4</v>
      </c>
      <c r="B290" t="s">
        <v>2030</v>
      </c>
      <c r="C290" t="str">
        <f t="shared" si="5"/>
        <v>Casting of other non-ferrous metals</v>
      </c>
      <c r="D290" t="s">
        <v>2031</v>
      </c>
      <c r="E290" t="s">
        <v>860</v>
      </c>
      <c r="F290" t="s">
        <v>2032</v>
      </c>
    </row>
    <row r="291">
      <c r="A291" t="n">
        <v>2</v>
      </c>
      <c r="B291" t="s">
        <v>16</v>
      </c>
      <c r="C291" t="str">
        <f t="shared" si="5"/>
        <v>Manufacture of fabricated metal products, except machinery and equipment</v>
      </c>
      <c r="D291" t="s">
        <v>467</v>
      </c>
      <c r="E291" t="s">
        <v>347</v>
      </c>
      <c r="F291" t="s">
        <v>468</v>
      </c>
    </row>
    <row r="292">
      <c r="A292" t="n">
        <v>3</v>
      </c>
      <c r="B292" t="s">
        <v>863</v>
      </c>
      <c r="C292" t="str">
        <f t="shared" si="5"/>
        <v>Manufacture of structural metal products</v>
      </c>
      <c r="D292" t="s">
        <v>864</v>
      </c>
      <c r="E292" t="s">
        <v>16</v>
      </c>
      <c r="F292" t="s">
        <v>865</v>
      </c>
    </row>
    <row r="293">
      <c r="A293" t="n">
        <v>4</v>
      </c>
      <c r="B293" t="s">
        <v>2033</v>
      </c>
      <c r="C293" t="str">
        <f t="shared" si="5"/>
        <v>Manufacture of metal structures and parts of structures</v>
      </c>
      <c r="D293" t="s">
        <v>2034</v>
      </c>
      <c r="E293" t="s">
        <v>863</v>
      </c>
      <c r="F293" t="s">
        <v>2035</v>
      </c>
    </row>
    <row r="294">
      <c r="A294" t="n">
        <v>4</v>
      </c>
      <c r="B294" t="s">
        <v>2036</v>
      </c>
      <c r="C294" t="str">
        <f t="shared" si="5"/>
        <v>Manufacture of doors and windows of metal</v>
      </c>
      <c r="D294" t="s">
        <v>2037</v>
      </c>
      <c r="E294" t="s">
        <v>863</v>
      </c>
      <c r="F294" t="s">
        <v>2038</v>
      </c>
    </row>
    <row r="295">
      <c r="A295" t="n">
        <v>3</v>
      </c>
      <c r="B295" t="s">
        <v>866</v>
      </c>
      <c r="C295" t="str">
        <f t="shared" si="5"/>
        <v>Manufacture of tanks, reservoirs and containers of metal</v>
      </c>
      <c r="D295" t="s">
        <v>867</v>
      </c>
      <c r="E295" t="s">
        <v>16</v>
      </c>
      <c r="F295" t="s">
        <v>868</v>
      </c>
    </row>
    <row r="296">
      <c r="A296" t="n">
        <v>4</v>
      </c>
      <c r="B296" t="s">
        <v>2039</v>
      </c>
      <c r="C296" t="str">
        <f t="shared" si="5"/>
        <v>Manufacture of central heating radiators and boilers</v>
      </c>
      <c r="D296" t="s">
        <v>2040</v>
      </c>
      <c r="E296" t="s">
        <v>866</v>
      </c>
      <c r="F296" t="s">
        <v>2041</v>
      </c>
    </row>
    <row r="297">
      <c r="A297" t="n">
        <v>4</v>
      </c>
      <c r="B297" t="s">
        <v>2042</v>
      </c>
      <c r="C297" t="str">
        <f t="shared" si="5"/>
        <v>Manufacture of other tanks, reservoirs and containers of metal</v>
      </c>
      <c r="D297" t="s">
        <v>2043</v>
      </c>
      <c r="E297" t="s">
        <v>866</v>
      </c>
      <c r="F297" t="s">
        <v>2044</v>
      </c>
    </row>
    <row r="298">
      <c r="A298" t="n">
        <v>3</v>
      </c>
      <c r="B298" t="s">
        <v>869</v>
      </c>
      <c r="C298" t="str">
        <f t="shared" si="5"/>
        <v>Manufacture of steam generators, except central heating hot water boilers</v>
      </c>
      <c r="D298" t="s">
        <v>870</v>
      </c>
      <c r="E298" t="s">
        <v>16</v>
      </c>
      <c r="F298" t="s">
        <v>871</v>
      </c>
    </row>
    <row r="299">
      <c r="A299" t="n">
        <v>4</v>
      </c>
      <c r="B299" t="s">
        <v>2045</v>
      </c>
      <c r="C299" t="str">
        <f t="shared" si="5"/>
        <v>Manufacture of steam generators, except central heating hot water boilers</v>
      </c>
      <c r="D299" t="s">
        <v>2046</v>
      </c>
      <c r="E299" t="s">
        <v>869</v>
      </c>
      <c r="F299" t="s">
        <v>2047</v>
      </c>
    </row>
    <row r="300">
      <c r="A300" t="n">
        <v>3</v>
      </c>
      <c r="B300" t="s">
        <v>872</v>
      </c>
      <c r="C300" t="str">
        <f t="shared" si="5"/>
        <v>Manufacture of weapons and ammunition</v>
      </c>
      <c r="D300" t="s">
        <v>873</v>
      </c>
      <c r="E300" t="s">
        <v>16</v>
      </c>
      <c r="F300" t="s">
        <v>874</v>
      </c>
    </row>
    <row r="301">
      <c r="A301" t="n">
        <v>4</v>
      </c>
      <c r="B301" t="s">
        <v>2048</v>
      </c>
      <c r="C301" t="str">
        <f t="shared" si="5"/>
        <v>Manufacture of weapons and ammunition</v>
      </c>
      <c r="D301" t="s">
        <v>2049</v>
      </c>
      <c r="E301" t="s">
        <v>872</v>
      </c>
      <c r="F301" t="s">
        <v>2050</v>
      </c>
    </row>
    <row r="302">
      <c r="A302" t="n">
        <v>3</v>
      </c>
      <c r="B302" t="s">
        <v>875</v>
      </c>
      <c r="C302" t="str">
        <f t="shared" si="5"/>
        <v>Forging, pressing, stamping and roll-forming of metal; powder metallurgy</v>
      </c>
      <c r="D302" t="s">
        <v>876</v>
      </c>
      <c r="E302" t="s">
        <v>16</v>
      </c>
      <c r="F302" t="s">
        <v>877</v>
      </c>
    </row>
    <row r="303">
      <c r="A303" t="n">
        <v>4</v>
      </c>
      <c r="B303" t="s">
        <v>2051</v>
      </c>
      <c r="C303" t="str">
        <f t="shared" si="5"/>
        <v>Forging, pressing, stamping and roll-forming of metal; powder metallurgy</v>
      </c>
      <c r="D303" t="s">
        <v>2052</v>
      </c>
      <c r="E303" t="s">
        <v>875</v>
      </c>
      <c r="F303" t="s">
        <v>2053</v>
      </c>
    </row>
    <row r="304">
      <c r="A304" t="n">
        <v>3</v>
      </c>
      <c r="B304" t="s">
        <v>878</v>
      </c>
      <c r="C304" t="str">
        <f t="shared" si="5"/>
        <v>Treatment and coating of metals; machining</v>
      </c>
      <c r="D304" t="s">
        <v>879</v>
      </c>
      <c r="E304" t="s">
        <v>16</v>
      </c>
      <c r="F304" t="s">
        <v>880</v>
      </c>
    </row>
    <row r="305">
      <c r="A305" t="n">
        <v>4</v>
      </c>
      <c r="B305" t="s">
        <v>2054</v>
      </c>
      <c r="C305" t="str">
        <f t="shared" si="5"/>
        <v>Treatment and coating of metals</v>
      </c>
      <c r="D305" t="s">
        <v>2055</v>
      </c>
      <c r="E305" t="s">
        <v>878</v>
      </c>
      <c r="F305" t="s">
        <v>2056</v>
      </c>
    </row>
    <row r="306">
      <c r="A306" t="n">
        <v>4</v>
      </c>
      <c r="B306" t="s">
        <v>2057</v>
      </c>
      <c r="C306" t="str">
        <f t="shared" si="5"/>
        <v>Machining</v>
      </c>
      <c r="D306" t="s">
        <v>2058</v>
      </c>
      <c r="E306" t="s">
        <v>878</v>
      </c>
      <c r="F306" t="s">
        <v>2059</v>
      </c>
    </row>
    <row r="307">
      <c r="A307" t="n">
        <v>3</v>
      </c>
      <c r="B307" t="s">
        <v>881</v>
      </c>
      <c r="C307" t="str">
        <f t="shared" si="5"/>
        <v>Manufacture of cutlery, tools and general hardware</v>
      </c>
      <c r="D307" t="s">
        <v>882</v>
      </c>
      <c r="E307" t="s">
        <v>16</v>
      </c>
      <c r="F307" t="s">
        <v>883</v>
      </c>
    </row>
    <row r="308">
      <c r="A308" t="n">
        <v>4</v>
      </c>
      <c r="B308" t="s">
        <v>2060</v>
      </c>
      <c r="C308" t="str">
        <f t="shared" si="5"/>
        <v>Manufacture of cutlery</v>
      </c>
      <c r="D308" t="s">
        <v>2061</v>
      </c>
      <c r="E308" t="s">
        <v>881</v>
      </c>
      <c r="F308" t="s">
        <v>2062</v>
      </c>
    </row>
    <row r="309">
      <c r="A309" t="n">
        <v>4</v>
      </c>
      <c r="B309" t="s">
        <v>2063</v>
      </c>
      <c r="C309" t="str">
        <f t="shared" si="5"/>
        <v>Manufacture of locks and hinges</v>
      </c>
      <c r="D309" t="s">
        <v>2064</v>
      </c>
      <c r="E309" t="s">
        <v>881</v>
      </c>
      <c r="F309" t="s">
        <v>2065</v>
      </c>
    </row>
    <row r="310">
      <c r="A310" t="n">
        <v>4</v>
      </c>
      <c r="B310" t="s">
        <v>2066</v>
      </c>
      <c r="C310" t="str">
        <f t="shared" si="5"/>
        <v>Manufacture of tools</v>
      </c>
      <c r="D310" t="s">
        <v>2067</v>
      </c>
      <c r="E310" t="s">
        <v>881</v>
      </c>
      <c r="F310" t="s">
        <v>2068</v>
      </c>
    </row>
    <row r="311">
      <c r="A311" t="n">
        <v>3</v>
      </c>
      <c r="B311" t="s">
        <v>884</v>
      </c>
      <c r="C311" t="str">
        <f t="shared" si="5"/>
        <v>Manufacture of other fabricated metal products</v>
      </c>
      <c r="D311" t="s">
        <v>885</v>
      </c>
      <c r="E311" t="s">
        <v>16</v>
      </c>
      <c r="F311" t="s">
        <v>886</v>
      </c>
    </row>
    <row r="312">
      <c r="A312" t="n">
        <v>4</v>
      </c>
      <c r="B312" t="s">
        <v>2069</v>
      </c>
      <c r="C312" t="str">
        <f t="shared" si="5"/>
        <v>Manufacture of steel drums and similar containers</v>
      </c>
      <c r="D312" t="s">
        <v>2070</v>
      </c>
      <c r="E312" t="s">
        <v>884</v>
      </c>
      <c r="F312" t="s">
        <v>2071</v>
      </c>
    </row>
    <row r="313">
      <c r="A313" t="n">
        <v>4</v>
      </c>
      <c r="B313" t="s">
        <v>2072</v>
      </c>
      <c r="C313" t="str">
        <f t="shared" si="5"/>
        <v>Manufacture of light metal packaging</v>
      </c>
      <c r="D313" t="s">
        <v>2073</v>
      </c>
      <c r="E313" t="s">
        <v>884</v>
      </c>
      <c r="F313" t="s">
        <v>2074</v>
      </c>
    </row>
    <row r="314">
      <c r="A314" t="n">
        <v>4</v>
      </c>
      <c r="B314" t="s">
        <v>2075</v>
      </c>
      <c r="C314" t="str">
        <f t="shared" si="5"/>
        <v>Manufacture of wire products, chain and springs</v>
      </c>
      <c r="D314" t="s">
        <v>2076</v>
      </c>
      <c r="E314" t="s">
        <v>884</v>
      </c>
      <c r="F314" t="s">
        <v>2077</v>
      </c>
    </row>
    <row r="315">
      <c r="A315" t="n">
        <v>4</v>
      </c>
      <c r="B315" t="s">
        <v>2078</v>
      </c>
      <c r="C315" t="str">
        <f t="shared" si="5"/>
        <v>Manufacture of fasteners and screw machine products</v>
      </c>
      <c r="D315" t="s">
        <v>2079</v>
      </c>
      <c r="E315" t="s">
        <v>884</v>
      </c>
      <c r="F315" t="s">
        <v>2080</v>
      </c>
    </row>
    <row r="316">
      <c r="A316" t="n">
        <v>4</v>
      </c>
      <c r="B316" t="s">
        <v>2081</v>
      </c>
      <c r="C316" t="str">
        <f t="shared" si="5"/>
        <v>Manufacture of other fabricated metal products n.e.c.</v>
      </c>
      <c r="D316" t="s">
        <v>2082</v>
      </c>
      <c r="E316" t="s">
        <v>884</v>
      </c>
      <c r="F316" t="s">
        <v>2083</v>
      </c>
    </row>
    <row r="317">
      <c r="A317" t="n">
        <v>2</v>
      </c>
      <c r="B317" t="s">
        <v>18</v>
      </c>
      <c r="C317" t="str">
        <f t="shared" si="5"/>
        <v>Manufacture of computer, electronic and optical products</v>
      </c>
      <c r="D317" t="s">
        <v>469</v>
      </c>
      <c r="E317" t="s">
        <v>347</v>
      </c>
      <c r="F317" t="s">
        <v>470</v>
      </c>
    </row>
    <row r="318">
      <c r="A318" t="n">
        <v>3</v>
      </c>
      <c r="B318" t="s">
        <v>887</v>
      </c>
      <c r="C318" t="str">
        <f t="shared" si="5"/>
        <v>Manufacture of electronic components and boards</v>
      </c>
      <c r="D318" t="s">
        <v>888</v>
      </c>
      <c r="E318" t="s">
        <v>18</v>
      </c>
      <c r="F318" t="s">
        <v>889</v>
      </c>
    </row>
    <row r="319">
      <c r="A319" t="n">
        <v>4</v>
      </c>
      <c r="B319" t="s">
        <v>2084</v>
      </c>
      <c r="C319" t="str">
        <f t="shared" si="5"/>
        <v>Manufacture of electronic components</v>
      </c>
      <c r="D319" t="s">
        <v>2085</v>
      </c>
      <c r="E319" t="s">
        <v>887</v>
      </c>
      <c r="F319" t="s">
        <v>2086</v>
      </c>
    </row>
    <row r="320">
      <c r="A320" t="n">
        <v>4</v>
      </c>
      <c r="B320" t="s">
        <v>2087</v>
      </c>
      <c r="C320" t="str">
        <f t="shared" si="5"/>
        <v>Manufacture of loaded electronic boards</v>
      </c>
      <c r="D320" t="s">
        <v>2088</v>
      </c>
      <c r="E320" t="s">
        <v>887</v>
      </c>
      <c r="F320" t="s">
        <v>2089</v>
      </c>
    </row>
    <row r="321">
      <c r="A321" t="n">
        <v>3</v>
      </c>
      <c r="B321" t="s">
        <v>890</v>
      </c>
      <c r="C321" t="str">
        <f t="shared" si="5"/>
        <v>Manufacture of computers and peripheral equipment</v>
      </c>
      <c r="D321" t="s">
        <v>891</v>
      </c>
      <c r="E321" t="s">
        <v>18</v>
      </c>
      <c r="F321" t="s">
        <v>892</v>
      </c>
    </row>
    <row r="322">
      <c r="A322" t="n">
        <v>4</v>
      </c>
      <c r="B322" t="s">
        <v>2090</v>
      </c>
      <c r="C322" t="str">
        <f t="shared" si="5"/>
        <v>Manufacture of computers and peripheral equipment</v>
      </c>
      <c r="D322" t="s">
        <v>2091</v>
      </c>
      <c r="E322" t="s">
        <v>890</v>
      </c>
      <c r="F322" t="s">
        <v>2092</v>
      </c>
    </row>
    <row r="323">
      <c r="A323" t="n">
        <v>3</v>
      </c>
      <c r="B323" t="s">
        <v>893</v>
      </c>
      <c r="C323" t="str">
        <f t="shared" si="5"/>
        <v>Manufacture of communication equipment</v>
      </c>
      <c r="D323" t="s">
        <v>894</v>
      </c>
      <c r="E323" t="s">
        <v>18</v>
      </c>
      <c r="F323" t="s">
        <v>895</v>
      </c>
    </row>
    <row r="324">
      <c r="A324" t="n">
        <v>4</v>
      </c>
      <c r="B324" t="s">
        <v>2093</v>
      </c>
      <c r="C324" t="str">
        <f t="shared" si="5"/>
        <v>Manufacture of communication equipment</v>
      </c>
      <c r="D324" t="s">
        <v>2094</v>
      </c>
      <c r="E324" t="s">
        <v>893</v>
      </c>
      <c r="F324" t="s">
        <v>2095</v>
      </c>
    </row>
    <row r="325">
      <c r="A325" t="n">
        <v>3</v>
      </c>
      <c r="B325" t="s">
        <v>896</v>
      </c>
      <c r="C325" t="str">
        <f t="shared" si="5"/>
        <v>Manufacture of consumer electronics</v>
      </c>
      <c r="D325" t="s">
        <v>897</v>
      </c>
      <c r="E325" t="s">
        <v>18</v>
      </c>
      <c r="F325" t="s">
        <v>898</v>
      </c>
    </row>
    <row r="326">
      <c r="A326" t="n">
        <v>4</v>
      </c>
      <c r="B326" t="s">
        <v>2096</v>
      </c>
      <c r="C326" t="str">
        <f t="shared" si="5"/>
        <v>Manufacture of consumer electronics</v>
      </c>
      <c r="D326" t="s">
        <v>2097</v>
      </c>
      <c r="E326" t="s">
        <v>896</v>
      </c>
      <c r="F326" t="s">
        <v>2098</v>
      </c>
    </row>
    <row r="327">
      <c r="A327" t="n">
        <v>3</v>
      </c>
      <c r="B327" t="s">
        <v>899</v>
      </c>
      <c r="C327" t="str">
        <f t="shared" si="5"/>
        <v>Manufacture of instruments and appliances for measuring, testing and navigation; watches and clocks</v>
      </c>
      <c r="D327" t="s">
        <v>900</v>
      </c>
      <c r="E327" t="s">
        <v>18</v>
      </c>
      <c r="F327" t="s">
        <v>901</v>
      </c>
    </row>
    <row r="328">
      <c r="A328" t="n">
        <v>4</v>
      </c>
      <c r="B328" t="s">
        <v>2099</v>
      </c>
      <c r="C328" t="str">
        <f t="shared" si="5"/>
        <v>Manufacture of instruments and appliances for measuring, testing and navigation</v>
      </c>
      <c r="D328" t="s">
        <v>2100</v>
      </c>
      <c r="E328" t="s">
        <v>899</v>
      </c>
      <c r="F328" t="s">
        <v>2101</v>
      </c>
    </row>
    <row r="329">
      <c r="A329" t="n">
        <v>4</v>
      </c>
      <c r="B329" t="s">
        <v>2102</v>
      </c>
      <c r="C329" t="str">
        <f t="shared" si="5"/>
        <v>Manufacture of watches and clocks</v>
      </c>
      <c r="D329" t="s">
        <v>2103</v>
      </c>
      <c r="E329" t="s">
        <v>899</v>
      </c>
      <c r="F329" t="s">
        <v>2104</v>
      </c>
    </row>
    <row r="330">
      <c r="A330" t="n">
        <v>3</v>
      </c>
      <c r="B330" t="s">
        <v>902</v>
      </c>
      <c r="C330" t="str">
        <f t="shared" si="5"/>
        <v>Manufacture of irradiation, electromedical and electrotherapeutic equipment</v>
      </c>
      <c r="D330" t="s">
        <v>903</v>
      </c>
      <c r="E330" t="s">
        <v>18</v>
      </c>
      <c r="F330" t="s">
        <v>904</v>
      </c>
    </row>
    <row r="331">
      <c r="A331" t="n">
        <v>4</v>
      </c>
      <c r="B331" t="s">
        <v>2105</v>
      </c>
      <c r="C331" t="str">
        <f t="shared" si="5"/>
        <v>Manufacture of irradiation, electromedical and electrotherapeutic equipment</v>
      </c>
      <c r="D331" t="s">
        <v>2106</v>
      </c>
      <c r="E331" t="s">
        <v>902</v>
      </c>
      <c r="F331" t="s">
        <v>2107</v>
      </c>
    </row>
    <row r="332">
      <c r="A332" t="n">
        <v>3</v>
      </c>
      <c r="B332" t="s">
        <v>905</v>
      </c>
      <c r="C332" t="str">
        <f t="shared" si="5"/>
        <v>Manufacture of optical instruments and photographic equipment</v>
      </c>
      <c r="D332" t="s">
        <v>906</v>
      </c>
      <c r="E332" t="s">
        <v>18</v>
      </c>
      <c r="F332" t="s">
        <v>907</v>
      </c>
    </row>
    <row r="333">
      <c r="A333" t="n">
        <v>4</v>
      </c>
      <c r="B333" t="s">
        <v>2108</v>
      </c>
      <c r="C333" t="str">
        <f t="shared" si="5"/>
        <v>Manufacture of optical instruments and photographic equipment</v>
      </c>
      <c r="D333" t="s">
        <v>2109</v>
      </c>
      <c r="E333" t="s">
        <v>905</v>
      </c>
      <c r="F333" t="s">
        <v>2110</v>
      </c>
    </row>
    <row r="334">
      <c r="A334" t="n">
        <v>3</v>
      </c>
      <c r="B334" t="s">
        <v>908</v>
      </c>
      <c r="C334" t="str">
        <f t="shared" si="5"/>
        <v>Manufacture of magnetic and optical media</v>
      </c>
      <c r="D334" t="s">
        <v>909</v>
      </c>
      <c r="E334" t="s">
        <v>18</v>
      </c>
      <c r="F334" t="s">
        <v>910</v>
      </c>
    </row>
    <row r="335">
      <c r="A335" t="n">
        <v>4</v>
      </c>
      <c r="B335" t="s">
        <v>2111</v>
      </c>
      <c r="C335" t="str">
        <f t="shared" si="5"/>
        <v>Manufacture of magnetic and optical media</v>
      </c>
      <c r="D335" t="s">
        <v>2112</v>
      </c>
      <c r="E335" t="s">
        <v>908</v>
      </c>
      <c r="F335" t="s">
        <v>2113</v>
      </c>
    </row>
    <row r="336">
      <c r="A336" t="n">
        <v>2</v>
      </c>
      <c r="B336" t="s">
        <v>20</v>
      </c>
      <c r="C336" t="str">
        <f t="shared" si="5"/>
        <v>Manufacture of electrical equipment</v>
      </c>
      <c r="D336" t="s">
        <v>471</v>
      </c>
      <c r="E336" t="s">
        <v>347</v>
      </c>
      <c r="F336" t="s">
        <v>472</v>
      </c>
    </row>
    <row r="337">
      <c r="A337" t="n">
        <v>3</v>
      </c>
      <c r="B337" t="s">
        <v>911</v>
      </c>
      <c r="C337" t="str">
        <f t="shared" si="5"/>
        <v>Manufacture of electric motors, generators, transformers and electricity distribution and control apparatus</v>
      </c>
      <c r="D337" t="s">
        <v>912</v>
      </c>
      <c r="E337" t="s">
        <v>20</v>
      </c>
      <c r="F337" t="s">
        <v>913</v>
      </c>
    </row>
    <row r="338">
      <c r="A338" t="n">
        <v>4</v>
      </c>
      <c r="B338" t="s">
        <v>2114</v>
      </c>
      <c r="C338" t="str">
        <f t="shared" si="5"/>
        <v>Manufacture of electric motors, generators and transformers</v>
      </c>
      <c r="D338" t="s">
        <v>2115</v>
      </c>
      <c r="E338" t="s">
        <v>911</v>
      </c>
      <c r="F338" t="s">
        <v>2116</v>
      </c>
    </row>
    <row r="339">
      <c r="A339" t="n">
        <v>4</v>
      </c>
      <c r="B339" t="s">
        <v>2117</v>
      </c>
      <c r="C339" t="str">
        <f t="shared" si="5"/>
        <v>Manufacture of electricity distribution and control apparatus</v>
      </c>
      <c r="D339" t="s">
        <v>2118</v>
      </c>
      <c r="E339" t="s">
        <v>911</v>
      </c>
      <c r="F339" t="s">
        <v>2119</v>
      </c>
    </row>
    <row r="340">
      <c r="A340" t="n">
        <v>3</v>
      </c>
      <c r="B340" t="s">
        <v>914</v>
      </c>
      <c r="C340" t="str">
        <f t="shared" si="5"/>
        <v>Manufacture of batteries and accumulators</v>
      </c>
      <c r="D340" t="s">
        <v>915</v>
      </c>
      <c r="E340" t="s">
        <v>20</v>
      </c>
      <c r="F340" t="s">
        <v>916</v>
      </c>
    </row>
    <row r="341">
      <c r="A341" t="n">
        <v>4</v>
      </c>
      <c r="B341" t="s">
        <v>2120</v>
      </c>
      <c r="C341" t="str">
        <f t="shared" si="5"/>
        <v>Manufacture of batteries and accumulators</v>
      </c>
      <c r="D341" t="s">
        <v>2121</v>
      </c>
      <c r="E341" t="s">
        <v>914</v>
      </c>
      <c r="F341" t="s">
        <v>2122</v>
      </c>
    </row>
    <row r="342">
      <c r="A342" t="n">
        <v>3</v>
      </c>
      <c r="B342" t="s">
        <v>917</v>
      </c>
      <c r="C342" t="str">
        <f t="shared" si="5"/>
        <v>Manufacture of wiring and wiring devices</v>
      </c>
      <c r="D342" t="s">
        <v>918</v>
      </c>
      <c r="E342" t="s">
        <v>20</v>
      </c>
      <c r="F342" t="s">
        <v>919</v>
      </c>
    </row>
    <row r="343">
      <c r="A343" t="n">
        <v>4</v>
      </c>
      <c r="B343" t="s">
        <v>2123</v>
      </c>
      <c r="C343" t="str">
        <f t="shared" si="5"/>
        <v>Manufacture of fibre optic cables</v>
      </c>
      <c r="D343" t="s">
        <v>2124</v>
      </c>
      <c r="E343" t="s">
        <v>917</v>
      </c>
      <c r="F343" t="s">
        <v>2125</v>
      </c>
    </row>
    <row r="344">
      <c r="A344" t="n">
        <v>4</v>
      </c>
      <c r="B344" t="s">
        <v>2126</v>
      </c>
      <c r="C344" t="str">
        <f t="shared" si="5"/>
        <v>Manufacture of other electronic and electric wires and cables</v>
      </c>
      <c r="D344" t="s">
        <v>2127</v>
      </c>
      <c r="E344" t="s">
        <v>917</v>
      </c>
      <c r="F344" t="s">
        <v>2128</v>
      </c>
    </row>
    <row r="345">
      <c r="A345" t="n">
        <v>4</v>
      </c>
      <c r="B345" t="s">
        <v>2129</v>
      </c>
      <c r="C345" t="str">
        <f t="shared" si="5"/>
        <v>Manufacture of wiring devices</v>
      </c>
      <c r="D345" t="s">
        <v>2130</v>
      </c>
      <c r="E345" t="s">
        <v>917</v>
      </c>
      <c r="F345" t="s">
        <v>2131</v>
      </c>
    </row>
    <row r="346">
      <c r="A346" t="n">
        <v>3</v>
      </c>
      <c r="B346" t="s">
        <v>920</v>
      </c>
      <c r="C346" t="str">
        <f t="shared" ref="C346:C409" si="6">IF(A346=1,RIGHT(D346,LEN(D346)-2),IF(A346=2,RIGHT(D346,LEN(D346)-3),IF(A346=3,RIGHT(D346,LEN(D346)-5),RIGHT(D346,LEN(D346)-6))))</f>
        <v>Manufacture of electric lighting equipment</v>
      </c>
      <c r="D346" t="s">
        <v>921</v>
      </c>
      <c r="E346" t="s">
        <v>20</v>
      </c>
      <c r="F346" t="s">
        <v>922</v>
      </c>
    </row>
    <row r="347">
      <c r="A347" t="n">
        <v>4</v>
      </c>
      <c r="B347" t="s">
        <v>2132</v>
      </c>
      <c r="C347" t="str">
        <f t="shared" si="6"/>
        <v>Manufacture of electric lighting equipment</v>
      </c>
      <c r="D347" t="s">
        <v>2133</v>
      </c>
      <c r="E347" t="s">
        <v>920</v>
      </c>
      <c r="F347" t="s">
        <v>2134</v>
      </c>
    </row>
    <row r="348">
      <c r="A348" t="n">
        <v>3</v>
      </c>
      <c r="B348" t="s">
        <v>923</v>
      </c>
      <c r="C348" t="str">
        <f t="shared" si="6"/>
        <v>Manufacture of domestic appliances</v>
      </c>
      <c r="D348" t="s">
        <v>924</v>
      </c>
      <c r="E348" t="s">
        <v>20</v>
      </c>
      <c r="F348" t="s">
        <v>925</v>
      </c>
    </row>
    <row r="349">
      <c r="A349" t="n">
        <v>4</v>
      </c>
      <c r="B349" t="s">
        <v>2135</v>
      </c>
      <c r="C349" t="str">
        <f t="shared" si="6"/>
        <v>Manufacture of electric domestic appliances</v>
      </c>
      <c r="D349" t="s">
        <v>2136</v>
      </c>
      <c r="E349" t="s">
        <v>923</v>
      </c>
      <c r="F349" t="s">
        <v>2137</v>
      </c>
    </row>
    <row r="350">
      <c r="A350" t="n">
        <v>4</v>
      </c>
      <c r="B350" t="s">
        <v>2138</v>
      </c>
      <c r="C350" t="str">
        <f t="shared" si="6"/>
        <v>Manufacture of non-electric domestic appliances</v>
      </c>
      <c r="D350" t="s">
        <v>2139</v>
      </c>
      <c r="E350" t="s">
        <v>923</v>
      </c>
      <c r="F350" t="s">
        <v>2140</v>
      </c>
    </row>
    <row r="351">
      <c r="A351" t="n">
        <v>3</v>
      </c>
      <c r="B351" t="s">
        <v>926</v>
      </c>
      <c r="C351" t="str">
        <f t="shared" si="6"/>
        <v>Manufacture of other electrical equipment</v>
      </c>
      <c r="D351" t="s">
        <v>927</v>
      </c>
      <c r="E351" t="s">
        <v>20</v>
      </c>
      <c r="F351" t="s">
        <v>928</v>
      </c>
    </row>
    <row r="352">
      <c r="A352" t="n">
        <v>4</v>
      </c>
      <c r="B352" t="s">
        <v>2141</v>
      </c>
      <c r="C352" t="str">
        <f t="shared" si="6"/>
        <v>Manufacture of other electrical equipment</v>
      </c>
      <c r="D352" t="s">
        <v>2142</v>
      </c>
      <c r="E352" t="s">
        <v>926</v>
      </c>
      <c r="F352" t="s">
        <v>2143</v>
      </c>
    </row>
    <row r="353">
      <c r="A353" t="n">
        <v>2</v>
      </c>
      <c r="B353" t="s">
        <v>22</v>
      </c>
      <c r="C353" t="str">
        <f t="shared" si="6"/>
        <v>Manufacture of machinery and equipment n.e.c.</v>
      </c>
      <c r="D353" t="s">
        <v>473</v>
      </c>
      <c r="E353" t="s">
        <v>347</v>
      </c>
      <c r="F353" t="s">
        <v>474</v>
      </c>
    </row>
    <row r="354">
      <c r="A354" t="n">
        <v>3</v>
      </c>
      <c r="B354" t="s">
        <v>929</v>
      </c>
      <c r="C354" t="str">
        <f t="shared" si="6"/>
        <v>Manufacture of general-purpose machinery</v>
      </c>
      <c r="D354" t="s">
        <v>930</v>
      </c>
      <c r="E354" t="s">
        <v>22</v>
      </c>
      <c r="F354" t="s">
        <v>931</v>
      </c>
    </row>
    <row r="355">
      <c r="A355" t="n">
        <v>4</v>
      </c>
      <c r="B355" t="s">
        <v>2144</v>
      </c>
      <c r="C355" t="str">
        <f t="shared" si="6"/>
        <v>Manufacture of engines and turbines, except aircraft, vehicle and cycle engines</v>
      </c>
      <c r="D355" t="s">
        <v>2145</v>
      </c>
      <c r="E355" t="s">
        <v>929</v>
      </c>
      <c r="F355" t="s">
        <v>2146</v>
      </c>
    </row>
    <row r="356">
      <c r="A356" t="n">
        <v>4</v>
      </c>
      <c r="B356" t="s">
        <v>2147</v>
      </c>
      <c r="C356" t="str">
        <f t="shared" si="6"/>
        <v>Manufacture of fluid power equipment</v>
      </c>
      <c r="D356" t="s">
        <v>2148</v>
      </c>
      <c r="E356" t="s">
        <v>929</v>
      </c>
      <c r="F356" t="s">
        <v>2149</v>
      </c>
    </row>
    <row r="357">
      <c r="A357" t="n">
        <v>4</v>
      </c>
      <c r="B357" t="s">
        <v>2150</v>
      </c>
      <c r="C357" t="str">
        <f t="shared" si="6"/>
        <v>Manufacture of other pumps and compressors</v>
      </c>
      <c r="D357" t="s">
        <v>2151</v>
      </c>
      <c r="E357" t="s">
        <v>929</v>
      </c>
      <c r="F357" t="s">
        <v>2152</v>
      </c>
    </row>
    <row r="358">
      <c r="A358" t="n">
        <v>4</v>
      </c>
      <c r="B358" t="s">
        <v>2153</v>
      </c>
      <c r="C358" t="str">
        <f t="shared" si="6"/>
        <v>Manufacture of other taps and valves</v>
      </c>
      <c r="D358" t="s">
        <v>2154</v>
      </c>
      <c r="E358" t="s">
        <v>929</v>
      </c>
      <c r="F358" t="s">
        <v>2155</v>
      </c>
    </row>
    <row r="359">
      <c r="A359" t="n">
        <v>4</v>
      </c>
      <c r="B359" t="s">
        <v>2156</v>
      </c>
      <c r="C359" t="str">
        <f t="shared" si="6"/>
        <v>Manufacture of bearings, gears, gearing and driving elements</v>
      </c>
      <c r="D359" t="s">
        <v>2157</v>
      </c>
      <c r="E359" t="s">
        <v>929</v>
      </c>
      <c r="F359" t="s">
        <v>2158</v>
      </c>
    </row>
    <row r="360">
      <c r="A360" t="n">
        <v>3</v>
      </c>
      <c r="B360" t="s">
        <v>932</v>
      </c>
      <c r="C360" t="str">
        <f t="shared" si="6"/>
        <v>Manufacture of other general-purpose machinery</v>
      </c>
      <c r="D360" t="s">
        <v>933</v>
      </c>
      <c r="E360" t="s">
        <v>22</v>
      </c>
      <c r="F360" t="s">
        <v>934</v>
      </c>
    </row>
    <row r="361">
      <c r="A361" t="n">
        <v>4</v>
      </c>
      <c r="B361" t="s">
        <v>2159</v>
      </c>
      <c r="C361" t="str">
        <f t="shared" si="6"/>
        <v>Manufacture of ovens, furnaces and furnace burners</v>
      </c>
      <c r="D361" t="s">
        <v>2160</v>
      </c>
      <c r="E361" t="s">
        <v>932</v>
      </c>
      <c r="F361" t="s">
        <v>2161</v>
      </c>
    </row>
    <row r="362">
      <c r="A362" t="n">
        <v>4</v>
      </c>
      <c r="B362" t="s">
        <v>2162</v>
      </c>
      <c r="C362" t="str">
        <f t="shared" si="6"/>
        <v>Manufacture of lifting and handling equipment</v>
      </c>
      <c r="D362" t="s">
        <v>2163</v>
      </c>
      <c r="E362" t="s">
        <v>932</v>
      </c>
      <c r="F362" t="s">
        <v>2164</v>
      </c>
    </row>
    <row r="363">
      <c r="A363" t="n">
        <v>4</v>
      </c>
      <c r="B363" t="s">
        <v>2165</v>
      </c>
      <c r="C363" t="str">
        <f t="shared" si="6"/>
        <v>Manufacture of office machinery and equipment (except computers and peripheral equipment)</v>
      </c>
      <c r="D363" t="s">
        <v>2166</v>
      </c>
      <c r="E363" t="s">
        <v>932</v>
      </c>
      <c r="F363" t="s">
        <v>2167</v>
      </c>
    </row>
    <row r="364">
      <c r="A364" t="n">
        <v>4</v>
      </c>
      <c r="B364" t="s">
        <v>2168</v>
      </c>
      <c r="C364" t="str">
        <f t="shared" si="6"/>
        <v>Manufacture of power-driven hand tools</v>
      </c>
      <c r="D364" t="s">
        <v>2169</v>
      </c>
      <c r="E364" t="s">
        <v>932</v>
      </c>
      <c r="F364" t="s">
        <v>2170</v>
      </c>
    </row>
    <row r="365">
      <c r="A365" t="n">
        <v>4</v>
      </c>
      <c r="B365" t="s">
        <v>2171</v>
      </c>
      <c r="C365" t="str">
        <f t="shared" si="6"/>
        <v>Manufacture of non-domestic cooling and ventilation equipment</v>
      </c>
      <c r="D365" t="s">
        <v>2172</v>
      </c>
      <c r="E365" t="s">
        <v>932</v>
      </c>
      <c r="F365" t="s">
        <v>2173</v>
      </c>
    </row>
    <row r="366">
      <c r="A366" t="n">
        <v>4</v>
      </c>
      <c r="B366" t="s">
        <v>2174</v>
      </c>
      <c r="C366" t="str">
        <f t="shared" si="6"/>
        <v>Manufacture of other general-purpose machinery n.e.c.</v>
      </c>
      <c r="D366" t="s">
        <v>2175</v>
      </c>
      <c r="E366" t="s">
        <v>932</v>
      </c>
      <c r="F366" t="s">
        <v>2176</v>
      </c>
    </row>
    <row r="367">
      <c r="A367" t="n">
        <v>3</v>
      </c>
      <c r="B367" t="s">
        <v>935</v>
      </c>
      <c r="C367" t="str">
        <f t="shared" si="6"/>
        <v>Manufacture of agricultural and forestry machinery</v>
      </c>
      <c r="D367" t="s">
        <v>936</v>
      </c>
      <c r="E367" t="s">
        <v>22</v>
      </c>
      <c r="F367" t="s">
        <v>937</v>
      </c>
    </row>
    <row r="368">
      <c r="A368" t="n">
        <v>4</v>
      </c>
      <c r="B368" t="s">
        <v>2177</v>
      </c>
      <c r="C368" t="str">
        <f t="shared" si="6"/>
        <v>Manufacture of agricultural and forestry machinery</v>
      </c>
      <c r="D368" t="s">
        <v>2178</v>
      </c>
      <c r="E368" t="s">
        <v>935</v>
      </c>
      <c r="F368" t="s">
        <v>2179</v>
      </c>
    </row>
    <row r="369">
      <c r="A369" t="n">
        <v>3</v>
      </c>
      <c r="B369" t="s">
        <v>938</v>
      </c>
      <c r="C369" t="str">
        <f t="shared" si="6"/>
        <v>Manufacture of metal forming machinery and machine tools</v>
      </c>
      <c r="D369" t="s">
        <v>939</v>
      </c>
      <c r="E369" t="s">
        <v>22</v>
      </c>
      <c r="F369" t="s">
        <v>940</v>
      </c>
    </row>
    <row r="370">
      <c r="A370" t="n">
        <v>4</v>
      </c>
      <c r="B370" t="s">
        <v>2180</v>
      </c>
      <c r="C370" t="str">
        <f t="shared" si="6"/>
        <v>Manufacture of metal forming machinery</v>
      </c>
      <c r="D370" t="s">
        <v>2181</v>
      </c>
      <c r="E370" t="s">
        <v>938</v>
      </c>
      <c r="F370" t="s">
        <v>2182</v>
      </c>
    </row>
    <row r="371">
      <c r="A371" t="n">
        <v>4</v>
      </c>
      <c r="B371" t="s">
        <v>2183</v>
      </c>
      <c r="C371" t="str">
        <f t="shared" si="6"/>
        <v>Manufacture of other machine tools</v>
      </c>
      <c r="D371" t="s">
        <v>2184</v>
      </c>
      <c r="E371" t="s">
        <v>938</v>
      </c>
      <c r="F371" t="s">
        <v>2185</v>
      </c>
    </row>
    <row r="372">
      <c r="A372" t="n">
        <v>3</v>
      </c>
      <c r="B372" t="s">
        <v>941</v>
      </c>
      <c r="C372" t="str">
        <f t="shared" si="6"/>
        <v>Manufacture of other special-purpose machinery</v>
      </c>
      <c r="D372" t="s">
        <v>942</v>
      </c>
      <c r="E372" t="s">
        <v>22</v>
      </c>
      <c r="F372" t="s">
        <v>943</v>
      </c>
    </row>
    <row r="373">
      <c r="A373" t="n">
        <v>4</v>
      </c>
      <c r="B373" t="s">
        <v>2186</v>
      </c>
      <c r="C373" t="str">
        <f t="shared" si="6"/>
        <v>Manufacture of machinery for metallurgy</v>
      </c>
      <c r="D373" t="s">
        <v>2187</v>
      </c>
      <c r="E373" t="s">
        <v>941</v>
      </c>
      <c r="F373" t="s">
        <v>2188</v>
      </c>
    </row>
    <row r="374">
      <c r="A374" t="n">
        <v>4</v>
      </c>
      <c r="B374" t="s">
        <v>2189</v>
      </c>
      <c r="C374" t="str">
        <f t="shared" si="6"/>
        <v>Manufacture of machinery for mining, quarrying and construction</v>
      </c>
      <c r="D374" t="s">
        <v>2190</v>
      </c>
      <c r="E374" t="s">
        <v>941</v>
      </c>
      <c r="F374" t="s">
        <v>2191</v>
      </c>
    </row>
    <row r="375">
      <c r="A375" t="n">
        <v>4</v>
      </c>
      <c r="B375" t="s">
        <v>2192</v>
      </c>
      <c r="C375" t="str">
        <f t="shared" si="6"/>
        <v>Manufacture of machinery for food, beverage and tobacco processing</v>
      </c>
      <c r="D375" t="s">
        <v>2193</v>
      </c>
      <c r="E375" t="s">
        <v>941</v>
      </c>
      <c r="F375" t="s">
        <v>2194</v>
      </c>
    </row>
    <row r="376">
      <c r="A376" t="n">
        <v>4</v>
      </c>
      <c r="B376" t="s">
        <v>2195</v>
      </c>
      <c r="C376" t="str">
        <f t="shared" si="6"/>
        <v>Manufacture of machinery for textile, apparel and leather production</v>
      </c>
      <c r="D376" t="s">
        <v>2196</v>
      </c>
      <c r="E376" t="s">
        <v>941</v>
      </c>
      <c r="F376" t="s">
        <v>2197</v>
      </c>
    </row>
    <row r="377">
      <c r="A377" t="n">
        <v>4</v>
      </c>
      <c r="B377" t="s">
        <v>2198</v>
      </c>
      <c r="C377" t="str">
        <f t="shared" si="6"/>
        <v>Manufacture of machinery for paper and paperboard production</v>
      </c>
      <c r="D377" t="s">
        <v>2199</v>
      </c>
      <c r="E377" t="s">
        <v>941</v>
      </c>
      <c r="F377" t="s">
        <v>2200</v>
      </c>
    </row>
    <row r="378">
      <c r="A378" t="n">
        <v>4</v>
      </c>
      <c r="B378" t="s">
        <v>2201</v>
      </c>
      <c r="C378" t="str">
        <f t="shared" si="6"/>
        <v>Manufacture of plastics and rubber machinery</v>
      </c>
      <c r="D378" t="s">
        <v>2202</v>
      </c>
      <c r="E378" t="s">
        <v>941</v>
      </c>
      <c r="F378" t="s">
        <v>2203</v>
      </c>
    </row>
    <row r="379">
      <c r="A379" t="n">
        <v>4</v>
      </c>
      <c r="B379" t="s">
        <v>2204</v>
      </c>
      <c r="C379" t="str">
        <f t="shared" si="6"/>
        <v>Manufacture of other special-purpose machinery n.e.c.</v>
      </c>
      <c r="D379" t="s">
        <v>2205</v>
      </c>
      <c r="E379" t="s">
        <v>941</v>
      </c>
      <c r="F379" t="s">
        <v>2206</v>
      </c>
    </row>
    <row r="380">
      <c r="A380" t="n">
        <v>2</v>
      </c>
      <c r="B380" t="s">
        <v>24</v>
      </c>
      <c r="C380" t="str">
        <f t="shared" si="6"/>
        <v>Manufacture of motor vehicles, trailers and semi-trailers</v>
      </c>
      <c r="D380" t="s">
        <v>475</v>
      </c>
      <c r="E380" t="s">
        <v>347</v>
      </c>
      <c r="F380" t="s">
        <v>476</v>
      </c>
    </row>
    <row r="381">
      <c r="A381" t="n">
        <v>3</v>
      </c>
      <c r="B381" t="s">
        <v>944</v>
      </c>
      <c r="C381" t="str">
        <f t="shared" si="6"/>
        <v>Manufacture of motor vehicles</v>
      </c>
      <c r="D381" t="s">
        <v>945</v>
      </c>
      <c r="E381" t="s">
        <v>24</v>
      </c>
      <c r="F381" t="s">
        <v>946</v>
      </c>
    </row>
    <row r="382">
      <c r="A382" t="n">
        <v>4</v>
      </c>
      <c r="B382" t="s">
        <v>2207</v>
      </c>
      <c r="C382" t="str">
        <f t="shared" si="6"/>
        <v>Manufacture of motor vehicles</v>
      </c>
      <c r="D382" t="s">
        <v>2208</v>
      </c>
      <c r="E382" t="s">
        <v>944</v>
      </c>
      <c r="F382" t="s">
        <v>2209</v>
      </c>
    </row>
    <row r="383">
      <c r="A383" t="n">
        <v>3</v>
      </c>
      <c r="B383" t="s">
        <v>947</v>
      </c>
      <c r="C383" t="str">
        <f t="shared" si="6"/>
        <v>Manufacture of bodies (coachwork) for motor vehicles; manufacture of trailers and semi-trailers</v>
      </c>
      <c r="D383" t="s">
        <v>948</v>
      </c>
      <c r="E383" t="s">
        <v>24</v>
      </c>
      <c r="F383" t="s">
        <v>949</v>
      </c>
    </row>
    <row r="384">
      <c r="A384" t="n">
        <v>4</v>
      </c>
      <c r="B384" t="s">
        <v>2210</v>
      </c>
      <c r="C384" t="str">
        <f t="shared" si="6"/>
        <v>Manufacture of bodies (coachwork) for motor vehicles; manufacture of trailers and semi-trailers</v>
      </c>
      <c r="D384" t="s">
        <v>2211</v>
      </c>
      <c r="E384" t="s">
        <v>947</v>
      </c>
      <c r="F384" t="s">
        <v>2212</v>
      </c>
    </row>
    <row r="385">
      <c r="A385" t="n">
        <v>3</v>
      </c>
      <c r="B385" t="s">
        <v>950</v>
      </c>
      <c r="C385" t="str">
        <f t="shared" si="6"/>
        <v>Manufacture of parts and accessories for motor vehicles</v>
      </c>
      <c r="D385" t="s">
        <v>951</v>
      </c>
      <c r="E385" t="s">
        <v>24</v>
      </c>
      <c r="F385" t="s">
        <v>952</v>
      </c>
    </row>
    <row r="386">
      <c r="A386" t="n">
        <v>4</v>
      </c>
      <c r="B386" t="s">
        <v>2213</v>
      </c>
      <c r="C386" t="str">
        <f t="shared" si="6"/>
        <v>Manufacture of electrical and electronic equipment for motor vehicles</v>
      </c>
      <c r="D386" t="s">
        <v>2214</v>
      </c>
      <c r="E386" t="s">
        <v>950</v>
      </c>
      <c r="F386" t="s">
        <v>2215</v>
      </c>
    </row>
    <row r="387">
      <c r="A387" t="n">
        <v>4</v>
      </c>
      <c r="B387" t="s">
        <v>2216</v>
      </c>
      <c r="C387" t="str">
        <f t="shared" si="6"/>
        <v>Manufacture of other parts and accessories for motor vehicles</v>
      </c>
      <c r="D387" t="s">
        <v>2217</v>
      </c>
      <c r="E387" t="s">
        <v>950</v>
      </c>
      <c r="F387" t="s">
        <v>2218</v>
      </c>
    </row>
    <row r="388">
      <c r="A388" t="n">
        <v>2</v>
      </c>
      <c r="B388" t="s">
        <v>26</v>
      </c>
      <c r="C388" t="str">
        <f t="shared" si="6"/>
        <v>Manufacture of other transport equipment</v>
      </c>
      <c r="D388" t="s">
        <v>477</v>
      </c>
      <c r="E388" t="s">
        <v>347</v>
      </c>
      <c r="F388" t="s">
        <v>478</v>
      </c>
    </row>
    <row r="389">
      <c r="A389" t="n">
        <v>3</v>
      </c>
      <c r="B389" t="s">
        <v>953</v>
      </c>
      <c r="C389" t="str">
        <f t="shared" si="6"/>
        <v>Building of ships and boats</v>
      </c>
      <c r="D389" t="s">
        <v>954</v>
      </c>
      <c r="E389" t="s">
        <v>26</v>
      </c>
      <c r="F389" t="s">
        <v>955</v>
      </c>
    </row>
    <row r="390">
      <c r="A390" t="n">
        <v>4</v>
      </c>
      <c r="B390" t="s">
        <v>2219</v>
      </c>
      <c r="C390" t="str">
        <f t="shared" si="6"/>
        <v>Building of ships and floating structures</v>
      </c>
      <c r="D390" t="s">
        <v>2220</v>
      </c>
      <c r="E390" t="s">
        <v>953</v>
      </c>
      <c r="F390" t="s">
        <v>2221</v>
      </c>
    </row>
    <row r="391">
      <c r="A391" t="n">
        <v>4</v>
      </c>
      <c r="B391" t="s">
        <v>2222</v>
      </c>
      <c r="C391" t="str">
        <f t="shared" si="6"/>
        <v>Building of pleasure and sporting boats</v>
      </c>
      <c r="D391" t="s">
        <v>2223</v>
      </c>
      <c r="E391" t="s">
        <v>953</v>
      </c>
      <c r="F391" t="s">
        <v>2224</v>
      </c>
    </row>
    <row r="392">
      <c r="A392" t="n">
        <v>3</v>
      </c>
      <c r="B392" t="s">
        <v>956</v>
      </c>
      <c r="C392" t="str">
        <f t="shared" si="6"/>
        <v>Manufacture of railway locomotives and rolling stock</v>
      </c>
      <c r="D392" t="s">
        <v>957</v>
      </c>
      <c r="E392" t="s">
        <v>26</v>
      </c>
      <c r="F392" t="s">
        <v>958</v>
      </c>
    </row>
    <row r="393">
      <c r="A393" t="n">
        <v>4</v>
      </c>
      <c r="B393" t="s">
        <v>2225</v>
      </c>
      <c r="C393" t="str">
        <f t="shared" si="6"/>
        <v>Manufacture of railway locomotives and rolling stock</v>
      </c>
      <c r="D393" t="s">
        <v>2226</v>
      </c>
      <c r="E393" t="s">
        <v>956</v>
      </c>
      <c r="F393" t="s">
        <v>2227</v>
      </c>
    </row>
    <row r="394">
      <c r="A394" t="n">
        <v>3</v>
      </c>
      <c r="B394" t="s">
        <v>959</v>
      </c>
      <c r="C394" t="str">
        <f t="shared" si="6"/>
        <v>Manufacture of air and spacecraft and related machinery</v>
      </c>
      <c r="D394" t="s">
        <v>960</v>
      </c>
      <c r="E394" t="s">
        <v>26</v>
      </c>
      <c r="F394" t="s">
        <v>961</v>
      </c>
    </row>
    <row r="395">
      <c r="A395" t="n">
        <v>4</v>
      </c>
      <c r="B395" t="s">
        <v>2228</v>
      </c>
      <c r="C395" t="str">
        <f t="shared" si="6"/>
        <v>Manufacture of air and spacecraft and related machinery</v>
      </c>
      <c r="D395" t="s">
        <v>2229</v>
      </c>
      <c r="E395" t="s">
        <v>959</v>
      </c>
      <c r="F395" t="s">
        <v>2230</v>
      </c>
    </row>
    <row r="396">
      <c r="A396" t="n">
        <v>3</v>
      </c>
      <c r="B396" t="s">
        <v>962</v>
      </c>
      <c r="C396" t="str">
        <f t="shared" si="6"/>
        <v>Manufacture of military fighting vehicles</v>
      </c>
      <c r="D396" t="s">
        <v>963</v>
      </c>
      <c r="E396" t="s">
        <v>26</v>
      </c>
      <c r="F396" t="s">
        <v>964</v>
      </c>
    </row>
    <row r="397">
      <c r="A397" t="n">
        <v>4</v>
      </c>
      <c r="B397" t="s">
        <v>2231</v>
      </c>
      <c r="C397" t="str">
        <f t="shared" si="6"/>
        <v>Manufacture of military fighting vehicles</v>
      </c>
      <c r="D397" t="s">
        <v>2232</v>
      </c>
      <c r="E397" t="s">
        <v>962</v>
      </c>
      <c r="F397" t="s">
        <v>2233</v>
      </c>
    </row>
    <row r="398">
      <c r="A398" t="n">
        <v>3</v>
      </c>
      <c r="B398" t="s">
        <v>965</v>
      </c>
      <c r="C398" t="str">
        <f t="shared" si="6"/>
        <v>Manufacture of transport equipment n.e.c.</v>
      </c>
      <c r="D398" t="s">
        <v>966</v>
      </c>
      <c r="E398" t="s">
        <v>26</v>
      </c>
      <c r="F398" t="s">
        <v>967</v>
      </c>
    </row>
    <row r="399">
      <c r="A399" t="n">
        <v>4</v>
      </c>
      <c r="B399" t="s">
        <v>2234</v>
      </c>
      <c r="C399" t="str">
        <f t="shared" si="6"/>
        <v>Manufacture of motorcycles</v>
      </c>
      <c r="D399" t="s">
        <v>2235</v>
      </c>
      <c r="E399" t="s">
        <v>965</v>
      </c>
      <c r="F399" t="s">
        <v>2236</v>
      </c>
    </row>
    <row r="400">
      <c r="A400" t="n">
        <v>4</v>
      </c>
      <c r="B400" t="s">
        <v>2237</v>
      </c>
      <c r="C400" t="str">
        <f t="shared" si="6"/>
        <v>Manufacture of bicycles and invalid carriages</v>
      </c>
      <c r="D400" t="s">
        <v>2238</v>
      </c>
      <c r="E400" t="s">
        <v>965</v>
      </c>
      <c r="F400" t="s">
        <v>2239</v>
      </c>
    </row>
    <row r="401">
      <c r="A401" t="n">
        <v>4</v>
      </c>
      <c r="B401" t="s">
        <v>2240</v>
      </c>
      <c r="C401" t="str">
        <f t="shared" si="6"/>
        <v>Manufacture of other transport equipment n.e.c.</v>
      </c>
      <c r="D401" t="s">
        <v>2241</v>
      </c>
      <c r="E401" t="s">
        <v>965</v>
      </c>
      <c r="F401" t="s">
        <v>2242</v>
      </c>
    </row>
    <row r="402">
      <c r="A402" t="n">
        <v>2</v>
      </c>
      <c r="B402" t="s">
        <v>28</v>
      </c>
      <c r="C402" t="str">
        <f t="shared" si="6"/>
        <v>Manufacture of furniture</v>
      </c>
      <c r="D402" t="s">
        <v>479</v>
      </c>
      <c r="E402" t="s">
        <v>347</v>
      </c>
      <c r="F402" t="s">
        <v>480</v>
      </c>
    </row>
    <row r="403">
      <c r="A403" t="n">
        <v>3</v>
      </c>
      <c r="B403" t="s">
        <v>968</v>
      </c>
      <c r="C403" t="str">
        <f t="shared" si="6"/>
        <v>Manufacture of furniture</v>
      </c>
      <c r="D403" t="s">
        <v>969</v>
      </c>
      <c r="E403" t="s">
        <v>28</v>
      </c>
      <c r="F403" t="s">
        <v>970</v>
      </c>
    </row>
    <row r="404">
      <c r="A404" t="n">
        <v>4</v>
      </c>
      <c r="B404" t="s">
        <v>2243</v>
      </c>
      <c r="C404" t="str">
        <f t="shared" si="6"/>
        <v>Manufacture of office and shop furniture</v>
      </c>
      <c r="D404" t="s">
        <v>2244</v>
      </c>
      <c r="E404" t="s">
        <v>968</v>
      </c>
      <c r="F404" t="s">
        <v>2245</v>
      </c>
    </row>
    <row r="405">
      <c r="A405" t="n">
        <v>4</v>
      </c>
      <c r="B405" t="s">
        <v>2246</v>
      </c>
      <c r="C405" t="str">
        <f t="shared" si="6"/>
        <v>Manufacture of kitchen furniture</v>
      </c>
      <c r="D405" t="s">
        <v>2247</v>
      </c>
      <c r="E405" t="s">
        <v>968</v>
      </c>
      <c r="F405" t="s">
        <v>2248</v>
      </c>
    </row>
    <row r="406">
      <c r="A406" t="n">
        <v>4</v>
      </c>
      <c r="B406" t="s">
        <v>2249</v>
      </c>
      <c r="C406" t="str">
        <f t="shared" si="6"/>
        <v>Manufacture of mattresses</v>
      </c>
      <c r="D406" t="s">
        <v>2250</v>
      </c>
      <c r="E406" t="s">
        <v>968</v>
      </c>
      <c r="F406" t="s">
        <v>2251</v>
      </c>
    </row>
    <row r="407">
      <c r="A407" t="n">
        <v>4</v>
      </c>
      <c r="B407" t="s">
        <v>2252</v>
      </c>
      <c r="C407" t="str">
        <f t="shared" si="6"/>
        <v>Manufacture of other furniture</v>
      </c>
      <c r="D407" t="s">
        <v>2253</v>
      </c>
      <c r="E407" t="s">
        <v>968</v>
      </c>
      <c r="F407" t="s">
        <v>2254</v>
      </c>
    </row>
    <row r="408">
      <c r="A408" t="n">
        <v>2</v>
      </c>
      <c r="B408" t="s">
        <v>30</v>
      </c>
      <c r="C408" t="str">
        <f t="shared" si="6"/>
        <v>Other manufacturing</v>
      </c>
      <c r="D408" t="s">
        <v>481</v>
      </c>
      <c r="E408" t="s">
        <v>347</v>
      </c>
      <c r="F408" t="s">
        <v>482</v>
      </c>
    </row>
    <row r="409">
      <c r="A409" t="n">
        <v>3</v>
      </c>
      <c r="B409" t="s">
        <v>971</v>
      </c>
      <c r="C409" t="str">
        <f t="shared" si="6"/>
        <v>Manufacture of jewellery, bijouterie and related articles</v>
      </c>
      <c r="D409" t="s">
        <v>972</v>
      </c>
      <c r="E409" t="s">
        <v>30</v>
      </c>
      <c r="F409" t="s">
        <v>973</v>
      </c>
    </row>
    <row r="410">
      <c r="A410" t="n">
        <v>4</v>
      </c>
      <c r="B410" t="s">
        <v>2255</v>
      </c>
      <c r="C410" t="str">
        <f t="shared" ref="C410:C473" si="7">IF(A410=1,RIGHT(D410,LEN(D410)-2),IF(A410=2,RIGHT(D410,LEN(D410)-3),IF(A410=3,RIGHT(D410,LEN(D410)-5),RIGHT(D410,LEN(D410)-6))))</f>
        <v>Striking of coins</v>
      </c>
      <c r="D410" t="s">
        <v>2256</v>
      </c>
      <c r="E410" t="s">
        <v>971</v>
      </c>
      <c r="F410" t="s">
        <v>2257</v>
      </c>
    </row>
    <row r="411">
      <c r="A411" t="n">
        <v>4</v>
      </c>
      <c r="B411" t="s">
        <v>2258</v>
      </c>
      <c r="C411" t="str">
        <f t="shared" si="7"/>
        <v>Manufacture of jewellery and related articles</v>
      </c>
      <c r="D411" t="s">
        <v>2259</v>
      </c>
      <c r="E411" t="s">
        <v>971</v>
      </c>
      <c r="F411" t="s">
        <v>2260</v>
      </c>
    </row>
    <row r="412">
      <c r="A412" t="n">
        <v>4</v>
      </c>
      <c r="B412" t="s">
        <v>2261</v>
      </c>
      <c r="C412" t="str">
        <f t="shared" si="7"/>
        <v>Manufacture of imitation jewellery and related articles</v>
      </c>
      <c r="D412" t="s">
        <v>2262</v>
      </c>
      <c r="E412" t="s">
        <v>971</v>
      </c>
      <c r="F412" t="s">
        <v>2263</v>
      </c>
    </row>
    <row r="413">
      <c r="A413" t="n">
        <v>3</v>
      </c>
      <c r="B413" t="s">
        <v>974</v>
      </c>
      <c r="C413" t="str">
        <f t="shared" si="7"/>
        <v>Manufacture of musical instruments</v>
      </c>
      <c r="D413" t="s">
        <v>975</v>
      </c>
      <c r="E413" t="s">
        <v>30</v>
      </c>
      <c r="F413" t="s">
        <v>976</v>
      </c>
    </row>
    <row r="414">
      <c r="A414" t="n">
        <v>4</v>
      </c>
      <c r="B414" t="s">
        <v>2264</v>
      </c>
      <c r="C414" t="str">
        <f t="shared" si="7"/>
        <v>Manufacture of musical instruments</v>
      </c>
      <c r="D414" t="s">
        <v>2265</v>
      </c>
      <c r="E414" t="s">
        <v>974</v>
      </c>
      <c r="F414" t="s">
        <v>2266</v>
      </c>
    </row>
    <row r="415">
      <c r="A415" t="n">
        <v>3</v>
      </c>
      <c r="B415" t="s">
        <v>977</v>
      </c>
      <c r="C415" t="str">
        <f t="shared" si="7"/>
        <v>Manufacture of sports goods</v>
      </c>
      <c r="D415" t="s">
        <v>978</v>
      </c>
      <c r="E415" t="s">
        <v>30</v>
      </c>
      <c r="F415" t="s">
        <v>979</v>
      </c>
    </row>
    <row r="416">
      <c r="A416" t="n">
        <v>4</v>
      </c>
      <c r="B416" t="s">
        <v>2267</v>
      </c>
      <c r="C416" t="str">
        <f t="shared" si="7"/>
        <v>Manufacture of sports goods</v>
      </c>
      <c r="D416" t="s">
        <v>2268</v>
      </c>
      <c r="E416" t="s">
        <v>977</v>
      </c>
      <c r="F416" t="s">
        <v>2269</v>
      </c>
    </row>
    <row r="417">
      <c r="A417" t="n">
        <v>3</v>
      </c>
      <c r="B417" t="s">
        <v>980</v>
      </c>
      <c r="C417" t="str">
        <f t="shared" si="7"/>
        <v>Manufacture of games and toys</v>
      </c>
      <c r="D417" t="s">
        <v>981</v>
      </c>
      <c r="E417" t="s">
        <v>30</v>
      </c>
      <c r="F417" t="s">
        <v>982</v>
      </c>
    </row>
    <row r="418">
      <c r="A418" t="n">
        <v>4</v>
      </c>
      <c r="B418" t="s">
        <v>2270</v>
      </c>
      <c r="C418" t="str">
        <f t="shared" si="7"/>
        <v>Manufacture of games and toys</v>
      </c>
      <c r="D418" t="s">
        <v>2271</v>
      </c>
      <c r="E418" t="s">
        <v>980</v>
      </c>
      <c r="F418" t="s">
        <v>2272</v>
      </c>
    </row>
    <row r="419">
      <c r="A419" t="n">
        <v>3</v>
      </c>
      <c r="B419" t="s">
        <v>983</v>
      </c>
      <c r="C419" t="str">
        <f t="shared" si="7"/>
        <v>Manufacture of medical and dental instruments and supplies</v>
      </c>
      <c r="D419" t="s">
        <v>984</v>
      </c>
      <c r="E419" t="s">
        <v>30</v>
      </c>
      <c r="F419" t="s">
        <v>985</v>
      </c>
    </row>
    <row r="420">
      <c r="A420" t="n">
        <v>4</v>
      </c>
      <c r="B420" t="s">
        <v>2273</v>
      </c>
      <c r="C420" t="str">
        <f t="shared" si="7"/>
        <v>Manufacture of medical and dental instruments and supplies</v>
      </c>
      <c r="D420" t="s">
        <v>2274</v>
      </c>
      <c r="E420" t="s">
        <v>983</v>
      </c>
      <c r="F420" t="s">
        <v>2275</v>
      </c>
    </row>
    <row r="421">
      <c r="A421" t="n">
        <v>3</v>
      </c>
      <c r="B421" t="s">
        <v>986</v>
      </c>
      <c r="C421" t="str">
        <f t="shared" si="7"/>
        <v>Manufacturing n.e.c.</v>
      </c>
      <c r="D421" t="s">
        <v>987</v>
      </c>
      <c r="E421" t="s">
        <v>30</v>
      </c>
      <c r="F421" t="s">
        <v>988</v>
      </c>
    </row>
    <row r="422">
      <c r="A422" t="n">
        <v>4</v>
      </c>
      <c r="B422" t="s">
        <v>2276</v>
      </c>
      <c r="C422" t="str">
        <f t="shared" si="7"/>
        <v>Manufacture of brooms and brushes</v>
      </c>
      <c r="D422" t="s">
        <v>2277</v>
      </c>
      <c r="E422" t="s">
        <v>986</v>
      </c>
      <c r="F422" t="s">
        <v>2278</v>
      </c>
    </row>
    <row r="423">
      <c r="A423" t="n">
        <v>4</v>
      </c>
      <c r="B423" t="s">
        <v>2279</v>
      </c>
      <c r="C423" t="str">
        <f t="shared" si="7"/>
        <v>Other manufacturing n.e.c.</v>
      </c>
      <c r="D423" t="s">
        <v>2280</v>
      </c>
      <c r="E423" t="s">
        <v>986</v>
      </c>
      <c r="F423" t="s">
        <v>2281</v>
      </c>
    </row>
    <row r="424">
      <c r="A424" t="n">
        <v>2</v>
      </c>
      <c r="B424" t="s">
        <v>32</v>
      </c>
      <c r="C424" t="str">
        <f t="shared" si="7"/>
        <v>Repair and installation of machinery and equipment</v>
      </c>
      <c r="D424" t="s">
        <v>483</v>
      </c>
      <c r="E424" t="s">
        <v>347</v>
      </c>
      <c r="F424" t="s">
        <v>484</v>
      </c>
    </row>
    <row r="425">
      <c r="A425" t="n">
        <v>3</v>
      </c>
      <c r="B425" t="s">
        <v>989</v>
      </c>
      <c r="C425" t="str">
        <f t="shared" si="7"/>
        <v>Repair of fabricated metal products, machinery and equipment</v>
      </c>
      <c r="D425" t="s">
        <v>990</v>
      </c>
      <c r="E425" t="s">
        <v>32</v>
      </c>
      <c r="F425" t="s">
        <v>991</v>
      </c>
    </row>
    <row r="426">
      <c r="A426" t="n">
        <v>4</v>
      </c>
      <c r="B426" t="s">
        <v>2282</v>
      </c>
      <c r="C426" t="str">
        <f t="shared" si="7"/>
        <v>Repair of fabricated metal products</v>
      </c>
      <c r="D426" t="s">
        <v>2283</v>
      </c>
      <c r="E426" t="s">
        <v>989</v>
      </c>
      <c r="F426" t="s">
        <v>2284</v>
      </c>
    </row>
    <row r="427">
      <c r="A427" t="n">
        <v>4</v>
      </c>
      <c r="B427" t="s">
        <v>2285</v>
      </c>
      <c r="C427" t="str">
        <f t="shared" si="7"/>
        <v>Repair of machinery</v>
      </c>
      <c r="D427" t="s">
        <v>2286</v>
      </c>
      <c r="E427" t="s">
        <v>989</v>
      </c>
      <c r="F427" t="s">
        <v>2287</v>
      </c>
    </row>
    <row r="428">
      <c r="A428" t="n">
        <v>4</v>
      </c>
      <c r="B428" t="s">
        <v>2288</v>
      </c>
      <c r="C428" t="str">
        <f t="shared" si="7"/>
        <v>Repair of electronic and optical equipment</v>
      </c>
      <c r="D428" t="s">
        <v>2289</v>
      </c>
      <c r="E428" t="s">
        <v>989</v>
      </c>
      <c r="F428" t="s">
        <v>2290</v>
      </c>
    </row>
    <row r="429">
      <c r="A429" t="n">
        <v>4</v>
      </c>
      <c r="B429" t="s">
        <v>2291</v>
      </c>
      <c r="C429" t="str">
        <f t="shared" si="7"/>
        <v>Repair of electrical equipment</v>
      </c>
      <c r="D429" t="s">
        <v>2292</v>
      </c>
      <c r="E429" t="s">
        <v>989</v>
      </c>
      <c r="F429" t="s">
        <v>2293</v>
      </c>
    </row>
    <row r="430">
      <c r="A430" t="n">
        <v>4</v>
      </c>
      <c r="B430" t="s">
        <v>2294</v>
      </c>
      <c r="C430" t="str">
        <f t="shared" si="7"/>
        <v>Repair and maintenance of ships and boats</v>
      </c>
      <c r="D430" t="s">
        <v>2295</v>
      </c>
      <c r="E430" t="s">
        <v>989</v>
      </c>
      <c r="F430" t="s">
        <v>2296</v>
      </c>
    </row>
    <row r="431">
      <c r="A431" t="n">
        <v>4</v>
      </c>
      <c r="B431" t="s">
        <v>2297</v>
      </c>
      <c r="C431" t="str">
        <f t="shared" si="7"/>
        <v>Repair and maintenance of aircraft and spacecraft</v>
      </c>
      <c r="D431" t="s">
        <v>2298</v>
      </c>
      <c r="E431" t="s">
        <v>989</v>
      </c>
      <c r="F431" t="s">
        <v>2299</v>
      </c>
    </row>
    <row r="432">
      <c r="A432" t="n">
        <v>4</v>
      </c>
      <c r="B432" t="s">
        <v>2300</v>
      </c>
      <c r="C432" t="str">
        <f t="shared" si="7"/>
        <v>Repair and maintenance of other transport equipment</v>
      </c>
      <c r="D432" t="s">
        <v>2301</v>
      </c>
      <c r="E432" t="s">
        <v>989</v>
      </c>
      <c r="F432" t="s">
        <v>2302</v>
      </c>
    </row>
    <row r="433">
      <c r="A433" t="n">
        <v>4</v>
      </c>
      <c r="B433" t="s">
        <v>2303</v>
      </c>
      <c r="C433" t="str">
        <f t="shared" si="7"/>
        <v>Repair of other equipment</v>
      </c>
      <c r="D433" t="s">
        <v>2304</v>
      </c>
      <c r="E433" t="s">
        <v>989</v>
      </c>
      <c r="F433" t="s">
        <v>2305</v>
      </c>
    </row>
    <row r="434">
      <c r="A434" t="n">
        <v>3</v>
      </c>
      <c r="B434" t="s">
        <v>992</v>
      </c>
      <c r="C434" t="str">
        <f t="shared" si="7"/>
        <v>Installation of industrial machinery and equipment</v>
      </c>
      <c r="D434" t="s">
        <v>993</v>
      </c>
      <c r="E434" t="s">
        <v>32</v>
      </c>
      <c r="F434" t="s">
        <v>994</v>
      </c>
    </row>
    <row r="435">
      <c r="A435" t="n">
        <v>4</v>
      </c>
      <c r="B435" t="s">
        <v>2306</v>
      </c>
      <c r="C435" t="str">
        <f t="shared" si="7"/>
        <v>Installation of industrial machinery and equipment</v>
      </c>
      <c r="D435" t="s">
        <v>2307</v>
      </c>
      <c r="E435" t="s">
        <v>992</v>
      </c>
      <c r="F435" t="s">
        <v>2308</v>
      </c>
    </row>
    <row r="436">
      <c r="A436" t="n">
        <v>2</v>
      </c>
      <c r="B436" t="s">
        <v>36</v>
      </c>
      <c r="C436" t="str">
        <f t="shared" si="7"/>
        <v>Electricity, gas, steam and air conditioning supply</v>
      </c>
      <c r="D436" t="s">
        <v>485</v>
      </c>
      <c r="E436" t="s">
        <v>350</v>
      </c>
      <c r="F436" t="s">
        <v>486</v>
      </c>
    </row>
    <row r="437">
      <c r="A437" t="n">
        <v>3</v>
      </c>
      <c r="B437" t="s">
        <v>995</v>
      </c>
      <c r="C437" t="str">
        <f t="shared" si="7"/>
        <v>Electric power generation, transmission and distribution</v>
      </c>
      <c r="D437" t="s">
        <v>996</v>
      </c>
      <c r="E437" t="s">
        <v>36</v>
      </c>
      <c r="F437" t="s">
        <v>997</v>
      </c>
    </row>
    <row r="438">
      <c r="A438" t="n">
        <v>4</v>
      </c>
      <c r="B438" t="s">
        <v>2309</v>
      </c>
      <c r="C438" t="str">
        <f t="shared" si="7"/>
        <v>Production of electricity</v>
      </c>
      <c r="D438" t="s">
        <v>2310</v>
      </c>
      <c r="E438" t="s">
        <v>995</v>
      </c>
      <c r="F438" t="s">
        <v>2311</v>
      </c>
    </row>
    <row r="439">
      <c r="A439" t="n">
        <v>4</v>
      </c>
      <c r="B439" t="s">
        <v>2312</v>
      </c>
      <c r="C439" t="str">
        <f t="shared" si="7"/>
        <v>Transmission of electricity</v>
      </c>
      <c r="D439" t="s">
        <v>2313</v>
      </c>
      <c r="E439" t="s">
        <v>995</v>
      </c>
      <c r="F439" t="s">
        <v>2314</v>
      </c>
    </row>
    <row r="440">
      <c r="A440" t="n">
        <v>4</v>
      </c>
      <c r="B440" t="s">
        <v>2315</v>
      </c>
      <c r="C440" t="str">
        <f t="shared" si="7"/>
        <v>Distribution of electricity</v>
      </c>
      <c r="D440" t="s">
        <v>2316</v>
      </c>
      <c r="E440" t="s">
        <v>995</v>
      </c>
      <c r="F440" t="s">
        <v>2317</v>
      </c>
    </row>
    <row r="441">
      <c r="A441" t="n">
        <v>4</v>
      </c>
      <c r="B441" t="s">
        <v>2318</v>
      </c>
      <c r="C441" t="str">
        <f t="shared" si="7"/>
        <v>Trade of electricity</v>
      </c>
      <c r="D441" t="s">
        <v>2319</v>
      </c>
      <c r="E441" t="s">
        <v>995</v>
      </c>
      <c r="F441" t="s">
        <v>2320</v>
      </c>
    </row>
    <row r="442">
      <c r="A442" t="n">
        <v>3</v>
      </c>
      <c r="B442" t="s">
        <v>998</v>
      </c>
      <c r="C442" t="str">
        <f t="shared" si="7"/>
        <v>Manufacture of gas; distribution of gaseous fuels through mains</v>
      </c>
      <c r="D442" t="s">
        <v>999</v>
      </c>
      <c r="E442" t="s">
        <v>36</v>
      </c>
      <c r="F442" t="s">
        <v>1000</v>
      </c>
    </row>
    <row r="443">
      <c r="A443" t="n">
        <v>4</v>
      </c>
      <c r="B443" t="s">
        <v>2321</v>
      </c>
      <c r="C443" t="str">
        <f t="shared" si="7"/>
        <v>Manufacture of gas</v>
      </c>
      <c r="D443" t="s">
        <v>2322</v>
      </c>
      <c r="E443" t="s">
        <v>998</v>
      </c>
      <c r="F443" t="s">
        <v>2323</v>
      </c>
    </row>
    <row r="444">
      <c r="A444" t="n">
        <v>4</v>
      </c>
      <c r="B444" t="s">
        <v>2324</v>
      </c>
      <c r="C444" t="str">
        <f t="shared" si="7"/>
        <v>Distribution of gaseous fuels through mains</v>
      </c>
      <c r="D444" t="s">
        <v>2325</v>
      </c>
      <c r="E444" t="s">
        <v>998</v>
      </c>
      <c r="F444" t="s">
        <v>2326</v>
      </c>
    </row>
    <row r="445">
      <c r="A445" t="n">
        <v>4</v>
      </c>
      <c r="B445" t="s">
        <v>2327</v>
      </c>
      <c r="C445" t="str">
        <f t="shared" si="7"/>
        <v>Trade of gas through mains</v>
      </c>
      <c r="D445" t="s">
        <v>2328</v>
      </c>
      <c r="E445" t="s">
        <v>998</v>
      </c>
      <c r="F445" t="s">
        <v>2329</v>
      </c>
    </row>
    <row r="446">
      <c r="A446" t="n">
        <v>3</v>
      </c>
      <c r="B446" t="s">
        <v>1001</v>
      </c>
      <c r="C446" t="str">
        <f t="shared" si="7"/>
        <v>Steam and air conditioning supply</v>
      </c>
      <c r="D446" t="s">
        <v>1002</v>
      </c>
      <c r="E446" t="s">
        <v>36</v>
      </c>
      <c r="F446" t="s">
        <v>1003</v>
      </c>
    </row>
    <row r="447">
      <c r="A447" t="n">
        <v>4</v>
      </c>
      <c r="B447" t="s">
        <v>2330</v>
      </c>
      <c r="C447" t="str">
        <f t="shared" si="7"/>
        <v>Steam and air conditioning supply</v>
      </c>
      <c r="D447" t="s">
        <v>2331</v>
      </c>
      <c r="E447" t="s">
        <v>1001</v>
      </c>
      <c r="F447" t="s">
        <v>2332</v>
      </c>
    </row>
    <row r="448">
      <c r="A448" t="n">
        <v>2</v>
      </c>
      <c r="B448" t="s">
        <v>38</v>
      </c>
      <c r="C448" t="str">
        <f t="shared" si="7"/>
        <v>Water collection, treatment and supply</v>
      </c>
      <c r="D448" t="s">
        <v>487</v>
      </c>
      <c r="E448" t="s">
        <v>353</v>
      </c>
      <c r="F448" t="s">
        <v>488</v>
      </c>
    </row>
    <row r="449">
      <c r="A449" t="n">
        <v>3</v>
      </c>
      <c r="B449" t="s">
        <v>1004</v>
      </c>
      <c r="C449" t="str">
        <f t="shared" si="7"/>
        <v>Water collection, treatment and supply</v>
      </c>
      <c r="D449" t="s">
        <v>1005</v>
      </c>
      <c r="E449" t="s">
        <v>38</v>
      </c>
      <c r="F449" t="s">
        <v>1006</v>
      </c>
    </row>
    <row r="450">
      <c r="A450" t="n">
        <v>4</v>
      </c>
      <c r="B450" t="s">
        <v>2333</v>
      </c>
      <c r="C450" t="str">
        <f t="shared" si="7"/>
        <v>Water collection, treatment and supply</v>
      </c>
      <c r="D450" t="s">
        <v>2334</v>
      </c>
      <c r="E450" t="s">
        <v>1004</v>
      </c>
      <c r="F450" t="s">
        <v>2335</v>
      </c>
    </row>
    <row r="451">
      <c r="A451" t="n">
        <v>2</v>
      </c>
      <c r="B451" t="s">
        <v>40</v>
      </c>
      <c r="C451" t="str">
        <f t="shared" si="7"/>
        <v>Sewerage</v>
      </c>
      <c r="D451" t="s">
        <v>489</v>
      </c>
      <c r="E451" t="s">
        <v>353</v>
      </c>
      <c r="F451" t="s">
        <v>490</v>
      </c>
    </row>
    <row r="452">
      <c r="A452" t="n">
        <v>3</v>
      </c>
      <c r="B452" t="s">
        <v>1007</v>
      </c>
      <c r="C452" t="str">
        <f t="shared" si="7"/>
        <v>Sewerage</v>
      </c>
      <c r="D452" t="s">
        <v>1008</v>
      </c>
      <c r="E452" t="s">
        <v>40</v>
      </c>
      <c r="F452" t="s">
        <v>1009</v>
      </c>
    </row>
    <row r="453">
      <c r="A453" t="n">
        <v>4</v>
      </c>
      <c r="B453" t="s">
        <v>2336</v>
      </c>
      <c r="C453" t="str">
        <f t="shared" si="7"/>
        <v>Sewerage</v>
      </c>
      <c r="D453" t="s">
        <v>2337</v>
      </c>
      <c r="E453" t="s">
        <v>1007</v>
      </c>
      <c r="F453" t="s">
        <v>2338</v>
      </c>
    </row>
    <row r="454">
      <c r="A454" t="n">
        <v>2</v>
      </c>
      <c r="B454" t="s">
        <v>42</v>
      </c>
      <c r="C454" t="str">
        <f t="shared" si="7"/>
        <v>Waste collection, treatment and disposal activities; materials recovery</v>
      </c>
      <c r="D454" t="s">
        <v>491</v>
      </c>
      <c r="E454" t="s">
        <v>353</v>
      </c>
      <c r="F454" t="s">
        <v>492</v>
      </c>
    </row>
    <row r="455">
      <c r="A455" t="n">
        <v>3</v>
      </c>
      <c r="B455" t="s">
        <v>1010</v>
      </c>
      <c r="C455" t="str">
        <f t="shared" si="7"/>
        <v>Waste collection</v>
      </c>
      <c r="D455" t="s">
        <v>1011</v>
      </c>
      <c r="E455" t="s">
        <v>42</v>
      </c>
      <c r="F455" t="s">
        <v>1012</v>
      </c>
    </row>
    <row r="456">
      <c r="A456" t="n">
        <v>4</v>
      </c>
      <c r="B456" t="s">
        <v>2339</v>
      </c>
      <c r="C456" t="str">
        <f t="shared" si="7"/>
        <v>Collection of non-hazardous waste</v>
      </c>
      <c r="D456" t="s">
        <v>2340</v>
      </c>
      <c r="E456" t="s">
        <v>1010</v>
      </c>
      <c r="F456" t="s">
        <v>2341</v>
      </c>
    </row>
    <row r="457">
      <c r="A457" t="n">
        <v>4</v>
      </c>
      <c r="B457" t="s">
        <v>2342</v>
      </c>
      <c r="C457" t="str">
        <f t="shared" si="7"/>
        <v>Collection of hazardous waste</v>
      </c>
      <c r="D457" t="s">
        <v>2343</v>
      </c>
      <c r="E457" t="s">
        <v>1010</v>
      </c>
      <c r="F457" t="s">
        <v>2344</v>
      </c>
    </row>
    <row r="458">
      <c r="A458" t="n">
        <v>3</v>
      </c>
      <c r="B458" t="s">
        <v>1013</v>
      </c>
      <c r="C458" t="str">
        <f t="shared" si="7"/>
        <v>Waste treatment and disposal</v>
      </c>
      <c r="D458" t="s">
        <v>1014</v>
      </c>
      <c r="E458" t="s">
        <v>42</v>
      </c>
      <c r="F458" t="s">
        <v>1015</v>
      </c>
    </row>
    <row r="459">
      <c r="A459" t="n">
        <v>4</v>
      </c>
      <c r="B459" t="s">
        <v>2345</v>
      </c>
      <c r="C459" t="str">
        <f t="shared" si="7"/>
        <v>Treatment and disposal of non-hazardous waste</v>
      </c>
      <c r="D459" t="s">
        <v>2346</v>
      </c>
      <c r="E459" t="s">
        <v>1013</v>
      </c>
      <c r="F459" t="s">
        <v>2347</v>
      </c>
    </row>
    <row r="460">
      <c r="A460" t="n">
        <v>4</v>
      </c>
      <c r="B460" t="s">
        <v>2348</v>
      </c>
      <c r="C460" t="str">
        <f t="shared" si="7"/>
        <v>Treatment and disposal of hazardous waste</v>
      </c>
      <c r="D460" t="s">
        <v>2349</v>
      </c>
      <c r="E460" t="s">
        <v>1013</v>
      </c>
      <c r="F460" t="s">
        <v>2350</v>
      </c>
    </row>
    <row r="461">
      <c r="A461" t="n">
        <v>3</v>
      </c>
      <c r="B461" t="s">
        <v>1016</v>
      </c>
      <c r="C461" t="str">
        <f t="shared" si="7"/>
        <v>Materials recovery</v>
      </c>
      <c r="D461" t="s">
        <v>1017</v>
      </c>
      <c r="E461" t="s">
        <v>42</v>
      </c>
      <c r="F461" t="s">
        <v>1018</v>
      </c>
    </row>
    <row r="462">
      <c r="A462" t="n">
        <v>4</v>
      </c>
      <c r="B462" t="s">
        <v>2351</v>
      </c>
      <c r="C462" t="str">
        <f t="shared" si="7"/>
        <v>Dismantling of wrecks</v>
      </c>
      <c r="D462" t="s">
        <v>2352</v>
      </c>
      <c r="E462" t="s">
        <v>1016</v>
      </c>
      <c r="F462" t="s">
        <v>2353</v>
      </c>
    </row>
    <row r="463">
      <c r="A463" t="n">
        <v>4</v>
      </c>
      <c r="B463" t="s">
        <v>2354</v>
      </c>
      <c r="C463" t="str">
        <f t="shared" si="7"/>
        <v>Recovery of sorted materials</v>
      </c>
      <c r="D463" t="s">
        <v>2355</v>
      </c>
      <c r="E463" t="s">
        <v>1016</v>
      </c>
      <c r="F463" t="s">
        <v>2356</v>
      </c>
    </row>
    <row r="464">
      <c r="A464" t="n">
        <v>2</v>
      </c>
      <c r="B464" t="s">
        <v>44</v>
      </c>
      <c r="C464" t="str">
        <f t="shared" si="7"/>
        <v>Remediation activities and other waste management services</v>
      </c>
      <c r="D464" t="s">
        <v>493</v>
      </c>
      <c r="E464" t="s">
        <v>353</v>
      </c>
      <c r="F464" t="s">
        <v>494</v>
      </c>
    </row>
    <row r="465">
      <c r="A465" t="n">
        <v>3</v>
      </c>
      <c r="B465" t="s">
        <v>1019</v>
      </c>
      <c r="C465" t="str">
        <f t="shared" si="7"/>
        <v>Remediation activities and other waste management services</v>
      </c>
      <c r="D465" t="s">
        <v>1020</v>
      </c>
      <c r="E465" t="s">
        <v>44</v>
      </c>
      <c r="F465" t="s">
        <v>1021</v>
      </c>
    </row>
    <row r="466">
      <c r="A466" t="n">
        <v>4</v>
      </c>
      <c r="B466" t="s">
        <v>2357</v>
      </c>
      <c r="C466" t="str">
        <f t="shared" si="7"/>
        <v>Remediation activities and other waste management services</v>
      </c>
      <c r="D466" t="s">
        <v>2358</v>
      </c>
      <c r="E466" t="s">
        <v>1019</v>
      </c>
      <c r="F466" t="s">
        <v>2359</v>
      </c>
    </row>
    <row r="467">
      <c r="A467" t="n">
        <v>2</v>
      </c>
      <c r="B467" t="s">
        <v>48</v>
      </c>
      <c r="C467" t="str">
        <f t="shared" si="7"/>
        <v>Construction of buildings</v>
      </c>
      <c r="D467" t="s">
        <v>495</v>
      </c>
      <c r="E467" t="s">
        <v>356</v>
      </c>
      <c r="F467" t="s">
        <v>496</v>
      </c>
    </row>
    <row r="468">
      <c r="A468" t="n">
        <v>3</v>
      </c>
      <c r="B468" t="s">
        <v>1022</v>
      </c>
      <c r="C468" t="str">
        <f t="shared" si="7"/>
        <v>Development of building projects</v>
      </c>
      <c r="D468" t="s">
        <v>1023</v>
      </c>
      <c r="E468" t="s">
        <v>48</v>
      </c>
      <c r="F468" t="s">
        <v>1024</v>
      </c>
    </row>
    <row r="469">
      <c r="A469" t="n">
        <v>4</v>
      </c>
      <c r="B469" t="s">
        <v>2360</v>
      </c>
      <c r="C469" t="str">
        <f t="shared" si="7"/>
        <v>Development of building projects</v>
      </c>
      <c r="D469" t="s">
        <v>2361</v>
      </c>
      <c r="E469" t="s">
        <v>1022</v>
      </c>
      <c r="F469" t="s">
        <v>2362</v>
      </c>
    </row>
    <row r="470">
      <c r="A470" t="n">
        <v>3</v>
      </c>
      <c r="B470" t="s">
        <v>1025</v>
      </c>
      <c r="C470" t="str">
        <f t="shared" si="7"/>
        <v>Construction of residential and non-residential buildings</v>
      </c>
      <c r="D470" t="s">
        <v>1026</v>
      </c>
      <c r="E470" t="s">
        <v>48</v>
      </c>
      <c r="F470" t="s">
        <v>1027</v>
      </c>
    </row>
    <row r="471">
      <c r="A471" t="n">
        <v>4</v>
      </c>
      <c r="B471" t="s">
        <v>2363</v>
      </c>
      <c r="C471" t="str">
        <f t="shared" si="7"/>
        <v>Construction of residential and non-residential buildings</v>
      </c>
      <c r="D471" t="s">
        <v>2364</v>
      </c>
      <c r="E471" t="s">
        <v>1025</v>
      </c>
      <c r="F471" t="s">
        <v>2365</v>
      </c>
    </row>
    <row r="472">
      <c r="A472" t="n">
        <v>2</v>
      </c>
      <c r="B472" t="s">
        <v>50</v>
      </c>
      <c r="C472" t="str">
        <f t="shared" si="7"/>
        <v>Civil engineering</v>
      </c>
      <c r="D472" t="s">
        <v>497</v>
      </c>
      <c r="E472" t="s">
        <v>356</v>
      </c>
      <c r="F472" t="s">
        <v>498</v>
      </c>
    </row>
    <row r="473">
      <c r="A473" t="n">
        <v>3</v>
      </c>
      <c r="B473" t="s">
        <v>1028</v>
      </c>
      <c r="C473" t="str">
        <f t="shared" si="7"/>
        <v>Construction of roads and railways</v>
      </c>
      <c r="D473" t="s">
        <v>1029</v>
      </c>
      <c r="E473" t="s">
        <v>50</v>
      </c>
      <c r="F473" t="s">
        <v>1030</v>
      </c>
    </row>
    <row r="474">
      <c r="A474" t="n">
        <v>4</v>
      </c>
      <c r="B474" t="s">
        <v>2366</v>
      </c>
      <c r="C474" t="str">
        <f t="shared" ref="C474:C537" si="8">IF(A474=1,RIGHT(D474,LEN(D474)-2),IF(A474=2,RIGHT(D474,LEN(D474)-3),IF(A474=3,RIGHT(D474,LEN(D474)-5),RIGHT(D474,LEN(D474)-6))))</f>
        <v>Construction of roads and motorways</v>
      </c>
      <c r="D474" t="s">
        <v>2367</v>
      </c>
      <c r="E474" t="s">
        <v>1028</v>
      </c>
      <c r="F474" t="s">
        <v>2368</v>
      </c>
    </row>
    <row r="475">
      <c r="A475" t="n">
        <v>4</v>
      </c>
      <c r="B475" t="s">
        <v>2369</v>
      </c>
      <c r="C475" t="str">
        <f t="shared" si="8"/>
        <v>Construction of railways and underground railways</v>
      </c>
      <c r="D475" t="s">
        <v>2370</v>
      </c>
      <c r="E475" t="s">
        <v>1028</v>
      </c>
      <c r="F475" t="s">
        <v>2371</v>
      </c>
    </row>
    <row r="476">
      <c r="A476" t="n">
        <v>4</v>
      </c>
      <c r="B476" t="s">
        <v>2372</v>
      </c>
      <c r="C476" t="str">
        <f t="shared" si="8"/>
        <v>Construction of bridges and tunnels</v>
      </c>
      <c r="D476" t="s">
        <v>2373</v>
      </c>
      <c r="E476" t="s">
        <v>1028</v>
      </c>
      <c r="F476" t="s">
        <v>2374</v>
      </c>
    </row>
    <row r="477">
      <c r="A477" t="n">
        <v>3</v>
      </c>
      <c r="B477" t="s">
        <v>1031</v>
      </c>
      <c r="C477" t="str">
        <f t="shared" si="8"/>
        <v>Construction of utility projects</v>
      </c>
      <c r="D477" t="s">
        <v>1032</v>
      </c>
      <c r="E477" t="s">
        <v>50</v>
      </c>
      <c r="F477" t="s">
        <v>1033</v>
      </c>
    </row>
    <row r="478">
      <c r="A478" t="n">
        <v>4</v>
      </c>
      <c r="B478" t="s">
        <v>2375</v>
      </c>
      <c r="C478" t="str">
        <f t="shared" si="8"/>
        <v>Construction of utility projects for fluids</v>
      </c>
      <c r="D478" t="s">
        <v>2376</v>
      </c>
      <c r="E478" t="s">
        <v>1031</v>
      </c>
      <c r="F478" t="s">
        <v>2377</v>
      </c>
    </row>
    <row r="479">
      <c r="A479" t="n">
        <v>4</v>
      </c>
      <c r="B479" t="s">
        <v>2378</v>
      </c>
      <c r="C479" t="str">
        <f t="shared" si="8"/>
        <v>Construction of utility projects for electricity and telecommunications</v>
      </c>
      <c r="D479" t="s">
        <v>2379</v>
      </c>
      <c r="E479" t="s">
        <v>1031</v>
      </c>
      <c r="F479" t="s">
        <v>2380</v>
      </c>
    </row>
    <row r="480">
      <c r="A480" t="n">
        <v>3</v>
      </c>
      <c r="B480" t="s">
        <v>1034</v>
      </c>
      <c r="C480" t="str">
        <f t="shared" si="8"/>
        <v>Construction of other civil engineering projects</v>
      </c>
      <c r="D480" t="s">
        <v>1035</v>
      </c>
      <c r="E480" t="s">
        <v>50</v>
      </c>
      <c r="F480" t="s">
        <v>1036</v>
      </c>
    </row>
    <row r="481">
      <c r="A481" t="n">
        <v>4</v>
      </c>
      <c r="B481" t="s">
        <v>2381</v>
      </c>
      <c r="C481" t="str">
        <f t="shared" si="8"/>
        <v>Construction of water projects</v>
      </c>
      <c r="D481" t="s">
        <v>2382</v>
      </c>
      <c r="E481" t="s">
        <v>1034</v>
      </c>
      <c r="F481" t="s">
        <v>2383</v>
      </c>
    </row>
    <row r="482">
      <c r="A482" t="n">
        <v>4</v>
      </c>
      <c r="B482" t="s">
        <v>2384</v>
      </c>
      <c r="C482" t="str">
        <f t="shared" si="8"/>
        <v>Construction of other civil engineering projects n.e.c.</v>
      </c>
      <c r="D482" t="s">
        <v>2385</v>
      </c>
      <c r="E482" t="s">
        <v>1034</v>
      </c>
      <c r="F482" t="s">
        <v>2386</v>
      </c>
    </row>
    <row r="483">
      <c r="A483" t="n">
        <v>2</v>
      </c>
      <c r="B483" t="s">
        <v>52</v>
      </c>
      <c r="C483" t="str">
        <f t="shared" si="8"/>
        <v>Specialised construction activities</v>
      </c>
      <c r="D483" t="s">
        <v>499</v>
      </c>
      <c r="E483" t="s">
        <v>356</v>
      </c>
      <c r="F483" t="s">
        <v>500</v>
      </c>
    </row>
    <row r="484">
      <c r="A484" t="n">
        <v>3</v>
      </c>
      <c r="B484" t="s">
        <v>1037</v>
      </c>
      <c r="C484" t="str">
        <f t="shared" si="8"/>
        <v>Demolition and site preparation</v>
      </c>
      <c r="D484" t="s">
        <v>1038</v>
      </c>
      <c r="E484" t="s">
        <v>52</v>
      </c>
      <c r="F484" t="s">
        <v>1039</v>
      </c>
    </row>
    <row r="485">
      <c r="A485" t="n">
        <v>4</v>
      </c>
      <c r="B485" t="s">
        <v>2387</v>
      </c>
      <c r="C485" t="str">
        <f t="shared" si="8"/>
        <v>Demolition</v>
      </c>
      <c r="D485" t="s">
        <v>2388</v>
      </c>
      <c r="E485" t="s">
        <v>1037</v>
      </c>
      <c r="F485" t="s">
        <v>2389</v>
      </c>
    </row>
    <row r="486">
      <c r="A486" t="n">
        <v>4</v>
      </c>
      <c r="B486" t="s">
        <v>2390</v>
      </c>
      <c r="C486" t="str">
        <f t="shared" si="8"/>
        <v>Site preparation</v>
      </c>
      <c r="D486" t="s">
        <v>2391</v>
      </c>
      <c r="E486" t="s">
        <v>1037</v>
      </c>
      <c r="F486" t="s">
        <v>2392</v>
      </c>
    </row>
    <row r="487">
      <c r="A487" t="n">
        <v>4</v>
      </c>
      <c r="B487" t="s">
        <v>2393</v>
      </c>
      <c r="C487" t="str">
        <f t="shared" si="8"/>
        <v>Test drilling and boring</v>
      </c>
      <c r="D487" t="s">
        <v>2394</v>
      </c>
      <c r="E487" t="s">
        <v>1037</v>
      </c>
      <c r="F487" t="s">
        <v>2395</v>
      </c>
    </row>
    <row r="488">
      <c r="A488" t="n">
        <v>3</v>
      </c>
      <c r="B488" t="s">
        <v>1040</v>
      </c>
      <c r="C488" t="str">
        <f t="shared" si="8"/>
        <v>Electrical, plumbing and other construction installation activities</v>
      </c>
      <c r="D488" t="s">
        <v>1041</v>
      </c>
      <c r="E488" t="s">
        <v>52</v>
      </c>
      <c r="F488" t="s">
        <v>1042</v>
      </c>
    </row>
    <row r="489">
      <c r="A489" t="n">
        <v>4</v>
      </c>
      <c r="B489" t="s">
        <v>2396</v>
      </c>
      <c r="C489" t="str">
        <f t="shared" si="8"/>
        <v>Electrical installation</v>
      </c>
      <c r="D489" t="s">
        <v>2397</v>
      </c>
      <c r="E489" t="s">
        <v>1040</v>
      </c>
      <c r="F489" t="s">
        <v>2398</v>
      </c>
    </row>
    <row r="490">
      <c r="A490" t="n">
        <v>4</v>
      </c>
      <c r="B490" t="s">
        <v>2399</v>
      </c>
      <c r="C490" t="str">
        <f t="shared" si="8"/>
        <v>Plumbing, heat and air-conditioning installation</v>
      </c>
      <c r="D490" t="s">
        <v>2400</v>
      </c>
      <c r="E490" t="s">
        <v>1040</v>
      </c>
      <c r="F490" t="s">
        <v>2401</v>
      </c>
    </row>
    <row r="491">
      <c r="A491" t="n">
        <v>4</v>
      </c>
      <c r="B491" t="s">
        <v>2402</v>
      </c>
      <c r="C491" t="str">
        <f t="shared" si="8"/>
        <v>Other construction installation</v>
      </c>
      <c r="D491" t="s">
        <v>2403</v>
      </c>
      <c r="E491" t="s">
        <v>1040</v>
      </c>
      <c r="F491" t="s">
        <v>2404</v>
      </c>
    </row>
    <row r="492">
      <c r="A492" t="n">
        <v>3</v>
      </c>
      <c r="B492" t="s">
        <v>1043</v>
      </c>
      <c r="C492" t="str">
        <f t="shared" si="8"/>
        <v>Building completion and finishing</v>
      </c>
      <c r="D492" t="s">
        <v>1044</v>
      </c>
      <c r="E492" t="s">
        <v>52</v>
      </c>
      <c r="F492" t="s">
        <v>1045</v>
      </c>
    </row>
    <row r="493">
      <c r="A493" t="n">
        <v>4</v>
      </c>
      <c r="B493" t="s">
        <v>2405</v>
      </c>
      <c r="C493" t="str">
        <f t="shared" si="8"/>
        <v>Plastering</v>
      </c>
      <c r="D493" t="s">
        <v>2406</v>
      </c>
      <c r="E493" t="s">
        <v>1043</v>
      </c>
      <c r="F493" t="s">
        <v>2407</v>
      </c>
    </row>
    <row r="494">
      <c r="A494" t="n">
        <v>4</v>
      </c>
      <c r="B494" t="s">
        <v>2408</v>
      </c>
      <c r="C494" t="str">
        <f t="shared" si="8"/>
        <v>Joinery installation</v>
      </c>
      <c r="D494" t="s">
        <v>2409</v>
      </c>
      <c r="E494" t="s">
        <v>1043</v>
      </c>
      <c r="F494" t="s">
        <v>2410</v>
      </c>
    </row>
    <row r="495">
      <c r="A495" t="n">
        <v>4</v>
      </c>
      <c r="B495" t="s">
        <v>2411</v>
      </c>
      <c r="C495" t="str">
        <f t="shared" si="8"/>
        <v>Floor and wall covering</v>
      </c>
      <c r="D495" t="s">
        <v>2412</v>
      </c>
      <c r="E495" t="s">
        <v>1043</v>
      </c>
      <c r="F495" t="s">
        <v>2413</v>
      </c>
    </row>
    <row r="496">
      <c r="A496" t="n">
        <v>4</v>
      </c>
      <c r="B496" t="s">
        <v>2414</v>
      </c>
      <c r="C496" t="str">
        <f t="shared" si="8"/>
        <v>Painting and glazing</v>
      </c>
      <c r="D496" t="s">
        <v>2415</v>
      </c>
      <c r="E496" t="s">
        <v>1043</v>
      </c>
      <c r="F496" t="s">
        <v>2416</v>
      </c>
    </row>
    <row r="497">
      <c r="A497" t="n">
        <v>4</v>
      </c>
      <c r="B497" t="s">
        <v>2417</v>
      </c>
      <c r="C497" t="str">
        <f t="shared" si="8"/>
        <v>Other building completion and finishing</v>
      </c>
      <c r="D497" t="s">
        <v>2418</v>
      </c>
      <c r="E497" t="s">
        <v>1043</v>
      </c>
      <c r="F497" t="s">
        <v>2419</v>
      </c>
    </row>
    <row r="498">
      <c r="A498" t="n">
        <v>3</v>
      </c>
      <c r="B498" t="s">
        <v>1046</v>
      </c>
      <c r="C498" t="str">
        <f t="shared" si="8"/>
        <v>Other specialised construction activities</v>
      </c>
      <c r="D498" t="s">
        <v>1047</v>
      </c>
      <c r="E498" t="s">
        <v>52</v>
      </c>
      <c r="F498" t="s">
        <v>1048</v>
      </c>
    </row>
    <row r="499">
      <c r="A499" t="n">
        <v>4</v>
      </c>
      <c r="B499" t="s">
        <v>2420</v>
      </c>
      <c r="C499" t="str">
        <f t="shared" si="8"/>
        <v>Roofing activities</v>
      </c>
      <c r="D499" t="s">
        <v>2421</v>
      </c>
      <c r="E499" t="s">
        <v>1046</v>
      </c>
      <c r="F499" t="s">
        <v>2422</v>
      </c>
    </row>
    <row r="500">
      <c r="A500" t="n">
        <v>4</v>
      </c>
      <c r="B500" t="s">
        <v>2423</v>
      </c>
      <c r="C500" t="str">
        <f t="shared" si="8"/>
        <v>Other specialised construction activities n.e.c.</v>
      </c>
      <c r="D500" t="s">
        <v>2424</v>
      </c>
      <c r="E500" t="s">
        <v>1046</v>
      </c>
      <c r="F500" t="s">
        <v>2425</v>
      </c>
    </row>
    <row r="501">
      <c r="A501" t="n">
        <v>2</v>
      </c>
      <c r="B501" t="s">
        <v>56</v>
      </c>
      <c r="C501" t="str">
        <f t="shared" si="8"/>
        <v>Wholesale and retail trade and repair of motor vehicles and motorcycles</v>
      </c>
      <c r="D501" t="s">
        <v>501</v>
      </c>
      <c r="E501" t="s">
        <v>359</v>
      </c>
      <c r="F501" t="s">
        <v>502</v>
      </c>
    </row>
    <row r="502">
      <c r="A502" t="n">
        <v>3</v>
      </c>
      <c r="B502" t="s">
        <v>1049</v>
      </c>
      <c r="C502" t="str">
        <f t="shared" si="8"/>
        <v>Sale of motor vehicles</v>
      </c>
      <c r="D502" t="s">
        <v>1050</v>
      </c>
      <c r="E502" t="s">
        <v>56</v>
      </c>
      <c r="F502" t="s">
        <v>1051</v>
      </c>
    </row>
    <row r="503">
      <c r="A503" t="n">
        <v>4</v>
      </c>
      <c r="B503" t="s">
        <v>2426</v>
      </c>
      <c r="C503" t="str">
        <f t="shared" si="8"/>
        <v>Sale of cars and light motor vehicles</v>
      </c>
      <c r="D503" t="s">
        <v>2427</v>
      </c>
      <c r="E503" t="s">
        <v>1049</v>
      </c>
      <c r="F503" t="s">
        <v>2428</v>
      </c>
    </row>
    <row r="504">
      <c r="A504" t="n">
        <v>4</v>
      </c>
      <c r="B504" t="s">
        <v>2429</v>
      </c>
      <c r="C504" t="str">
        <f t="shared" si="8"/>
        <v>Sale of other motor vehicles</v>
      </c>
      <c r="D504" t="s">
        <v>2430</v>
      </c>
      <c r="E504" t="s">
        <v>1049</v>
      </c>
      <c r="F504" t="s">
        <v>2431</v>
      </c>
    </row>
    <row r="505">
      <c r="A505" t="n">
        <v>3</v>
      </c>
      <c r="B505" t="s">
        <v>1052</v>
      </c>
      <c r="C505" t="str">
        <f t="shared" si="8"/>
        <v>Maintenance and repair of motor vehicles</v>
      </c>
      <c r="D505" t="s">
        <v>1053</v>
      </c>
      <c r="E505" t="s">
        <v>56</v>
      </c>
      <c r="F505" t="s">
        <v>1054</v>
      </c>
    </row>
    <row r="506">
      <c r="A506" t="n">
        <v>4</v>
      </c>
      <c r="B506" t="s">
        <v>2432</v>
      </c>
      <c r="C506" t="str">
        <f t="shared" si="8"/>
        <v>Maintenance and repair of motor vehicles</v>
      </c>
      <c r="D506" t="s">
        <v>2433</v>
      </c>
      <c r="E506" t="s">
        <v>1052</v>
      </c>
      <c r="F506" t="s">
        <v>2434</v>
      </c>
    </row>
    <row r="507">
      <c r="A507" t="n">
        <v>3</v>
      </c>
      <c r="B507" t="s">
        <v>1055</v>
      </c>
      <c r="C507" t="str">
        <f t="shared" si="8"/>
        <v>Sale of motor vehicle parts and accessories</v>
      </c>
      <c r="D507" t="s">
        <v>1056</v>
      </c>
      <c r="E507" t="s">
        <v>56</v>
      </c>
      <c r="F507" t="s">
        <v>1057</v>
      </c>
    </row>
    <row r="508">
      <c r="A508" t="n">
        <v>4</v>
      </c>
      <c r="B508" t="s">
        <v>2435</v>
      </c>
      <c r="C508" t="str">
        <f t="shared" si="8"/>
        <v>Wholesale trade of motor vehicle parts and accessories</v>
      </c>
      <c r="D508" t="s">
        <v>2436</v>
      </c>
      <c r="E508" t="s">
        <v>1055</v>
      </c>
      <c r="F508" t="s">
        <v>2437</v>
      </c>
    </row>
    <row r="509">
      <c r="A509" t="n">
        <v>4</v>
      </c>
      <c r="B509" t="s">
        <v>2438</v>
      </c>
      <c r="C509" t="str">
        <f t="shared" si="8"/>
        <v>Retail trade of motor vehicle parts and accessories</v>
      </c>
      <c r="D509" t="s">
        <v>2439</v>
      </c>
      <c r="E509" t="s">
        <v>1055</v>
      </c>
      <c r="F509" t="s">
        <v>2440</v>
      </c>
    </row>
    <row r="510">
      <c r="A510" t="n">
        <v>3</v>
      </c>
      <c r="B510" t="s">
        <v>1058</v>
      </c>
      <c r="C510" t="str">
        <f t="shared" si="8"/>
        <v>Sale, maintenance and repair of motorcycles and related parts and accessories</v>
      </c>
      <c r="D510" t="s">
        <v>1059</v>
      </c>
      <c r="E510" t="s">
        <v>56</v>
      </c>
      <c r="F510" t="s">
        <v>1060</v>
      </c>
    </row>
    <row r="511">
      <c r="A511" t="n">
        <v>4</v>
      </c>
      <c r="B511" t="s">
        <v>2441</v>
      </c>
      <c r="C511" t="str">
        <f t="shared" si="8"/>
        <v>Sale, maintenance and repair of motorcycles and related parts and accessories</v>
      </c>
      <c r="D511" t="s">
        <v>2442</v>
      </c>
      <c r="E511" t="s">
        <v>1058</v>
      </c>
      <c r="F511" t="s">
        <v>2443</v>
      </c>
    </row>
    <row r="512">
      <c r="A512" t="n">
        <v>2</v>
      </c>
      <c r="B512" t="s">
        <v>503</v>
      </c>
      <c r="C512" t="str">
        <f t="shared" si="8"/>
        <v>Wholesale trade, except of motor vehicles and motorcycles</v>
      </c>
      <c r="D512" t="s">
        <v>504</v>
      </c>
      <c r="E512" t="s">
        <v>359</v>
      </c>
      <c r="F512" t="s">
        <v>505</v>
      </c>
    </row>
    <row r="513">
      <c r="A513" t="n">
        <v>3</v>
      </c>
      <c r="B513" t="s">
        <v>1061</v>
      </c>
      <c r="C513" t="str">
        <f t="shared" si="8"/>
        <v>Wholesale on a fee or contract basis</v>
      </c>
      <c r="D513" t="s">
        <v>1062</v>
      </c>
      <c r="E513" t="s">
        <v>503</v>
      </c>
      <c r="F513" t="s">
        <v>1063</v>
      </c>
    </row>
    <row r="514">
      <c r="A514" t="n">
        <v>4</v>
      </c>
      <c r="B514" t="s">
        <v>2444</v>
      </c>
      <c r="C514" t="str">
        <f t="shared" si="8"/>
        <v>Agents involved in the sale of agricultural raw materials, live animals, textile raw materials and semi-finished goods</v>
      </c>
      <c r="D514" t="s">
        <v>2445</v>
      </c>
      <c r="E514" t="s">
        <v>1061</v>
      </c>
      <c r="F514" t="s">
        <v>2446</v>
      </c>
    </row>
    <row r="515">
      <c r="A515" t="n">
        <v>4</v>
      </c>
      <c r="B515" t="s">
        <v>2447</v>
      </c>
      <c r="C515" t="str">
        <f t="shared" si="8"/>
        <v>Agents involved in the sale of fuels, ores, metals and industrial chemicals</v>
      </c>
      <c r="D515" t="s">
        <v>2448</v>
      </c>
      <c r="E515" t="s">
        <v>1061</v>
      </c>
      <c r="F515" t="s">
        <v>2449</v>
      </c>
    </row>
    <row r="516">
      <c r="A516" t="n">
        <v>4</v>
      </c>
      <c r="B516" t="s">
        <v>2450</v>
      </c>
      <c r="C516" t="str">
        <f t="shared" si="8"/>
        <v>Agents involved in the sale of timber and building materials</v>
      </c>
      <c r="D516" t="s">
        <v>2451</v>
      </c>
      <c r="E516" t="s">
        <v>1061</v>
      </c>
      <c r="F516" t="s">
        <v>2452</v>
      </c>
    </row>
    <row r="517">
      <c r="A517" t="n">
        <v>4</v>
      </c>
      <c r="B517" t="s">
        <v>2453</v>
      </c>
      <c r="C517" t="str">
        <f t="shared" si="8"/>
        <v>Agents involved in the sale of machinery, industrial equipment, ships and aircraft</v>
      </c>
      <c r="D517" t="s">
        <v>2454</v>
      </c>
      <c r="E517" t="s">
        <v>1061</v>
      </c>
      <c r="F517" t="s">
        <v>2455</v>
      </c>
    </row>
    <row r="518">
      <c r="A518" t="n">
        <v>4</v>
      </c>
      <c r="B518" t="s">
        <v>2456</v>
      </c>
      <c r="C518" t="str">
        <f t="shared" si="8"/>
        <v>Agents involved in the sale of furniture, household goods, hardware and ironmongery</v>
      </c>
      <c r="D518" t="s">
        <v>2457</v>
      </c>
      <c r="E518" t="s">
        <v>1061</v>
      </c>
      <c r="F518" t="s">
        <v>2458</v>
      </c>
    </row>
    <row r="519">
      <c r="A519" t="n">
        <v>4</v>
      </c>
      <c r="B519" t="s">
        <v>2459</v>
      </c>
      <c r="C519" t="str">
        <f t="shared" si="8"/>
        <v>Agents involved in the sale of textiles, clothing, fur, footwear and leather goods</v>
      </c>
      <c r="D519" t="s">
        <v>2460</v>
      </c>
      <c r="E519" t="s">
        <v>1061</v>
      </c>
      <c r="F519" t="s">
        <v>2461</v>
      </c>
    </row>
    <row r="520">
      <c r="A520" t="n">
        <v>4</v>
      </c>
      <c r="B520" t="s">
        <v>2462</v>
      </c>
      <c r="C520" t="str">
        <f t="shared" si="8"/>
        <v>Agents involved in the sale of food, beverages and tobacco</v>
      </c>
      <c r="D520" t="s">
        <v>2463</v>
      </c>
      <c r="E520" t="s">
        <v>1061</v>
      </c>
      <c r="F520" t="s">
        <v>2464</v>
      </c>
    </row>
    <row r="521">
      <c r="A521" t="n">
        <v>4</v>
      </c>
      <c r="B521" t="s">
        <v>2465</v>
      </c>
      <c r="C521" t="str">
        <f t="shared" si="8"/>
        <v>Agents specialised in the sale of other particular products</v>
      </c>
      <c r="D521" t="s">
        <v>2466</v>
      </c>
      <c r="E521" t="s">
        <v>1061</v>
      </c>
      <c r="F521" t="s">
        <v>2467</v>
      </c>
    </row>
    <row r="522">
      <c r="A522" t="n">
        <v>4</v>
      </c>
      <c r="B522" t="s">
        <v>2468</v>
      </c>
      <c r="C522" t="str">
        <f t="shared" si="8"/>
        <v>Agents involved in the sale of a variety of goods</v>
      </c>
      <c r="D522" t="s">
        <v>2469</v>
      </c>
      <c r="E522" t="s">
        <v>1061</v>
      </c>
      <c r="F522" t="s">
        <v>2470</v>
      </c>
    </row>
    <row r="523">
      <c r="A523" t="n">
        <v>3</v>
      </c>
      <c r="B523" t="s">
        <v>1064</v>
      </c>
      <c r="C523" t="str">
        <f t="shared" si="8"/>
        <v>Wholesale of agricultural raw materials and live animals</v>
      </c>
      <c r="D523" t="s">
        <v>1065</v>
      </c>
      <c r="E523" t="s">
        <v>503</v>
      </c>
      <c r="F523" t="s">
        <v>1066</v>
      </c>
    </row>
    <row r="524">
      <c r="A524" t="n">
        <v>4</v>
      </c>
      <c r="B524" t="s">
        <v>2471</v>
      </c>
      <c r="C524" t="str">
        <f t="shared" si="8"/>
        <v>Wholesale of grain, unmanufactured tobacco, seeds and animal feeds</v>
      </c>
      <c r="D524" t="s">
        <v>2472</v>
      </c>
      <c r="E524" t="s">
        <v>1064</v>
      </c>
      <c r="F524" t="s">
        <v>2473</v>
      </c>
    </row>
    <row r="525">
      <c r="A525" t="n">
        <v>4</v>
      </c>
      <c r="B525" t="s">
        <v>2474</v>
      </c>
      <c r="C525" t="str">
        <f t="shared" si="8"/>
        <v>Wholesale of flowers and plants</v>
      </c>
      <c r="D525" t="s">
        <v>2475</v>
      </c>
      <c r="E525" t="s">
        <v>1064</v>
      </c>
      <c r="F525" t="s">
        <v>2476</v>
      </c>
    </row>
    <row r="526">
      <c r="A526" t="n">
        <v>4</v>
      </c>
      <c r="B526" t="s">
        <v>2477</v>
      </c>
      <c r="C526" t="str">
        <f t="shared" si="8"/>
        <v>Wholesale of live animals</v>
      </c>
      <c r="D526" t="s">
        <v>2478</v>
      </c>
      <c r="E526" t="s">
        <v>1064</v>
      </c>
      <c r="F526" t="s">
        <v>2479</v>
      </c>
    </row>
    <row r="527">
      <c r="A527" t="n">
        <v>4</v>
      </c>
      <c r="B527" t="s">
        <v>2480</v>
      </c>
      <c r="C527" t="str">
        <f t="shared" si="8"/>
        <v>Wholesale of hides, skins and leather</v>
      </c>
      <c r="D527" t="s">
        <v>2481</v>
      </c>
      <c r="E527" t="s">
        <v>1064</v>
      </c>
      <c r="F527" t="s">
        <v>2482</v>
      </c>
    </row>
    <row r="528">
      <c r="A528" t="n">
        <v>3</v>
      </c>
      <c r="B528" t="s">
        <v>1067</v>
      </c>
      <c r="C528" t="str">
        <f t="shared" si="8"/>
        <v>Wholesale of food, beverages and tobacco</v>
      </c>
      <c r="D528" t="s">
        <v>1068</v>
      </c>
      <c r="E528" t="s">
        <v>503</v>
      </c>
      <c r="F528" t="s">
        <v>1069</v>
      </c>
    </row>
    <row r="529">
      <c r="A529" t="n">
        <v>4</v>
      </c>
      <c r="B529" t="s">
        <v>2483</v>
      </c>
      <c r="C529" t="str">
        <f t="shared" si="8"/>
        <v>Wholesale of fruit and vegetables</v>
      </c>
      <c r="D529" t="s">
        <v>2484</v>
      </c>
      <c r="E529" t="s">
        <v>1067</v>
      </c>
      <c r="F529" t="s">
        <v>2485</v>
      </c>
    </row>
    <row r="530">
      <c r="A530" t="n">
        <v>4</v>
      </c>
      <c r="B530" t="s">
        <v>2486</v>
      </c>
      <c r="C530" t="str">
        <f t="shared" si="8"/>
        <v>Wholesale of meat and meat products</v>
      </c>
      <c r="D530" t="s">
        <v>2487</v>
      </c>
      <c r="E530" t="s">
        <v>1067</v>
      </c>
      <c r="F530" t="s">
        <v>2488</v>
      </c>
    </row>
    <row r="531">
      <c r="A531" t="n">
        <v>4</v>
      </c>
      <c r="B531" t="s">
        <v>2489</v>
      </c>
      <c r="C531" t="str">
        <f t="shared" si="8"/>
        <v>Wholesale of dairy products, eggs and edible oils and fats</v>
      </c>
      <c r="D531" t="s">
        <v>2490</v>
      </c>
      <c r="E531" t="s">
        <v>1067</v>
      </c>
      <c r="F531" t="s">
        <v>2491</v>
      </c>
    </row>
    <row r="532">
      <c r="A532" t="n">
        <v>4</v>
      </c>
      <c r="B532" t="s">
        <v>2492</v>
      </c>
      <c r="C532" t="str">
        <f t="shared" si="8"/>
        <v>Wholesale of beverages</v>
      </c>
      <c r="D532" t="s">
        <v>2493</v>
      </c>
      <c r="E532" t="s">
        <v>1067</v>
      </c>
      <c r="F532" t="s">
        <v>2494</v>
      </c>
    </row>
    <row r="533">
      <c r="A533" t="n">
        <v>4</v>
      </c>
      <c r="B533" t="s">
        <v>2495</v>
      </c>
      <c r="C533" t="str">
        <f t="shared" si="8"/>
        <v>Wholesale of tobacco products</v>
      </c>
      <c r="D533" t="s">
        <v>2496</v>
      </c>
      <c r="E533" t="s">
        <v>1067</v>
      </c>
      <c r="F533" t="s">
        <v>2497</v>
      </c>
    </row>
    <row r="534">
      <c r="A534" t="n">
        <v>4</v>
      </c>
      <c r="B534" t="s">
        <v>2498</v>
      </c>
      <c r="C534" t="str">
        <f t="shared" si="8"/>
        <v>Wholesale of sugar and chocolate and sugar confectionery</v>
      </c>
      <c r="D534" t="s">
        <v>2499</v>
      </c>
      <c r="E534" t="s">
        <v>1067</v>
      </c>
      <c r="F534" t="s">
        <v>2500</v>
      </c>
    </row>
    <row r="535">
      <c r="A535" t="n">
        <v>4</v>
      </c>
      <c r="B535" t="s">
        <v>2501</v>
      </c>
      <c r="C535" t="str">
        <f t="shared" si="8"/>
        <v>Wholesale of coffee, tea, cocoa and spices</v>
      </c>
      <c r="D535" t="s">
        <v>2502</v>
      </c>
      <c r="E535" t="s">
        <v>1067</v>
      </c>
      <c r="F535" t="s">
        <v>2503</v>
      </c>
    </row>
    <row r="536">
      <c r="A536" t="n">
        <v>4</v>
      </c>
      <c r="B536" t="s">
        <v>2504</v>
      </c>
      <c r="C536" t="str">
        <f t="shared" si="8"/>
        <v>Wholesale of other food, including fish, crustaceans and molluscs</v>
      </c>
      <c r="D536" t="s">
        <v>2505</v>
      </c>
      <c r="E536" t="s">
        <v>1067</v>
      </c>
      <c r="F536" t="s">
        <v>2506</v>
      </c>
    </row>
    <row r="537">
      <c r="A537" t="n">
        <v>4</v>
      </c>
      <c r="B537" t="s">
        <v>2507</v>
      </c>
      <c r="C537" t="str">
        <f t="shared" si="8"/>
        <v>Non-specialised wholesale of food, beverages and tobacco</v>
      </c>
      <c r="D537" t="s">
        <v>2508</v>
      </c>
      <c r="E537" t="s">
        <v>1067</v>
      </c>
      <c r="F537" t="s">
        <v>2509</v>
      </c>
    </row>
    <row r="538">
      <c r="A538" t="n">
        <v>3</v>
      </c>
      <c r="B538" t="s">
        <v>1070</v>
      </c>
      <c r="C538" t="str">
        <f t="shared" ref="C538:C601" si="9">IF(A538=1,RIGHT(D538,LEN(D538)-2),IF(A538=2,RIGHT(D538,LEN(D538)-3),IF(A538=3,RIGHT(D538,LEN(D538)-5),RIGHT(D538,LEN(D538)-6))))</f>
        <v>Wholesale of household goods</v>
      </c>
      <c r="D538" t="s">
        <v>1071</v>
      </c>
      <c r="E538" t="s">
        <v>503</v>
      </c>
      <c r="F538" t="s">
        <v>1072</v>
      </c>
    </row>
    <row r="539">
      <c r="A539" t="n">
        <v>4</v>
      </c>
      <c r="B539" t="s">
        <v>2510</v>
      </c>
      <c r="C539" t="str">
        <f t="shared" si="9"/>
        <v>Wholesale of textiles</v>
      </c>
      <c r="D539" t="s">
        <v>2511</v>
      </c>
      <c r="E539" t="s">
        <v>1070</v>
      </c>
      <c r="F539" t="s">
        <v>2512</v>
      </c>
    </row>
    <row r="540">
      <c r="A540" t="n">
        <v>4</v>
      </c>
      <c r="B540" t="s">
        <v>2513</v>
      </c>
      <c r="C540" t="str">
        <f t="shared" si="9"/>
        <v>Wholesale of clothing and footwear</v>
      </c>
      <c r="D540" t="s">
        <v>2514</v>
      </c>
      <c r="E540" t="s">
        <v>1070</v>
      </c>
      <c r="F540" t="s">
        <v>2515</v>
      </c>
    </row>
    <row r="541">
      <c r="A541" t="n">
        <v>4</v>
      </c>
      <c r="B541" t="s">
        <v>2516</v>
      </c>
      <c r="C541" t="str">
        <f t="shared" si="9"/>
        <v>Wholesale of electrical household appliances</v>
      </c>
      <c r="D541" t="s">
        <v>2517</v>
      </c>
      <c r="E541" t="s">
        <v>1070</v>
      </c>
      <c r="F541" t="s">
        <v>2518</v>
      </c>
    </row>
    <row r="542">
      <c r="A542" t="n">
        <v>4</v>
      </c>
      <c r="B542" t="s">
        <v>2519</v>
      </c>
      <c r="C542" t="str">
        <f t="shared" si="9"/>
        <v>Wholesale of china and glassware and cleaning materials</v>
      </c>
      <c r="D542" t="s">
        <v>2520</v>
      </c>
      <c r="E542" t="s">
        <v>1070</v>
      </c>
      <c r="F542" t="s">
        <v>2521</v>
      </c>
    </row>
    <row r="543">
      <c r="A543" t="n">
        <v>4</v>
      </c>
      <c r="B543" t="s">
        <v>2522</v>
      </c>
      <c r="C543" t="str">
        <f t="shared" si="9"/>
        <v>Wholesale of perfume and cosmetics</v>
      </c>
      <c r="D543" t="s">
        <v>2523</v>
      </c>
      <c r="E543" t="s">
        <v>1070</v>
      </c>
      <c r="F543" t="s">
        <v>2524</v>
      </c>
    </row>
    <row r="544">
      <c r="A544" t="n">
        <v>4</v>
      </c>
      <c r="B544" t="s">
        <v>2525</v>
      </c>
      <c r="C544" t="str">
        <f t="shared" si="9"/>
        <v>Wholesale of pharmaceutical goods</v>
      </c>
      <c r="D544" t="s">
        <v>2526</v>
      </c>
      <c r="E544" t="s">
        <v>1070</v>
      </c>
      <c r="F544" t="s">
        <v>2527</v>
      </c>
    </row>
    <row r="545">
      <c r="A545" t="n">
        <v>4</v>
      </c>
      <c r="B545" t="s">
        <v>2528</v>
      </c>
      <c r="C545" t="str">
        <f t="shared" si="9"/>
        <v>Wholesale of furniture, carpets and lighting equipment</v>
      </c>
      <c r="D545" t="s">
        <v>2529</v>
      </c>
      <c r="E545" t="s">
        <v>1070</v>
      </c>
      <c r="F545" t="s">
        <v>2530</v>
      </c>
    </row>
    <row r="546">
      <c r="A546" t="n">
        <v>4</v>
      </c>
      <c r="B546" t="s">
        <v>2531</v>
      </c>
      <c r="C546" t="str">
        <f t="shared" si="9"/>
        <v>Wholesale of watches and jewellery</v>
      </c>
      <c r="D546" t="s">
        <v>2532</v>
      </c>
      <c r="E546" t="s">
        <v>1070</v>
      </c>
      <c r="F546" t="s">
        <v>2533</v>
      </c>
    </row>
    <row r="547">
      <c r="A547" t="n">
        <v>4</v>
      </c>
      <c r="B547" t="s">
        <v>2534</v>
      </c>
      <c r="C547" t="str">
        <f t="shared" si="9"/>
        <v>Wholesale of other household goods</v>
      </c>
      <c r="D547" t="s">
        <v>2535</v>
      </c>
      <c r="E547" t="s">
        <v>1070</v>
      </c>
      <c r="F547" t="s">
        <v>2536</v>
      </c>
    </row>
    <row r="548">
      <c r="A548" t="n">
        <v>3</v>
      </c>
      <c r="B548" t="s">
        <v>1073</v>
      </c>
      <c r="C548" t="str">
        <f t="shared" si="9"/>
        <v>Wholesale of information and communication equipment</v>
      </c>
      <c r="D548" t="s">
        <v>1074</v>
      </c>
      <c r="E548" t="s">
        <v>503</v>
      </c>
      <c r="F548" t="s">
        <v>1075</v>
      </c>
    </row>
    <row r="549">
      <c r="A549" t="n">
        <v>4</v>
      </c>
      <c r="B549" t="s">
        <v>2537</v>
      </c>
      <c r="C549" t="str">
        <f t="shared" si="9"/>
        <v>Wholesale of computers, computer peripheral equipment and software</v>
      </c>
      <c r="D549" t="s">
        <v>2538</v>
      </c>
      <c r="E549" t="s">
        <v>1073</v>
      </c>
      <c r="F549" t="s">
        <v>2539</v>
      </c>
    </row>
    <row r="550">
      <c r="A550" t="n">
        <v>4</v>
      </c>
      <c r="B550" t="s">
        <v>2540</v>
      </c>
      <c r="C550" t="str">
        <f t="shared" si="9"/>
        <v>Wholesale of electronic and telecommunications equipment and parts</v>
      </c>
      <c r="D550" t="s">
        <v>2541</v>
      </c>
      <c r="E550" t="s">
        <v>1073</v>
      </c>
      <c r="F550" t="s">
        <v>2542</v>
      </c>
    </row>
    <row r="551">
      <c r="A551" t="n">
        <v>3</v>
      </c>
      <c r="B551" t="s">
        <v>1076</v>
      </c>
      <c r="C551" t="str">
        <f t="shared" si="9"/>
        <v>Wholesale of other machinery, equipment and supplies</v>
      </c>
      <c r="D551" t="s">
        <v>1077</v>
      </c>
      <c r="E551" t="s">
        <v>503</v>
      </c>
      <c r="F551" t="s">
        <v>1078</v>
      </c>
    </row>
    <row r="552">
      <c r="A552" t="n">
        <v>4</v>
      </c>
      <c r="B552" t="s">
        <v>2543</v>
      </c>
      <c r="C552" t="str">
        <f t="shared" si="9"/>
        <v>Wholesale of agricultural machinery, equipment and supplies</v>
      </c>
      <c r="D552" t="s">
        <v>2544</v>
      </c>
      <c r="E552" t="s">
        <v>1076</v>
      </c>
      <c r="F552" t="s">
        <v>2545</v>
      </c>
    </row>
    <row r="553">
      <c r="A553" t="n">
        <v>4</v>
      </c>
      <c r="B553" t="s">
        <v>2546</v>
      </c>
      <c r="C553" t="str">
        <f t="shared" si="9"/>
        <v>Wholesale of machine tools</v>
      </c>
      <c r="D553" t="s">
        <v>2547</v>
      </c>
      <c r="E553" t="s">
        <v>1076</v>
      </c>
      <c r="F553" t="s">
        <v>2548</v>
      </c>
    </row>
    <row r="554">
      <c r="A554" t="n">
        <v>4</v>
      </c>
      <c r="B554" t="s">
        <v>2549</v>
      </c>
      <c r="C554" t="str">
        <f t="shared" si="9"/>
        <v>Wholesale of mining, construction and civil engineering machinery</v>
      </c>
      <c r="D554" t="s">
        <v>2550</v>
      </c>
      <c r="E554" t="s">
        <v>1076</v>
      </c>
      <c r="F554" t="s">
        <v>2551</v>
      </c>
    </row>
    <row r="555">
      <c r="A555" t="n">
        <v>4</v>
      </c>
      <c r="B555" t="s">
        <v>2552</v>
      </c>
      <c r="C555" t="str">
        <f t="shared" si="9"/>
        <v>Wholesale of machinery for the textile industry and of sewing and knitting machines</v>
      </c>
      <c r="D555" t="s">
        <v>2553</v>
      </c>
      <c r="E555" t="s">
        <v>1076</v>
      </c>
      <c r="F555" t="s">
        <v>2554</v>
      </c>
    </row>
    <row r="556">
      <c r="A556" t="n">
        <v>4</v>
      </c>
      <c r="B556" t="s">
        <v>2555</v>
      </c>
      <c r="C556" t="str">
        <f t="shared" si="9"/>
        <v>Wholesale of office furniture</v>
      </c>
      <c r="D556" t="s">
        <v>2556</v>
      </c>
      <c r="E556" t="s">
        <v>1076</v>
      </c>
      <c r="F556" t="s">
        <v>2557</v>
      </c>
    </row>
    <row r="557">
      <c r="A557" t="n">
        <v>4</v>
      </c>
      <c r="B557" t="s">
        <v>2558</v>
      </c>
      <c r="C557" t="str">
        <f t="shared" si="9"/>
        <v>Wholesale of other office machinery and equipment</v>
      </c>
      <c r="D557" t="s">
        <v>2559</v>
      </c>
      <c r="E557" t="s">
        <v>1076</v>
      </c>
      <c r="F557" t="s">
        <v>2560</v>
      </c>
    </row>
    <row r="558">
      <c r="A558" t="n">
        <v>4</v>
      </c>
      <c r="B558" t="s">
        <v>2561</v>
      </c>
      <c r="C558" t="str">
        <f t="shared" si="9"/>
        <v>Wholesale of other machinery and equipment</v>
      </c>
      <c r="D558" t="s">
        <v>2562</v>
      </c>
      <c r="E558" t="s">
        <v>1076</v>
      </c>
      <c r="F558" t="s">
        <v>2563</v>
      </c>
    </row>
    <row r="559">
      <c r="A559" t="n">
        <v>3</v>
      </c>
      <c r="B559" t="s">
        <v>1079</v>
      </c>
      <c r="C559" t="str">
        <f t="shared" si="9"/>
        <v>Other specialised wholesale</v>
      </c>
      <c r="D559" t="s">
        <v>1080</v>
      </c>
      <c r="E559" t="s">
        <v>503</v>
      </c>
      <c r="F559" t="s">
        <v>1081</v>
      </c>
    </row>
    <row r="560">
      <c r="A560" t="n">
        <v>4</v>
      </c>
      <c r="B560" t="s">
        <v>2564</v>
      </c>
      <c r="C560" t="str">
        <f t="shared" si="9"/>
        <v>Wholesale of solid, liquid and gaseous fuels and related products</v>
      </c>
      <c r="D560" t="s">
        <v>2565</v>
      </c>
      <c r="E560" t="s">
        <v>1079</v>
      </c>
      <c r="F560" t="s">
        <v>2566</v>
      </c>
    </row>
    <row r="561">
      <c r="A561" t="n">
        <v>4</v>
      </c>
      <c r="B561" t="s">
        <v>2567</v>
      </c>
      <c r="C561" t="str">
        <f t="shared" si="9"/>
        <v>Wholesale of metals and metal ores</v>
      </c>
      <c r="D561" t="s">
        <v>2568</v>
      </c>
      <c r="E561" t="s">
        <v>1079</v>
      </c>
      <c r="F561" t="s">
        <v>2569</v>
      </c>
    </row>
    <row r="562">
      <c r="A562" t="n">
        <v>4</v>
      </c>
      <c r="B562" t="s">
        <v>2570</v>
      </c>
      <c r="C562" t="str">
        <f t="shared" si="9"/>
        <v>Wholesale of wood, construction materials and sanitary equipment</v>
      </c>
      <c r="D562" t="s">
        <v>2571</v>
      </c>
      <c r="E562" t="s">
        <v>1079</v>
      </c>
      <c r="F562" t="s">
        <v>2572</v>
      </c>
    </row>
    <row r="563">
      <c r="A563" t="n">
        <v>4</v>
      </c>
      <c r="B563" t="s">
        <v>2573</v>
      </c>
      <c r="C563" t="str">
        <f t="shared" si="9"/>
        <v>Wholesale of hardware, plumbing and heating equipment and supplies</v>
      </c>
      <c r="D563" t="s">
        <v>2574</v>
      </c>
      <c r="E563" t="s">
        <v>1079</v>
      </c>
      <c r="F563" t="s">
        <v>2575</v>
      </c>
    </row>
    <row r="564">
      <c r="A564" t="n">
        <v>4</v>
      </c>
      <c r="B564" t="s">
        <v>2576</v>
      </c>
      <c r="C564" t="str">
        <f t="shared" si="9"/>
        <v>Wholesale of chemical products</v>
      </c>
      <c r="D564" t="s">
        <v>2577</v>
      </c>
      <c r="E564" t="s">
        <v>1079</v>
      </c>
      <c r="F564" t="s">
        <v>2578</v>
      </c>
    </row>
    <row r="565">
      <c r="A565" t="n">
        <v>4</v>
      </c>
      <c r="B565" t="s">
        <v>2579</v>
      </c>
      <c r="C565" t="str">
        <f t="shared" si="9"/>
        <v>Wholesale of other intermediate products</v>
      </c>
      <c r="D565" t="s">
        <v>2580</v>
      </c>
      <c r="E565" t="s">
        <v>1079</v>
      </c>
      <c r="F565" t="s">
        <v>2581</v>
      </c>
    </row>
    <row r="566">
      <c r="A566" t="n">
        <v>4</v>
      </c>
      <c r="B566" t="s">
        <v>2582</v>
      </c>
      <c r="C566" t="str">
        <f t="shared" si="9"/>
        <v>Wholesale of waste and scrap</v>
      </c>
      <c r="D566" t="s">
        <v>2583</v>
      </c>
      <c r="E566" t="s">
        <v>1079</v>
      </c>
      <c r="F566" t="s">
        <v>2584</v>
      </c>
    </row>
    <row r="567">
      <c r="A567" t="n">
        <v>3</v>
      </c>
      <c r="B567" t="s">
        <v>1082</v>
      </c>
      <c r="C567" t="str">
        <f t="shared" si="9"/>
        <v>Non-specialised wholesale trade</v>
      </c>
      <c r="D567" t="s">
        <v>1083</v>
      </c>
      <c r="E567" t="s">
        <v>503</v>
      </c>
      <c r="F567" t="s">
        <v>1084</v>
      </c>
    </row>
    <row r="568">
      <c r="A568" t="n">
        <v>4</v>
      </c>
      <c r="B568" t="s">
        <v>2585</v>
      </c>
      <c r="C568" t="str">
        <f t="shared" si="9"/>
        <v>Non-specialised wholesale trade</v>
      </c>
      <c r="D568" t="s">
        <v>2586</v>
      </c>
      <c r="E568" t="s">
        <v>1082</v>
      </c>
      <c r="F568" t="s">
        <v>2587</v>
      </c>
    </row>
    <row r="569">
      <c r="A569" t="n">
        <v>2</v>
      </c>
      <c r="B569" t="s">
        <v>506</v>
      </c>
      <c r="C569" t="str">
        <f t="shared" si="9"/>
        <v>Retail trade, except of motor vehicles and motorcycles</v>
      </c>
      <c r="D569" t="s">
        <v>507</v>
      </c>
      <c r="E569" t="s">
        <v>359</v>
      </c>
      <c r="F569" t="s">
        <v>508</v>
      </c>
    </row>
    <row r="570">
      <c r="A570" t="n">
        <v>3</v>
      </c>
      <c r="B570" t="s">
        <v>1085</v>
      </c>
      <c r="C570" t="str">
        <f t="shared" si="9"/>
        <v>Retail sale in non-specialised stores</v>
      </c>
      <c r="D570" t="s">
        <v>1086</v>
      </c>
      <c r="E570" t="s">
        <v>506</v>
      </c>
      <c r="F570" t="s">
        <v>1087</v>
      </c>
    </row>
    <row r="571">
      <c r="A571" t="n">
        <v>4</v>
      </c>
      <c r="B571" t="s">
        <v>2588</v>
      </c>
      <c r="C571" t="str">
        <f t="shared" si="9"/>
        <v>Retail sale in non-specialised stores with food, beverages or tobacco predominating</v>
      </c>
      <c r="D571" t="s">
        <v>2589</v>
      </c>
      <c r="E571" t="s">
        <v>1085</v>
      </c>
      <c r="F571" t="s">
        <v>2590</v>
      </c>
    </row>
    <row r="572">
      <c r="A572" t="n">
        <v>4</v>
      </c>
      <c r="B572" t="s">
        <v>2591</v>
      </c>
      <c r="C572" t="str">
        <f t="shared" si="9"/>
        <v>Other retail sale in non-specialised stores</v>
      </c>
      <c r="D572" t="s">
        <v>2592</v>
      </c>
      <c r="E572" t="s">
        <v>1085</v>
      </c>
      <c r="F572" t="s">
        <v>2593</v>
      </c>
    </row>
    <row r="573">
      <c r="A573" t="n">
        <v>3</v>
      </c>
      <c r="B573" t="s">
        <v>1088</v>
      </c>
      <c r="C573" t="str">
        <f t="shared" si="9"/>
        <v>Retail sale of food, beverages and tobacco in specialised stores</v>
      </c>
      <c r="D573" t="s">
        <v>1089</v>
      </c>
      <c r="E573" t="s">
        <v>506</v>
      </c>
      <c r="F573" t="s">
        <v>1090</v>
      </c>
    </row>
    <row r="574">
      <c r="A574" t="n">
        <v>4</v>
      </c>
      <c r="B574" t="s">
        <v>2594</v>
      </c>
      <c r="C574" t="str">
        <f t="shared" si="9"/>
        <v>Retail sale of fruit and vegetables in specialised stores</v>
      </c>
      <c r="D574" t="s">
        <v>2595</v>
      </c>
      <c r="E574" t="s">
        <v>1088</v>
      </c>
      <c r="F574" t="s">
        <v>2596</v>
      </c>
    </row>
    <row r="575">
      <c r="A575" t="n">
        <v>4</v>
      </c>
      <c r="B575" t="s">
        <v>2597</v>
      </c>
      <c r="C575" t="str">
        <f t="shared" si="9"/>
        <v>Retail sale of meat and meat products in specialised stores</v>
      </c>
      <c r="D575" t="s">
        <v>2598</v>
      </c>
      <c r="E575" t="s">
        <v>1088</v>
      </c>
      <c r="F575" t="s">
        <v>2599</v>
      </c>
    </row>
    <row r="576">
      <c r="A576" t="n">
        <v>4</v>
      </c>
      <c r="B576" t="s">
        <v>2600</v>
      </c>
      <c r="C576" t="str">
        <f t="shared" si="9"/>
        <v>Retail sale of fish, crustaceans and molluscs in specialised stores</v>
      </c>
      <c r="D576" t="s">
        <v>2601</v>
      </c>
      <c r="E576" t="s">
        <v>1088</v>
      </c>
      <c r="F576" t="s">
        <v>2602</v>
      </c>
    </row>
    <row r="577">
      <c r="A577" t="n">
        <v>4</v>
      </c>
      <c r="B577" t="s">
        <v>2603</v>
      </c>
      <c r="C577" t="str">
        <f t="shared" si="9"/>
        <v>Retail sale of bread, cakes, flour confectionery and sugar confectionery in specialised stores</v>
      </c>
      <c r="D577" t="s">
        <v>2604</v>
      </c>
      <c r="E577" t="s">
        <v>1088</v>
      </c>
      <c r="F577" t="s">
        <v>2605</v>
      </c>
    </row>
    <row r="578">
      <c r="A578" t="n">
        <v>4</v>
      </c>
      <c r="B578" t="s">
        <v>2606</v>
      </c>
      <c r="C578" t="str">
        <f t="shared" si="9"/>
        <v>Retail sale of beverages in specialised stores</v>
      </c>
      <c r="D578" t="s">
        <v>2607</v>
      </c>
      <c r="E578" t="s">
        <v>1088</v>
      </c>
      <c r="F578" t="s">
        <v>2608</v>
      </c>
    </row>
    <row r="579">
      <c r="A579" t="n">
        <v>4</v>
      </c>
      <c r="B579" t="s">
        <v>2609</v>
      </c>
      <c r="C579" t="str">
        <f t="shared" si="9"/>
        <v>Retail sale of tobacco products in specialised stores</v>
      </c>
      <c r="D579" t="s">
        <v>2610</v>
      </c>
      <c r="E579" t="s">
        <v>1088</v>
      </c>
      <c r="F579" t="s">
        <v>2611</v>
      </c>
    </row>
    <row r="580">
      <c r="A580" t="n">
        <v>4</v>
      </c>
      <c r="B580" t="s">
        <v>2612</v>
      </c>
      <c r="C580" t="str">
        <f t="shared" si="9"/>
        <v>Other retail sale of food in specialised stores</v>
      </c>
      <c r="D580" t="s">
        <v>2613</v>
      </c>
      <c r="E580" t="s">
        <v>1088</v>
      </c>
      <c r="F580" t="s">
        <v>2614</v>
      </c>
    </row>
    <row r="581">
      <c r="A581" t="n">
        <v>3</v>
      </c>
      <c r="B581" t="s">
        <v>1091</v>
      </c>
      <c r="C581" t="str">
        <f t="shared" si="9"/>
        <v>Retail sale of automotive fuel in specialised stores</v>
      </c>
      <c r="D581" t="s">
        <v>1092</v>
      </c>
      <c r="E581" t="s">
        <v>506</v>
      </c>
      <c r="F581" t="s">
        <v>1093</v>
      </c>
    </row>
    <row r="582">
      <c r="A582" t="n">
        <v>4</v>
      </c>
      <c r="B582" t="s">
        <v>2615</v>
      </c>
      <c r="C582" t="str">
        <f t="shared" si="9"/>
        <v>Retail sale of automotive fuel in specialised stores</v>
      </c>
      <c r="D582" t="s">
        <v>2616</v>
      </c>
      <c r="E582" t="s">
        <v>1091</v>
      </c>
      <c r="F582" t="s">
        <v>2617</v>
      </c>
    </row>
    <row r="583">
      <c r="A583" t="n">
        <v>3</v>
      </c>
      <c r="B583" t="s">
        <v>1094</v>
      </c>
      <c r="C583" t="str">
        <f t="shared" si="9"/>
        <v>Retail sale of information and communication equipment in specialised stores</v>
      </c>
      <c r="D583" t="s">
        <v>1095</v>
      </c>
      <c r="E583" t="s">
        <v>506</v>
      </c>
      <c r="F583" t="s">
        <v>1096</v>
      </c>
    </row>
    <row r="584">
      <c r="A584" t="n">
        <v>4</v>
      </c>
      <c r="B584" t="s">
        <v>2618</v>
      </c>
      <c r="C584" t="str">
        <f t="shared" si="9"/>
        <v>Retail sale of computers, peripheral units and software in specialised stores</v>
      </c>
      <c r="D584" t="s">
        <v>2619</v>
      </c>
      <c r="E584" t="s">
        <v>1094</v>
      </c>
      <c r="F584" t="s">
        <v>2620</v>
      </c>
    </row>
    <row r="585">
      <c r="A585" t="n">
        <v>4</v>
      </c>
      <c r="B585" t="s">
        <v>2621</v>
      </c>
      <c r="C585" t="str">
        <f t="shared" si="9"/>
        <v>Retail sale of telecommunications equipment in specialised stores</v>
      </c>
      <c r="D585" t="s">
        <v>2622</v>
      </c>
      <c r="E585" t="s">
        <v>1094</v>
      </c>
      <c r="F585" t="s">
        <v>2623</v>
      </c>
    </row>
    <row r="586">
      <c r="A586" t="n">
        <v>4</v>
      </c>
      <c r="B586" t="s">
        <v>2624</v>
      </c>
      <c r="C586" t="str">
        <f t="shared" si="9"/>
        <v>Retail sale of audio and video equipment in specialised stores</v>
      </c>
      <c r="D586" t="s">
        <v>2625</v>
      </c>
      <c r="E586" t="s">
        <v>1094</v>
      </c>
      <c r="F586" t="s">
        <v>2626</v>
      </c>
    </row>
    <row r="587">
      <c r="A587" t="n">
        <v>3</v>
      </c>
      <c r="B587" t="s">
        <v>1097</v>
      </c>
      <c r="C587" t="str">
        <f t="shared" si="9"/>
        <v>Retail sale of other household equipment in specialised stores</v>
      </c>
      <c r="D587" t="s">
        <v>1098</v>
      </c>
      <c r="E587" t="s">
        <v>506</v>
      </c>
      <c r="F587" t="s">
        <v>1099</v>
      </c>
    </row>
    <row r="588">
      <c r="A588" t="n">
        <v>4</v>
      </c>
      <c r="B588" t="s">
        <v>2627</v>
      </c>
      <c r="C588" t="str">
        <f t="shared" si="9"/>
        <v>Retail sale of textiles in specialised stores</v>
      </c>
      <c r="D588" t="s">
        <v>2628</v>
      </c>
      <c r="E588" t="s">
        <v>1097</v>
      </c>
      <c r="F588" t="s">
        <v>2629</v>
      </c>
    </row>
    <row r="589">
      <c r="A589" t="n">
        <v>4</v>
      </c>
      <c r="B589" t="s">
        <v>2630</v>
      </c>
      <c r="C589" t="str">
        <f t="shared" si="9"/>
        <v>Retail sale of hardware, paints and glass in specialised stores</v>
      </c>
      <c r="D589" t="s">
        <v>2631</v>
      </c>
      <c r="E589" t="s">
        <v>1097</v>
      </c>
      <c r="F589" t="s">
        <v>2632</v>
      </c>
    </row>
    <row r="590">
      <c r="A590" t="n">
        <v>4</v>
      </c>
      <c r="B590" t="s">
        <v>2633</v>
      </c>
      <c r="C590" t="str">
        <f t="shared" si="9"/>
        <v>Retail sale of carpets, rugs, wall and floor coverings in specialised stores</v>
      </c>
      <c r="D590" t="s">
        <v>2634</v>
      </c>
      <c r="E590" t="s">
        <v>1097</v>
      </c>
      <c r="F590" t="s">
        <v>2635</v>
      </c>
    </row>
    <row r="591">
      <c r="A591" t="n">
        <v>4</v>
      </c>
      <c r="B591" t="s">
        <v>2636</v>
      </c>
      <c r="C591" t="str">
        <f t="shared" si="9"/>
        <v>Retail sale of electrical household appliances in specialised stores</v>
      </c>
      <c r="D591" t="s">
        <v>2637</v>
      </c>
      <c r="E591" t="s">
        <v>1097</v>
      </c>
      <c r="F591" t="s">
        <v>2638</v>
      </c>
    </row>
    <row r="592">
      <c r="A592" t="n">
        <v>4</v>
      </c>
      <c r="B592" t="s">
        <v>2639</v>
      </c>
      <c r="C592" t="str">
        <f t="shared" si="9"/>
        <v>Retail sale of furniture, lighting equipment and other household articles in specialised stores</v>
      </c>
      <c r="D592" t="s">
        <v>2640</v>
      </c>
      <c r="E592" t="s">
        <v>1097</v>
      </c>
      <c r="F592" t="s">
        <v>2641</v>
      </c>
    </row>
    <row r="593">
      <c r="A593" t="n">
        <v>3</v>
      </c>
      <c r="B593" t="s">
        <v>1100</v>
      </c>
      <c r="C593" t="str">
        <f t="shared" si="9"/>
        <v>Retail sale of cultural and recreation goods in specialised stores</v>
      </c>
      <c r="D593" t="s">
        <v>1101</v>
      </c>
      <c r="E593" t="s">
        <v>506</v>
      </c>
      <c r="F593" t="s">
        <v>1102</v>
      </c>
    </row>
    <row r="594">
      <c r="A594" t="n">
        <v>4</v>
      </c>
      <c r="B594" t="s">
        <v>2642</v>
      </c>
      <c r="C594" t="str">
        <f t="shared" si="9"/>
        <v>Retail sale of books in specialised stores</v>
      </c>
      <c r="D594" t="s">
        <v>2643</v>
      </c>
      <c r="E594" t="s">
        <v>1100</v>
      </c>
      <c r="F594" t="s">
        <v>2644</v>
      </c>
    </row>
    <row r="595">
      <c r="A595" t="n">
        <v>4</v>
      </c>
      <c r="B595" t="s">
        <v>2645</v>
      </c>
      <c r="C595" t="str">
        <f t="shared" si="9"/>
        <v>Retail sale of newspapers and stationery in specialised stores</v>
      </c>
      <c r="D595" t="s">
        <v>2646</v>
      </c>
      <c r="E595" t="s">
        <v>1100</v>
      </c>
      <c r="F595" t="s">
        <v>2647</v>
      </c>
    </row>
    <row r="596">
      <c r="A596" t="n">
        <v>4</v>
      </c>
      <c r="B596" t="s">
        <v>2648</v>
      </c>
      <c r="C596" t="str">
        <f t="shared" si="9"/>
        <v>Retail sale of music and video recordings in specialised stores</v>
      </c>
      <c r="D596" t="s">
        <v>2649</v>
      </c>
      <c r="E596" t="s">
        <v>1100</v>
      </c>
      <c r="F596" t="s">
        <v>2650</v>
      </c>
    </row>
    <row r="597">
      <c r="A597" t="n">
        <v>4</v>
      </c>
      <c r="B597" t="s">
        <v>2651</v>
      </c>
      <c r="C597" t="str">
        <f t="shared" si="9"/>
        <v>Retail sale of sporting equipment in specialised stores</v>
      </c>
      <c r="D597" t="s">
        <v>2652</v>
      </c>
      <c r="E597" t="s">
        <v>1100</v>
      </c>
      <c r="F597" t="s">
        <v>2653</v>
      </c>
    </row>
    <row r="598">
      <c r="A598" t="n">
        <v>4</v>
      </c>
      <c r="B598" t="s">
        <v>2654</v>
      </c>
      <c r="C598" t="str">
        <f t="shared" si="9"/>
        <v>Retail sale of games and toys in specialised stores</v>
      </c>
      <c r="D598" t="s">
        <v>2655</v>
      </c>
      <c r="E598" t="s">
        <v>1100</v>
      </c>
      <c r="F598" t="s">
        <v>2656</v>
      </c>
    </row>
    <row r="599">
      <c r="A599" t="n">
        <v>3</v>
      </c>
      <c r="B599" t="s">
        <v>1103</v>
      </c>
      <c r="C599" t="str">
        <f t="shared" si="9"/>
        <v>Retail sale of other goods in specialised stores</v>
      </c>
      <c r="D599" t="s">
        <v>1104</v>
      </c>
      <c r="E599" t="s">
        <v>506</v>
      </c>
      <c r="F599" t="s">
        <v>1105</v>
      </c>
    </row>
    <row r="600">
      <c r="A600" t="n">
        <v>4</v>
      </c>
      <c r="B600" t="s">
        <v>2657</v>
      </c>
      <c r="C600" t="str">
        <f t="shared" si="9"/>
        <v>Retail sale of clothing in specialised stores</v>
      </c>
      <c r="D600" t="s">
        <v>2658</v>
      </c>
      <c r="E600" t="s">
        <v>1103</v>
      </c>
      <c r="F600" t="s">
        <v>2659</v>
      </c>
    </row>
    <row r="601">
      <c r="A601" t="n">
        <v>4</v>
      </c>
      <c r="B601" t="s">
        <v>2660</v>
      </c>
      <c r="C601" t="str">
        <f t="shared" si="9"/>
        <v>Retail sale of footwear and leather goods in specialised stores</v>
      </c>
      <c r="D601" t="s">
        <v>2661</v>
      </c>
      <c r="E601" t="s">
        <v>1103</v>
      </c>
      <c r="F601" t="s">
        <v>2662</v>
      </c>
    </row>
    <row r="602">
      <c r="A602" t="n">
        <v>4</v>
      </c>
      <c r="B602" t="s">
        <v>2663</v>
      </c>
      <c r="C602" t="str">
        <f t="shared" ref="C602:C665" si="10">IF(A602=1,RIGHT(D602,LEN(D602)-2),IF(A602=2,RIGHT(D602,LEN(D602)-3),IF(A602=3,RIGHT(D602,LEN(D602)-5),RIGHT(D602,LEN(D602)-6))))</f>
        <v>Dispensing chemist in specialised stores</v>
      </c>
      <c r="D602" t="s">
        <v>2664</v>
      </c>
      <c r="E602" t="s">
        <v>1103</v>
      </c>
      <c r="F602" t="s">
        <v>2665</v>
      </c>
    </row>
    <row r="603">
      <c r="A603" t="n">
        <v>4</v>
      </c>
      <c r="B603" t="s">
        <v>2666</v>
      </c>
      <c r="C603" t="str">
        <f t="shared" si="10"/>
        <v>Retail sale of medical and orthopaedic goods in specialised stores</v>
      </c>
      <c r="D603" t="s">
        <v>2667</v>
      </c>
      <c r="E603" t="s">
        <v>1103</v>
      </c>
      <c r="F603" t="s">
        <v>2668</v>
      </c>
    </row>
    <row r="604">
      <c r="A604" t="n">
        <v>4</v>
      </c>
      <c r="B604" t="s">
        <v>2669</v>
      </c>
      <c r="C604" t="str">
        <f t="shared" si="10"/>
        <v>Retail sale of cosmetic and toilet articles in specialised stores</v>
      </c>
      <c r="D604" t="s">
        <v>2670</v>
      </c>
      <c r="E604" t="s">
        <v>1103</v>
      </c>
      <c r="F604" t="s">
        <v>2671</v>
      </c>
    </row>
    <row r="605">
      <c r="A605" t="n">
        <v>4</v>
      </c>
      <c r="B605" t="s">
        <v>2672</v>
      </c>
      <c r="C605" t="str">
        <f t="shared" si="10"/>
        <v>Retail sale of flowers, plants, seeds, fertilisers, pet animals and pet food in specialised stores</v>
      </c>
      <c r="D605" t="s">
        <v>2673</v>
      </c>
      <c r="E605" t="s">
        <v>1103</v>
      </c>
      <c r="F605" t="s">
        <v>2674</v>
      </c>
    </row>
    <row r="606">
      <c r="A606" t="n">
        <v>4</v>
      </c>
      <c r="B606" t="s">
        <v>2675</v>
      </c>
      <c r="C606" t="str">
        <f t="shared" si="10"/>
        <v>Retail sale of watches and jewellery in specialised stores</v>
      </c>
      <c r="D606" t="s">
        <v>2676</v>
      </c>
      <c r="E606" t="s">
        <v>1103</v>
      </c>
      <c r="F606" t="s">
        <v>2677</v>
      </c>
    </row>
    <row r="607">
      <c r="A607" t="n">
        <v>4</v>
      </c>
      <c r="B607" t="s">
        <v>2678</v>
      </c>
      <c r="C607" t="str">
        <f t="shared" si="10"/>
        <v>Other retail sale of new goods in specialised stores</v>
      </c>
      <c r="D607" t="s">
        <v>2679</v>
      </c>
      <c r="E607" t="s">
        <v>1103</v>
      </c>
      <c r="F607" t="s">
        <v>2680</v>
      </c>
    </row>
    <row r="608">
      <c r="A608" t="n">
        <v>4</v>
      </c>
      <c r="B608" t="s">
        <v>2681</v>
      </c>
      <c r="C608" t="str">
        <f t="shared" si="10"/>
        <v>Retail sale of second-hand goods in stores</v>
      </c>
      <c r="D608" t="s">
        <v>2682</v>
      </c>
      <c r="E608" t="s">
        <v>1103</v>
      </c>
      <c r="F608" t="s">
        <v>2683</v>
      </c>
    </row>
    <row r="609">
      <c r="A609" t="n">
        <v>3</v>
      </c>
      <c r="B609" t="s">
        <v>1106</v>
      </c>
      <c r="C609" t="str">
        <f t="shared" si="10"/>
        <v>Retail sale via stalls and markets</v>
      </c>
      <c r="D609" t="s">
        <v>1107</v>
      </c>
      <c r="E609" t="s">
        <v>506</v>
      </c>
      <c r="F609" t="s">
        <v>1108</v>
      </c>
    </row>
    <row r="610">
      <c r="A610" t="n">
        <v>4</v>
      </c>
      <c r="B610" t="s">
        <v>2684</v>
      </c>
      <c r="C610" t="str">
        <f t="shared" si="10"/>
        <v>Retail sale via stalls and markets of food, beverages and tobacco products</v>
      </c>
      <c r="D610" t="s">
        <v>2685</v>
      </c>
      <c r="E610" t="s">
        <v>1106</v>
      </c>
      <c r="F610" t="s">
        <v>2686</v>
      </c>
    </row>
    <row r="611">
      <c r="A611" t="n">
        <v>4</v>
      </c>
      <c r="B611" t="s">
        <v>2687</v>
      </c>
      <c r="C611" t="str">
        <f t="shared" si="10"/>
        <v>Retail sale via stalls and markets of textiles, clothing and footwear</v>
      </c>
      <c r="D611" t="s">
        <v>2688</v>
      </c>
      <c r="E611" t="s">
        <v>1106</v>
      </c>
      <c r="F611" t="s">
        <v>2689</v>
      </c>
    </row>
    <row r="612">
      <c r="A612" t="n">
        <v>4</v>
      </c>
      <c r="B612" t="s">
        <v>2690</v>
      </c>
      <c r="C612" t="str">
        <f t="shared" si="10"/>
        <v>Retail sale via stalls and markets of other goods</v>
      </c>
      <c r="D612" t="s">
        <v>2691</v>
      </c>
      <c r="E612" t="s">
        <v>1106</v>
      </c>
      <c r="F612" t="s">
        <v>2692</v>
      </c>
    </row>
    <row r="613">
      <c r="A613" t="n">
        <v>3</v>
      </c>
      <c r="B613" t="s">
        <v>1109</v>
      </c>
      <c r="C613" t="str">
        <f t="shared" si="10"/>
        <v>Retail trade not in stores, stalls or markets</v>
      </c>
      <c r="D613" t="s">
        <v>1110</v>
      </c>
      <c r="E613" t="s">
        <v>506</v>
      </c>
      <c r="F613" t="s">
        <v>1111</v>
      </c>
    </row>
    <row r="614">
      <c r="A614" t="n">
        <v>4</v>
      </c>
      <c r="B614" t="s">
        <v>2693</v>
      </c>
      <c r="C614" t="str">
        <f t="shared" si="10"/>
        <v>Retail sale via mail order houses or via Internet</v>
      </c>
      <c r="D614" t="s">
        <v>2694</v>
      </c>
      <c r="E614" t="s">
        <v>1109</v>
      </c>
      <c r="F614" t="s">
        <v>2695</v>
      </c>
    </row>
    <row r="615">
      <c r="A615" t="n">
        <v>4</v>
      </c>
      <c r="B615" t="s">
        <v>2696</v>
      </c>
      <c r="C615" t="str">
        <f t="shared" si="10"/>
        <v>Other retail sale not in stores, stalls or markets</v>
      </c>
      <c r="D615" t="s">
        <v>2697</v>
      </c>
      <c r="E615" t="s">
        <v>1109</v>
      </c>
      <c r="F615" t="s">
        <v>2698</v>
      </c>
    </row>
    <row r="616">
      <c r="A616" t="n">
        <v>2</v>
      </c>
      <c r="B616" t="s">
        <v>509</v>
      </c>
      <c r="C616" t="str">
        <f t="shared" si="10"/>
        <v>Land transport and transport via pipelines</v>
      </c>
      <c r="D616" t="s">
        <v>510</v>
      </c>
      <c r="E616" t="s">
        <v>362</v>
      </c>
      <c r="F616" t="s">
        <v>511</v>
      </c>
    </row>
    <row r="617">
      <c r="A617" t="n">
        <v>3</v>
      </c>
      <c r="B617" t="s">
        <v>1112</v>
      </c>
      <c r="C617" t="str">
        <f t="shared" si="10"/>
        <v>Passenger rail transport, interurban</v>
      </c>
      <c r="D617" t="s">
        <v>1113</v>
      </c>
      <c r="E617" t="s">
        <v>509</v>
      </c>
      <c r="F617" t="s">
        <v>1114</v>
      </c>
    </row>
    <row r="618">
      <c r="A618" t="n">
        <v>4</v>
      </c>
      <c r="B618" t="s">
        <v>2699</v>
      </c>
      <c r="C618" t="str">
        <f t="shared" si="10"/>
        <v>Passenger rail transport, interurban</v>
      </c>
      <c r="D618" t="s">
        <v>2700</v>
      </c>
      <c r="E618" t="s">
        <v>1112</v>
      </c>
      <c r="F618" t="s">
        <v>2701</v>
      </c>
    </row>
    <row r="619">
      <c r="A619" t="n">
        <v>3</v>
      </c>
      <c r="B619" t="s">
        <v>1115</v>
      </c>
      <c r="C619" t="str">
        <f t="shared" si="10"/>
        <v>Freight rail transport</v>
      </c>
      <c r="D619" t="s">
        <v>1116</v>
      </c>
      <c r="E619" t="s">
        <v>509</v>
      </c>
      <c r="F619" t="s">
        <v>1117</v>
      </c>
    </row>
    <row r="620">
      <c r="A620" t="n">
        <v>4</v>
      </c>
      <c r="B620" t="s">
        <v>2702</v>
      </c>
      <c r="C620" t="str">
        <f t="shared" si="10"/>
        <v>Freight rail transport</v>
      </c>
      <c r="D620" t="s">
        <v>2703</v>
      </c>
      <c r="E620" t="s">
        <v>1115</v>
      </c>
      <c r="F620" t="s">
        <v>2704</v>
      </c>
    </row>
    <row r="621">
      <c r="A621" t="n">
        <v>3</v>
      </c>
      <c r="B621" t="s">
        <v>1118</v>
      </c>
      <c r="C621" t="str">
        <f t="shared" si="10"/>
        <v>Other passenger land transport</v>
      </c>
      <c r="D621" t="s">
        <v>1119</v>
      </c>
      <c r="E621" t="s">
        <v>509</v>
      </c>
      <c r="F621" t="s">
        <v>1120</v>
      </c>
    </row>
    <row r="622">
      <c r="A622" t="n">
        <v>4</v>
      </c>
      <c r="B622" t="s">
        <v>2705</v>
      </c>
      <c r="C622" t="str">
        <f t="shared" si="10"/>
        <v>Urban and suburban passenger land transport</v>
      </c>
      <c r="D622" t="s">
        <v>2706</v>
      </c>
      <c r="E622" t="s">
        <v>1118</v>
      </c>
      <c r="F622" t="s">
        <v>2707</v>
      </c>
    </row>
    <row r="623">
      <c r="A623" t="n">
        <v>4</v>
      </c>
      <c r="B623" t="s">
        <v>2708</v>
      </c>
      <c r="C623" t="str">
        <f t="shared" si="10"/>
        <v>Taxi operation</v>
      </c>
      <c r="D623" t="s">
        <v>2709</v>
      </c>
      <c r="E623" t="s">
        <v>1118</v>
      </c>
      <c r="F623" t="s">
        <v>2710</v>
      </c>
    </row>
    <row r="624">
      <c r="A624" t="n">
        <v>4</v>
      </c>
      <c r="B624" t="s">
        <v>2711</v>
      </c>
      <c r="C624" t="str">
        <f t="shared" si="10"/>
        <v>Other passenger land transport n.e.c.</v>
      </c>
      <c r="D624" t="s">
        <v>2712</v>
      </c>
      <c r="E624" t="s">
        <v>1118</v>
      </c>
      <c r="F624" t="s">
        <v>2713</v>
      </c>
    </row>
    <row r="625">
      <c r="A625" t="n">
        <v>3</v>
      </c>
      <c r="B625" t="s">
        <v>1121</v>
      </c>
      <c r="C625" t="str">
        <f t="shared" si="10"/>
        <v>Freight transport by road and removal services</v>
      </c>
      <c r="D625" t="s">
        <v>1122</v>
      </c>
      <c r="E625" t="s">
        <v>509</v>
      </c>
      <c r="F625" t="s">
        <v>1123</v>
      </c>
    </row>
    <row r="626">
      <c r="A626" t="n">
        <v>4</v>
      </c>
      <c r="B626" t="s">
        <v>2714</v>
      </c>
      <c r="C626" t="str">
        <f t="shared" si="10"/>
        <v>Freight transport by road</v>
      </c>
      <c r="D626" t="s">
        <v>2715</v>
      </c>
      <c r="E626" t="s">
        <v>1121</v>
      </c>
      <c r="F626" t="s">
        <v>2716</v>
      </c>
    </row>
    <row r="627">
      <c r="A627" t="n">
        <v>4</v>
      </c>
      <c r="B627" t="s">
        <v>2717</v>
      </c>
      <c r="C627" t="str">
        <f t="shared" si="10"/>
        <v>Removal services</v>
      </c>
      <c r="D627" t="s">
        <v>2718</v>
      </c>
      <c r="E627" t="s">
        <v>1121</v>
      </c>
      <c r="F627" t="s">
        <v>2719</v>
      </c>
    </row>
    <row r="628">
      <c r="A628" t="n">
        <v>3</v>
      </c>
      <c r="B628" t="s">
        <v>1124</v>
      </c>
      <c r="C628" t="str">
        <f t="shared" si="10"/>
        <v>Transport via pipeline</v>
      </c>
      <c r="D628" t="s">
        <v>1125</v>
      </c>
      <c r="E628" t="s">
        <v>509</v>
      </c>
      <c r="F628" t="s">
        <v>1126</v>
      </c>
    </row>
    <row r="629">
      <c r="A629" t="n">
        <v>4</v>
      </c>
      <c r="B629" t="s">
        <v>2720</v>
      </c>
      <c r="C629" t="str">
        <f t="shared" si="10"/>
        <v>Transport via pipeline</v>
      </c>
      <c r="D629" t="s">
        <v>2721</v>
      </c>
      <c r="E629" t="s">
        <v>1124</v>
      </c>
      <c r="F629" t="s">
        <v>2722</v>
      </c>
    </row>
    <row r="630">
      <c r="A630" t="n">
        <v>2</v>
      </c>
      <c r="B630" t="s">
        <v>58</v>
      </c>
      <c r="C630" t="str">
        <f t="shared" si="10"/>
        <v>Water transport</v>
      </c>
      <c r="D630" t="s">
        <v>512</v>
      </c>
      <c r="E630" t="s">
        <v>362</v>
      </c>
      <c r="F630" t="s">
        <v>513</v>
      </c>
    </row>
    <row r="631">
      <c r="A631" t="n">
        <v>3</v>
      </c>
      <c r="B631" t="s">
        <v>1127</v>
      </c>
      <c r="C631" t="str">
        <f t="shared" si="10"/>
        <v>Sea and coastal passenger water transport</v>
      </c>
      <c r="D631" t="s">
        <v>1128</v>
      </c>
      <c r="E631" t="s">
        <v>58</v>
      </c>
      <c r="F631" t="s">
        <v>1129</v>
      </c>
    </row>
    <row r="632">
      <c r="A632" t="n">
        <v>4</v>
      </c>
      <c r="B632" t="s">
        <v>2723</v>
      </c>
      <c r="C632" t="str">
        <f t="shared" si="10"/>
        <v>Sea and coastal passenger water transport</v>
      </c>
      <c r="D632" t="s">
        <v>2724</v>
      </c>
      <c r="E632" t="s">
        <v>1127</v>
      </c>
      <c r="F632" t="s">
        <v>2725</v>
      </c>
    </row>
    <row r="633">
      <c r="A633" t="n">
        <v>3</v>
      </c>
      <c r="B633" t="s">
        <v>1130</v>
      </c>
      <c r="C633" t="str">
        <f t="shared" si="10"/>
        <v>Sea and coastal freight water transport</v>
      </c>
      <c r="D633" t="s">
        <v>1131</v>
      </c>
      <c r="E633" t="s">
        <v>58</v>
      </c>
      <c r="F633" t="s">
        <v>1132</v>
      </c>
    </row>
    <row r="634">
      <c r="A634" t="n">
        <v>4</v>
      </c>
      <c r="B634" t="s">
        <v>2726</v>
      </c>
      <c r="C634" t="str">
        <f t="shared" si="10"/>
        <v>Sea and coastal freight water transport</v>
      </c>
      <c r="D634" t="s">
        <v>2727</v>
      </c>
      <c r="E634" t="s">
        <v>1130</v>
      </c>
      <c r="F634" t="s">
        <v>2728</v>
      </c>
    </row>
    <row r="635">
      <c r="A635" t="n">
        <v>3</v>
      </c>
      <c r="B635" t="s">
        <v>1133</v>
      </c>
      <c r="C635" t="str">
        <f t="shared" si="10"/>
        <v>Inland passenger water transport</v>
      </c>
      <c r="D635" t="s">
        <v>1134</v>
      </c>
      <c r="E635" t="s">
        <v>58</v>
      </c>
      <c r="F635" t="s">
        <v>1135</v>
      </c>
    </row>
    <row r="636">
      <c r="A636" t="n">
        <v>4</v>
      </c>
      <c r="B636" t="s">
        <v>2729</v>
      </c>
      <c r="C636" t="str">
        <f t="shared" si="10"/>
        <v>Inland passenger water transport</v>
      </c>
      <c r="D636" t="s">
        <v>2730</v>
      </c>
      <c r="E636" t="s">
        <v>1133</v>
      </c>
      <c r="F636" t="s">
        <v>2731</v>
      </c>
    </row>
    <row r="637">
      <c r="A637" t="n">
        <v>3</v>
      </c>
      <c r="B637" t="s">
        <v>1136</v>
      </c>
      <c r="C637" t="str">
        <f t="shared" si="10"/>
        <v>Inland freight water transport</v>
      </c>
      <c r="D637" t="s">
        <v>1137</v>
      </c>
      <c r="E637" t="s">
        <v>58</v>
      </c>
      <c r="F637" t="s">
        <v>1138</v>
      </c>
    </row>
    <row r="638">
      <c r="A638" t="n">
        <v>4</v>
      </c>
      <c r="B638" t="s">
        <v>2732</v>
      </c>
      <c r="C638" t="str">
        <f t="shared" si="10"/>
        <v>Inland freight water transport</v>
      </c>
      <c r="D638" t="s">
        <v>2733</v>
      </c>
      <c r="E638" t="s">
        <v>1136</v>
      </c>
      <c r="F638" t="s">
        <v>2734</v>
      </c>
    </row>
    <row r="639">
      <c r="A639" t="n">
        <v>2</v>
      </c>
      <c r="B639" t="s">
        <v>514</v>
      </c>
      <c r="C639" t="str">
        <f t="shared" si="10"/>
        <v>Air transport</v>
      </c>
      <c r="D639" t="s">
        <v>515</v>
      </c>
      <c r="E639" t="s">
        <v>362</v>
      </c>
      <c r="F639" t="s">
        <v>516</v>
      </c>
    </row>
    <row r="640">
      <c r="A640" t="n">
        <v>3</v>
      </c>
      <c r="B640" t="s">
        <v>1139</v>
      </c>
      <c r="C640" t="str">
        <f t="shared" si="10"/>
        <v>Passenger air transport</v>
      </c>
      <c r="D640" t="s">
        <v>1140</v>
      </c>
      <c r="E640" t="s">
        <v>514</v>
      </c>
      <c r="F640" t="s">
        <v>1141</v>
      </c>
    </row>
    <row r="641">
      <c r="A641" t="n">
        <v>4</v>
      </c>
      <c r="B641" t="s">
        <v>2735</v>
      </c>
      <c r="C641" t="str">
        <f t="shared" si="10"/>
        <v>Passenger air transport</v>
      </c>
      <c r="D641" t="s">
        <v>2736</v>
      </c>
      <c r="E641" t="s">
        <v>1139</v>
      </c>
      <c r="F641" t="s">
        <v>2737</v>
      </c>
    </row>
    <row r="642">
      <c r="A642" t="n">
        <v>3</v>
      </c>
      <c r="B642" t="s">
        <v>1142</v>
      </c>
      <c r="C642" t="str">
        <f t="shared" si="10"/>
        <v>Freight air transport and space transport</v>
      </c>
      <c r="D642" t="s">
        <v>1143</v>
      </c>
      <c r="E642" t="s">
        <v>514</v>
      </c>
      <c r="F642" t="s">
        <v>1144</v>
      </c>
    </row>
    <row r="643">
      <c r="A643" t="n">
        <v>4</v>
      </c>
      <c r="B643" t="s">
        <v>2738</v>
      </c>
      <c r="C643" t="str">
        <f t="shared" si="10"/>
        <v>Freight air transport</v>
      </c>
      <c r="D643" t="s">
        <v>2739</v>
      </c>
      <c r="E643" t="s">
        <v>1142</v>
      </c>
      <c r="F643" t="s">
        <v>2740</v>
      </c>
    </row>
    <row r="644">
      <c r="A644" t="n">
        <v>4</v>
      </c>
      <c r="B644" t="s">
        <v>2741</v>
      </c>
      <c r="C644" t="str">
        <f t="shared" si="10"/>
        <v>Space transport</v>
      </c>
      <c r="D644" t="s">
        <v>2742</v>
      </c>
      <c r="E644" t="s">
        <v>1142</v>
      </c>
      <c r="F644" t="s">
        <v>2743</v>
      </c>
    </row>
    <row r="645">
      <c r="A645" t="n">
        <v>2</v>
      </c>
      <c r="B645" t="s">
        <v>517</v>
      </c>
      <c r="C645" t="str">
        <f t="shared" si="10"/>
        <v>Warehousing and support activities for transportation</v>
      </c>
      <c r="D645" t="s">
        <v>518</v>
      </c>
      <c r="E645" t="s">
        <v>362</v>
      </c>
      <c r="F645" t="s">
        <v>519</v>
      </c>
    </row>
    <row r="646">
      <c r="A646" t="n">
        <v>3</v>
      </c>
      <c r="B646" t="s">
        <v>1145</v>
      </c>
      <c r="C646" t="str">
        <f t="shared" si="10"/>
        <v>Warehousing and storage</v>
      </c>
      <c r="D646" t="s">
        <v>1146</v>
      </c>
      <c r="E646" t="s">
        <v>517</v>
      </c>
      <c r="F646" t="s">
        <v>1147</v>
      </c>
    </row>
    <row r="647">
      <c r="A647" t="n">
        <v>4</v>
      </c>
      <c r="B647" t="s">
        <v>2744</v>
      </c>
      <c r="C647" t="str">
        <f t="shared" si="10"/>
        <v>Warehousing and storage</v>
      </c>
      <c r="D647" t="s">
        <v>2745</v>
      </c>
      <c r="E647" t="s">
        <v>1145</v>
      </c>
      <c r="F647" t="s">
        <v>2746</v>
      </c>
    </row>
    <row r="648">
      <c r="A648" t="n">
        <v>3</v>
      </c>
      <c r="B648" t="s">
        <v>1148</v>
      </c>
      <c r="C648" t="str">
        <f t="shared" si="10"/>
        <v>Support activities for transportation</v>
      </c>
      <c r="D648" t="s">
        <v>1149</v>
      </c>
      <c r="E648" t="s">
        <v>517</v>
      </c>
      <c r="F648" t="s">
        <v>1150</v>
      </c>
    </row>
    <row r="649">
      <c r="A649" t="n">
        <v>4</v>
      </c>
      <c r="B649" t="s">
        <v>2747</v>
      </c>
      <c r="C649" t="str">
        <f t="shared" si="10"/>
        <v>Service activities incidental to land transportation</v>
      </c>
      <c r="D649" t="s">
        <v>2748</v>
      </c>
      <c r="E649" t="s">
        <v>1148</v>
      </c>
      <c r="F649" t="s">
        <v>2749</v>
      </c>
    </row>
    <row r="650">
      <c r="A650" t="n">
        <v>4</v>
      </c>
      <c r="B650" t="s">
        <v>2750</v>
      </c>
      <c r="C650" t="str">
        <f t="shared" si="10"/>
        <v>Service activities incidental to water transportation</v>
      </c>
      <c r="D650" t="s">
        <v>2751</v>
      </c>
      <c r="E650" t="s">
        <v>1148</v>
      </c>
      <c r="F650" t="s">
        <v>2752</v>
      </c>
    </row>
    <row r="651">
      <c r="A651" t="n">
        <v>4</v>
      </c>
      <c r="B651" t="s">
        <v>2753</v>
      </c>
      <c r="C651" t="str">
        <f t="shared" si="10"/>
        <v>Service activities incidental to air transportation</v>
      </c>
      <c r="D651" t="s">
        <v>2754</v>
      </c>
      <c r="E651" t="s">
        <v>1148</v>
      </c>
      <c r="F651" t="s">
        <v>2755</v>
      </c>
    </row>
    <row r="652">
      <c r="A652" t="n">
        <v>4</v>
      </c>
      <c r="B652" t="s">
        <v>2756</v>
      </c>
      <c r="C652" t="str">
        <f t="shared" si="10"/>
        <v>Cargo handling</v>
      </c>
      <c r="D652" t="s">
        <v>2757</v>
      </c>
      <c r="E652" t="s">
        <v>1148</v>
      </c>
      <c r="F652" t="s">
        <v>2758</v>
      </c>
    </row>
    <row r="653">
      <c r="A653" t="n">
        <v>4</v>
      </c>
      <c r="B653" t="s">
        <v>2759</v>
      </c>
      <c r="C653" t="str">
        <f t="shared" si="10"/>
        <v>Other transportation support activities</v>
      </c>
      <c r="D653" t="s">
        <v>2760</v>
      </c>
      <c r="E653" t="s">
        <v>1148</v>
      </c>
      <c r="F653" t="s">
        <v>2761</v>
      </c>
    </row>
    <row r="654">
      <c r="A654" t="n">
        <v>2</v>
      </c>
      <c r="B654" t="s">
        <v>520</v>
      </c>
      <c r="C654" t="str">
        <f t="shared" si="10"/>
        <v>Postal and courier activities</v>
      </c>
      <c r="D654" t="s">
        <v>521</v>
      </c>
      <c r="E654" t="s">
        <v>362</v>
      </c>
      <c r="F654" t="s">
        <v>522</v>
      </c>
    </row>
    <row r="655">
      <c r="A655" t="n">
        <v>3</v>
      </c>
      <c r="B655" t="s">
        <v>1151</v>
      </c>
      <c r="C655" t="str">
        <f t="shared" si="10"/>
        <v>Postal activities under universal service obligation</v>
      </c>
      <c r="D655" t="s">
        <v>1152</v>
      </c>
      <c r="E655" t="s">
        <v>520</v>
      </c>
      <c r="F655" t="s">
        <v>1153</v>
      </c>
    </row>
    <row r="656">
      <c r="A656" t="n">
        <v>4</v>
      </c>
      <c r="B656" t="s">
        <v>2762</v>
      </c>
      <c r="C656" t="str">
        <f t="shared" si="10"/>
        <v>Postal activities under universal service obligation</v>
      </c>
      <c r="D656" t="s">
        <v>2763</v>
      </c>
      <c r="E656" t="s">
        <v>1151</v>
      </c>
      <c r="F656" t="s">
        <v>2764</v>
      </c>
    </row>
    <row r="657">
      <c r="A657" t="n">
        <v>3</v>
      </c>
      <c r="B657" t="s">
        <v>1154</v>
      </c>
      <c r="C657" t="str">
        <f t="shared" si="10"/>
        <v>Other postal and courier activities</v>
      </c>
      <c r="D657" t="s">
        <v>1155</v>
      </c>
      <c r="E657" t="s">
        <v>520</v>
      </c>
      <c r="F657" t="s">
        <v>1156</v>
      </c>
    </row>
    <row r="658">
      <c r="A658" t="n">
        <v>4</v>
      </c>
      <c r="B658" t="s">
        <v>2765</v>
      </c>
      <c r="C658" t="str">
        <f t="shared" si="10"/>
        <v>Other postal and courier activities</v>
      </c>
      <c r="D658" t="s">
        <v>2766</v>
      </c>
      <c r="E658" t="s">
        <v>1154</v>
      </c>
      <c r="F658" t="s">
        <v>2767</v>
      </c>
    </row>
    <row r="659">
      <c r="A659" t="n">
        <v>2</v>
      </c>
      <c r="B659" t="s">
        <v>523</v>
      </c>
      <c r="C659" t="str">
        <f t="shared" si="10"/>
        <v>Accommodation</v>
      </c>
      <c r="D659" t="s">
        <v>524</v>
      </c>
      <c r="E659" t="s">
        <v>365</v>
      </c>
      <c r="F659" t="s">
        <v>525</v>
      </c>
    </row>
    <row r="660">
      <c r="A660" t="n">
        <v>3</v>
      </c>
      <c r="B660" t="s">
        <v>1157</v>
      </c>
      <c r="C660" t="str">
        <f t="shared" si="10"/>
        <v>Hotels and similar accommodation</v>
      </c>
      <c r="D660" t="s">
        <v>1158</v>
      </c>
      <c r="E660" t="s">
        <v>523</v>
      </c>
      <c r="F660" t="s">
        <v>1159</v>
      </c>
    </row>
    <row r="661">
      <c r="A661" t="n">
        <v>4</v>
      </c>
      <c r="B661" t="s">
        <v>2768</v>
      </c>
      <c r="C661" t="str">
        <f t="shared" si="10"/>
        <v>Hotels and similar accommodation</v>
      </c>
      <c r="D661" t="s">
        <v>2769</v>
      </c>
      <c r="E661" t="s">
        <v>1157</v>
      </c>
      <c r="F661" t="s">
        <v>2770</v>
      </c>
    </row>
    <row r="662">
      <c r="A662" t="n">
        <v>3</v>
      </c>
      <c r="B662" t="s">
        <v>1160</v>
      </c>
      <c r="C662" t="str">
        <f t="shared" si="10"/>
        <v>Holiday and other short-stay accommodation</v>
      </c>
      <c r="D662" t="s">
        <v>1161</v>
      </c>
      <c r="E662" t="s">
        <v>523</v>
      </c>
      <c r="F662" t="s">
        <v>1162</v>
      </c>
    </row>
    <row r="663">
      <c r="A663" t="n">
        <v>4</v>
      </c>
      <c r="B663" t="s">
        <v>2771</v>
      </c>
      <c r="C663" t="str">
        <f t="shared" si="10"/>
        <v>Holiday and other short-stay accommodation</v>
      </c>
      <c r="D663" t="s">
        <v>2772</v>
      </c>
      <c r="E663" t="s">
        <v>1160</v>
      </c>
      <c r="F663" t="s">
        <v>2773</v>
      </c>
    </row>
    <row r="664">
      <c r="A664" t="n">
        <v>3</v>
      </c>
      <c r="B664" t="s">
        <v>1163</v>
      </c>
      <c r="C664" t="str">
        <f t="shared" si="10"/>
        <v>Camping grounds, recreational vehicle parks and trailer parks</v>
      </c>
      <c r="D664" t="s">
        <v>1164</v>
      </c>
      <c r="E664" t="s">
        <v>523</v>
      </c>
      <c r="F664" t="s">
        <v>1165</v>
      </c>
    </row>
    <row r="665">
      <c r="A665" t="n">
        <v>4</v>
      </c>
      <c r="B665" t="s">
        <v>2774</v>
      </c>
      <c r="C665" t="str">
        <f t="shared" si="10"/>
        <v>Camping grounds, recreational vehicle parks and trailer parks</v>
      </c>
      <c r="D665" t="s">
        <v>2775</v>
      </c>
      <c r="E665" t="s">
        <v>1163</v>
      </c>
      <c r="F665" t="s">
        <v>2776</v>
      </c>
    </row>
    <row r="666">
      <c r="A666" t="n">
        <v>3</v>
      </c>
      <c r="B666" t="s">
        <v>1166</v>
      </c>
      <c r="C666" t="str">
        <f t="shared" ref="C666:C729" si="11">IF(A666=1,RIGHT(D666,LEN(D666)-2),IF(A666=2,RIGHT(D666,LEN(D666)-3),IF(A666=3,RIGHT(D666,LEN(D666)-5),RIGHT(D666,LEN(D666)-6))))</f>
        <v>Other accommodation</v>
      </c>
      <c r="D666" t="s">
        <v>1167</v>
      </c>
      <c r="E666" t="s">
        <v>523</v>
      </c>
      <c r="F666" t="s">
        <v>1168</v>
      </c>
    </row>
    <row r="667">
      <c r="A667" t="n">
        <v>4</v>
      </c>
      <c r="B667" t="s">
        <v>2777</v>
      </c>
      <c r="C667" t="str">
        <f t="shared" si="11"/>
        <v>Other accommodation</v>
      </c>
      <c r="D667" t="s">
        <v>2778</v>
      </c>
      <c r="E667" t="s">
        <v>1166</v>
      </c>
      <c r="F667" t="s">
        <v>2779</v>
      </c>
    </row>
    <row r="668">
      <c r="A668" t="n">
        <v>2</v>
      </c>
      <c r="B668" t="s">
        <v>526</v>
      </c>
      <c r="C668" t="str">
        <f t="shared" si="11"/>
        <v>Food and beverage service activities</v>
      </c>
      <c r="D668" t="s">
        <v>527</v>
      </c>
      <c r="E668" t="s">
        <v>365</v>
      </c>
      <c r="F668" t="s">
        <v>528</v>
      </c>
    </row>
    <row r="669">
      <c r="A669" t="n">
        <v>3</v>
      </c>
      <c r="B669" t="s">
        <v>1169</v>
      </c>
      <c r="C669" t="str">
        <f t="shared" si="11"/>
        <v>Restaurants and mobile food service activities</v>
      </c>
      <c r="D669" t="s">
        <v>1170</v>
      </c>
      <c r="E669" t="s">
        <v>526</v>
      </c>
      <c r="F669" t="s">
        <v>1171</v>
      </c>
    </row>
    <row r="670">
      <c r="A670" t="n">
        <v>4</v>
      </c>
      <c r="B670" t="s">
        <v>2780</v>
      </c>
      <c r="C670" t="str">
        <f t="shared" si="11"/>
        <v>Restaurants and mobile food service activities</v>
      </c>
      <c r="D670" t="s">
        <v>2781</v>
      </c>
      <c r="E670" t="s">
        <v>1169</v>
      </c>
      <c r="F670" t="s">
        <v>2782</v>
      </c>
    </row>
    <row r="671">
      <c r="A671" t="n">
        <v>3</v>
      </c>
      <c r="B671" t="s">
        <v>1172</v>
      </c>
      <c r="C671" t="str">
        <f t="shared" si="11"/>
        <v>Event catering and other food service activities</v>
      </c>
      <c r="D671" t="s">
        <v>1173</v>
      </c>
      <c r="E671" t="s">
        <v>526</v>
      </c>
      <c r="F671" t="s">
        <v>1174</v>
      </c>
    </row>
    <row r="672">
      <c r="A672" t="n">
        <v>4</v>
      </c>
      <c r="B672" t="s">
        <v>2783</v>
      </c>
      <c r="C672" t="str">
        <f t="shared" si="11"/>
        <v>Event catering activities</v>
      </c>
      <c r="D672" t="s">
        <v>2784</v>
      </c>
      <c r="E672" t="s">
        <v>1172</v>
      </c>
      <c r="F672" t="s">
        <v>2785</v>
      </c>
    </row>
    <row r="673">
      <c r="A673" t="n">
        <v>4</v>
      </c>
      <c r="B673" t="s">
        <v>2786</v>
      </c>
      <c r="C673" t="str">
        <f t="shared" si="11"/>
        <v>Other food service activities</v>
      </c>
      <c r="D673" t="s">
        <v>2787</v>
      </c>
      <c r="E673" t="s">
        <v>1172</v>
      </c>
      <c r="F673" t="s">
        <v>2788</v>
      </c>
    </row>
    <row r="674">
      <c r="A674" t="n">
        <v>3</v>
      </c>
      <c r="B674" t="s">
        <v>1175</v>
      </c>
      <c r="C674" t="str">
        <f t="shared" si="11"/>
        <v>Beverage serving activities</v>
      </c>
      <c r="D674" t="s">
        <v>1176</v>
      </c>
      <c r="E674" t="s">
        <v>526</v>
      </c>
      <c r="F674" t="s">
        <v>1177</v>
      </c>
    </row>
    <row r="675">
      <c r="A675" t="n">
        <v>4</v>
      </c>
      <c r="B675" t="s">
        <v>2789</v>
      </c>
      <c r="C675" t="str">
        <f t="shared" si="11"/>
        <v>Beverage serving activities</v>
      </c>
      <c r="D675" t="s">
        <v>2790</v>
      </c>
      <c r="E675" t="s">
        <v>1175</v>
      </c>
      <c r="F675" t="s">
        <v>2791</v>
      </c>
    </row>
    <row r="676">
      <c r="A676" t="n">
        <v>2</v>
      </c>
      <c r="B676" t="s">
        <v>529</v>
      </c>
      <c r="C676" t="str">
        <f t="shared" si="11"/>
        <v>Publishing activities</v>
      </c>
      <c r="D676" t="s">
        <v>530</v>
      </c>
      <c r="E676" t="s">
        <v>368</v>
      </c>
      <c r="F676" t="s">
        <v>531</v>
      </c>
    </row>
    <row r="677">
      <c r="A677" t="n">
        <v>3</v>
      </c>
      <c r="B677" t="s">
        <v>1178</v>
      </c>
      <c r="C677" t="str">
        <f t="shared" si="11"/>
        <v>Publishing of books, periodicals and other publishing activities</v>
      </c>
      <c r="D677" t="s">
        <v>1179</v>
      </c>
      <c r="E677" t="s">
        <v>529</v>
      </c>
      <c r="F677" t="s">
        <v>1180</v>
      </c>
    </row>
    <row r="678">
      <c r="A678" t="n">
        <v>4</v>
      </c>
      <c r="B678" t="s">
        <v>2792</v>
      </c>
      <c r="C678" t="str">
        <f t="shared" si="11"/>
        <v>Book publishing</v>
      </c>
      <c r="D678" t="s">
        <v>2793</v>
      </c>
      <c r="E678" t="s">
        <v>1178</v>
      </c>
      <c r="F678" t="s">
        <v>2794</v>
      </c>
    </row>
    <row r="679">
      <c r="A679" t="n">
        <v>4</v>
      </c>
      <c r="B679" t="s">
        <v>2795</v>
      </c>
      <c r="C679" t="str">
        <f t="shared" si="11"/>
        <v>Publishing of directories and mailing lists</v>
      </c>
      <c r="D679" t="s">
        <v>2796</v>
      </c>
      <c r="E679" t="s">
        <v>1178</v>
      </c>
      <c r="F679" t="s">
        <v>2797</v>
      </c>
    </row>
    <row r="680">
      <c r="A680" t="n">
        <v>4</v>
      </c>
      <c r="B680" t="s">
        <v>2798</v>
      </c>
      <c r="C680" t="str">
        <f t="shared" si="11"/>
        <v>Publishing of newspapers</v>
      </c>
      <c r="D680" t="s">
        <v>2799</v>
      </c>
      <c r="E680" t="s">
        <v>1178</v>
      </c>
      <c r="F680" t="s">
        <v>2800</v>
      </c>
    </row>
    <row r="681">
      <c r="A681" t="n">
        <v>4</v>
      </c>
      <c r="B681" t="s">
        <v>2801</v>
      </c>
      <c r="C681" t="str">
        <f t="shared" si="11"/>
        <v>Publishing of journals and periodicals</v>
      </c>
      <c r="D681" t="s">
        <v>2802</v>
      </c>
      <c r="E681" t="s">
        <v>1178</v>
      </c>
      <c r="F681" t="s">
        <v>2803</v>
      </c>
    </row>
    <row r="682">
      <c r="A682" t="n">
        <v>4</v>
      </c>
      <c r="B682" t="s">
        <v>2804</v>
      </c>
      <c r="C682" t="str">
        <f t="shared" si="11"/>
        <v>Other publishing activities</v>
      </c>
      <c r="D682" t="s">
        <v>2805</v>
      </c>
      <c r="E682" t="s">
        <v>1178</v>
      </c>
      <c r="F682" t="s">
        <v>2806</v>
      </c>
    </row>
    <row r="683">
      <c r="A683" t="n">
        <v>3</v>
      </c>
      <c r="B683" t="s">
        <v>1181</v>
      </c>
      <c r="C683" t="str">
        <f t="shared" si="11"/>
        <v>Software publishing</v>
      </c>
      <c r="D683" t="s">
        <v>1182</v>
      </c>
      <c r="E683" t="s">
        <v>529</v>
      </c>
      <c r="F683" t="s">
        <v>1183</v>
      </c>
    </row>
    <row r="684">
      <c r="A684" t="n">
        <v>4</v>
      </c>
      <c r="B684" t="s">
        <v>2807</v>
      </c>
      <c r="C684" t="str">
        <f t="shared" si="11"/>
        <v>Publishing of computer games</v>
      </c>
      <c r="D684" t="s">
        <v>2808</v>
      </c>
      <c r="E684" t="s">
        <v>1181</v>
      </c>
      <c r="F684" t="s">
        <v>2809</v>
      </c>
    </row>
    <row r="685">
      <c r="A685" t="n">
        <v>4</v>
      </c>
      <c r="B685" t="s">
        <v>2810</v>
      </c>
      <c r="C685" t="str">
        <f t="shared" si="11"/>
        <v>Other software publishing</v>
      </c>
      <c r="D685" t="s">
        <v>2811</v>
      </c>
      <c r="E685" t="s">
        <v>1181</v>
      </c>
      <c r="F685" t="s">
        <v>2812</v>
      </c>
    </row>
    <row r="686">
      <c r="A686" t="n">
        <v>2</v>
      </c>
      <c r="B686" t="s">
        <v>532</v>
      </c>
      <c r="C686" t="str">
        <f t="shared" si="11"/>
        <v>Motion picture, video and television programme production, sound recording and music publishing activities</v>
      </c>
      <c r="D686" t="s">
        <v>533</v>
      </c>
      <c r="E686" t="s">
        <v>368</v>
      </c>
      <c r="F686" t="s">
        <v>534</v>
      </c>
    </row>
    <row r="687">
      <c r="A687" t="n">
        <v>3</v>
      </c>
      <c r="B687" t="s">
        <v>1184</v>
      </c>
      <c r="C687" t="str">
        <f t="shared" si="11"/>
        <v>Motion picture, video and television programme activities</v>
      </c>
      <c r="D687" t="s">
        <v>1185</v>
      </c>
      <c r="E687" t="s">
        <v>532</v>
      </c>
      <c r="F687" t="s">
        <v>1186</v>
      </c>
    </row>
    <row r="688">
      <c r="A688" t="n">
        <v>4</v>
      </c>
      <c r="B688" t="s">
        <v>2813</v>
      </c>
      <c r="C688" t="str">
        <f t="shared" si="11"/>
        <v>Motion picture, video and television programme production activities</v>
      </c>
      <c r="D688" t="s">
        <v>2814</v>
      </c>
      <c r="E688" t="s">
        <v>1184</v>
      </c>
      <c r="F688" t="s">
        <v>2815</v>
      </c>
    </row>
    <row r="689">
      <c r="A689" t="n">
        <v>4</v>
      </c>
      <c r="B689" t="s">
        <v>2816</v>
      </c>
      <c r="C689" t="str">
        <f t="shared" si="11"/>
        <v>Motion picture, video and television programme post-production activities</v>
      </c>
      <c r="D689" t="s">
        <v>2817</v>
      </c>
      <c r="E689" t="s">
        <v>1184</v>
      </c>
      <c r="F689" t="s">
        <v>2818</v>
      </c>
    </row>
    <row r="690">
      <c r="A690" t="n">
        <v>4</v>
      </c>
      <c r="B690" t="s">
        <v>2819</v>
      </c>
      <c r="C690" t="str">
        <f t="shared" si="11"/>
        <v>Motion picture, video and television programme distribution activities</v>
      </c>
      <c r="D690" t="s">
        <v>2820</v>
      </c>
      <c r="E690" t="s">
        <v>1184</v>
      </c>
      <c r="F690" t="s">
        <v>2821</v>
      </c>
    </row>
    <row r="691">
      <c r="A691" t="n">
        <v>4</v>
      </c>
      <c r="B691" t="s">
        <v>2822</v>
      </c>
      <c r="C691" t="str">
        <f t="shared" si="11"/>
        <v>Motion picture projection activities</v>
      </c>
      <c r="D691" t="s">
        <v>2823</v>
      </c>
      <c r="E691" t="s">
        <v>1184</v>
      </c>
      <c r="F691" t="s">
        <v>2824</v>
      </c>
    </row>
    <row r="692">
      <c r="A692" t="n">
        <v>3</v>
      </c>
      <c r="B692" t="s">
        <v>1187</v>
      </c>
      <c r="C692" t="str">
        <f t="shared" si="11"/>
        <v>Sound recording and music publishing activities</v>
      </c>
      <c r="D692" t="s">
        <v>1188</v>
      </c>
      <c r="E692" t="s">
        <v>532</v>
      </c>
      <c r="F692" t="s">
        <v>1189</v>
      </c>
    </row>
    <row r="693">
      <c r="A693" t="n">
        <v>4</v>
      </c>
      <c r="B693" t="s">
        <v>2825</v>
      </c>
      <c r="C693" t="str">
        <f t="shared" si="11"/>
        <v>Sound recording and music publishing activities</v>
      </c>
      <c r="D693" t="s">
        <v>2826</v>
      </c>
      <c r="E693" t="s">
        <v>1187</v>
      </c>
      <c r="F693" t="s">
        <v>2827</v>
      </c>
    </row>
    <row r="694">
      <c r="A694" t="n">
        <v>2</v>
      </c>
      <c r="B694" t="s">
        <v>535</v>
      </c>
      <c r="C694" t="str">
        <f t="shared" si="11"/>
        <v>Programming and broadcasting activities</v>
      </c>
      <c r="D694" t="s">
        <v>536</v>
      </c>
      <c r="E694" t="s">
        <v>368</v>
      </c>
      <c r="F694" t="s">
        <v>537</v>
      </c>
    </row>
    <row r="695">
      <c r="A695" t="n">
        <v>3</v>
      </c>
      <c r="B695" t="s">
        <v>1190</v>
      </c>
      <c r="C695" t="str">
        <f t="shared" si="11"/>
        <v>Radio broadcasting</v>
      </c>
      <c r="D695" t="s">
        <v>1191</v>
      </c>
      <c r="E695" t="s">
        <v>535</v>
      </c>
      <c r="F695" t="s">
        <v>1192</v>
      </c>
    </row>
    <row r="696">
      <c r="A696" t="n">
        <v>4</v>
      </c>
      <c r="B696" t="s">
        <v>2828</v>
      </c>
      <c r="C696" t="str">
        <f t="shared" si="11"/>
        <v>Radio broadcasting</v>
      </c>
      <c r="D696" t="s">
        <v>2829</v>
      </c>
      <c r="E696" t="s">
        <v>1190</v>
      </c>
      <c r="F696" t="s">
        <v>2830</v>
      </c>
    </row>
    <row r="697">
      <c r="A697" t="n">
        <v>3</v>
      </c>
      <c r="B697" t="s">
        <v>1193</v>
      </c>
      <c r="C697" t="str">
        <f t="shared" si="11"/>
        <v>Television programming and broadcasting activities</v>
      </c>
      <c r="D697" t="s">
        <v>1194</v>
      </c>
      <c r="E697" t="s">
        <v>535</v>
      </c>
      <c r="F697" t="s">
        <v>1195</v>
      </c>
    </row>
    <row r="698">
      <c r="A698" t="n">
        <v>4</v>
      </c>
      <c r="B698" t="s">
        <v>2831</v>
      </c>
      <c r="C698" t="str">
        <f t="shared" si="11"/>
        <v>Television programming and broadcasting activities</v>
      </c>
      <c r="D698" t="s">
        <v>2832</v>
      </c>
      <c r="E698" t="s">
        <v>1193</v>
      </c>
      <c r="F698" t="s">
        <v>2833</v>
      </c>
    </row>
    <row r="699">
      <c r="A699" t="n">
        <v>2</v>
      </c>
      <c r="B699" t="s">
        <v>538</v>
      </c>
      <c r="C699" t="str">
        <f t="shared" si="11"/>
        <v>Telecommunications</v>
      </c>
      <c r="D699" t="s">
        <v>539</v>
      </c>
      <c r="E699" t="s">
        <v>368</v>
      </c>
      <c r="F699" t="s">
        <v>540</v>
      </c>
    </row>
    <row r="700">
      <c r="A700" t="n">
        <v>3</v>
      </c>
      <c r="B700" t="s">
        <v>1196</v>
      </c>
      <c r="C700" t="str">
        <f t="shared" si="11"/>
        <v>Wired telecommunications activities</v>
      </c>
      <c r="D700" t="s">
        <v>1197</v>
      </c>
      <c r="E700" t="s">
        <v>538</v>
      </c>
      <c r="F700" t="s">
        <v>1198</v>
      </c>
    </row>
    <row r="701">
      <c r="A701" t="n">
        <v>4</v>
      </c>
      <c r="B701" t="s">
        <v>2834</v>
      </c>
      <c r="C701" t="str">
        <f t="shared" si="11"/>
        <v>Wired telecommunications activities</v>
      </c>
      <c r="D701" t="s">
        <v>2835</v>
      </c>
      <c r="E701" t="s">
        <v>1196</v>
      </c>
      <c r="F701" t="s">
        <v>2836</v>
      </c>
    </row>
    <row r="702">
      <c r="A702" t="n">
        <v>3</v>
      </c>
      <c r="B702" t="s">
        <v>1199</v>
      </c>
      <c r="C702" t="str">
        <f t="shared" si="11"/>
        <v>Wireless telecommunications activities</v>
      </c>
      <c r="D702" t="s">
        <v>1200</v>
      </c>
      <c r="E702" t="s">
        <v>538</v>
      </c>
      <c r="F702" t="s">
        <v>1201</v>
      </c>
    </row>
    <row r="703">
      <c r="A703" t="n">
        <v>4</v>
      </c>
      <c r="B703" t="s">
        <v>2837</v>
      </c>
      <c r="C703" t="str">
        <f t="shared" si="11"/>
        <v>Wireless telecommunications activities</v>
      </c>
      <c r="D703" t="s">
        <v>2838</v>
      </c>
      <c r="E703" t="s">
        <v>1199</v>
      </c>
      <c r="F703" t="s">
        <v>2839</v>
      </c>
    </row>
    <row r="704">
      <c r="A704" t="n">
        <v>3</v>
      </c>
      <c r="B704" t="s">
        <v>1202</v>
      </c>
      <c r="C704" t="str">
        <f t="shared" si="11"/>
        <v>Satellite telecommunications activities</v>
      </c>
      <c r="D704" t="s">
        <v>1203</v>
      </c>
      <c r="E704" t="s">
        <v>538</v>
      </c>
      <c r="F704" t="s">
        <v>1204</v>
      </c>
    </row>
    <row r="705">
      <c r="A705" t="n">
        <v>4</v>
      </c>
      <c r="B705" t="s">
        <v>2840</v>
      </c>
      <c r="C705" t="str">
        <f t="shared" si="11"/>
        <v>Satellite telecommunications activities</v>
      </c>
      <c r="D705" t="s">
        <v>2841</v>
      </c>
      <c r="E705" t="s">
        <v>1202</v>
      </c>
      <c r="F705" t="s">
        <v>2842</v>
      </c>
    </row>
    <row r="706">
      <c r="A706" t="n">
        <v>3</v>
      </c>
      <c r="B706" t="s">
        <v>1205</v>
      </c>
      <c r="C706" t="str">
        <f t="shared" si="11"/>
        <v>Other telecommunications activities</v>
      </c>
      <c r="D706" t="s">
        <v>1206</v>
      </c>
      <c r="E706" t="s">
        <v>538</v>
      </c>
      <c r="F706" t="s">
        <v>1207</v>
      </c>
    </row>
    <row r="707">
      <c r="A707" t="n">
        <v>4</v>
      </c>
      <c r="B707" t="s">
        <v>2843</v>
      </c>
      <c r="C707" t="str">
        <f t="shared" si="11"/>
        <v>Other telecommunications activities</v>
      </c>
      <c r="D707" t="s">
        <v>2844</v>
      </c>
      <c r="E707" t="s">
        <v>1205</v>
      </c>
      <c r="F707" t="s">
        <v>2845</v>
      </c>
    </row>
    <row r="708">
      <c r="A708" t="n">
        <v>2</v>
      </c>
      <c r="B708" t="s">
        <v>541</v>
      </c>
      <c r="C708" t="str">
        <f t="shared" si="11"/>
        <v>Computer programming, consultancy and related activities</v>
      </c>
      <c r="D708" t="s">
        <v>542</v>
      </c>
      <c r="E708" t="s">
        <v>368</v>
      </c>
      <c r="F708" t="s">
        <v>543</v>
      </c>
    </row>
    <row r="709">
      <c r="A709" t="n">
        <v>3</v>
      </c>
      <c r="B709" t="s">
        <v>1208</v>
      </c>
      <c r="C709" t="str">
        <f t="shared" si="11"/>
        <v>Computer programming, consultancy and related activities</v>
      </c>
      <c r="D709" t="s">
        <v>1209</v>
      </c>
      <c r="E709" t="s">
        <v>541</v>
      </c>
      <c r="F709" t="s">
        <v>1210</v>
      </c>
    </row>
    <row r="710">
      <c r="A710" t="n">
        <v>4</v>
      </c>
      <c r="B710" t="s">
        <v>2846</v>
      </c>
      <c r="C710" t="str">
        <f t="shared" si="11"/>
        <v>Computer programming activities</v>
      </c>
      <c r="D710" t="s">
        <v>2847</v>
      </c>
      <c r="E710" t="s">
        <v>1208</v>
      </c>
      <c r="F710" t="s">
        <v>2848</v>
      </c>
    </row>
    <row r="711">
      <c r="A711" t="n">
        <v>4</v>
      </c>
      <c r="B711" t="s">
        <v>2849</v>
      </c>
      <c r="C711" t="str">
        <f t="shared" si="11"/>
        <v>Computer consultancy activities</v>
      </c>
      <c r="D711" t="s">
        <v>2850</v>
      </c>
      <c r="E711" t="s">
        <v>1208</v>
      </c>
      <c r="F711" t="s">
        <v>2851</v>
      </c>
    </row>
    <row r="712">
      <c r="A712" t="n">
        <v>4</v>
      </c>
      <c r="B712" t="s">
        <v>2852</v>
      </c>
      <c r="C712" t="str">
        <f t="shared" si="11"/>
        <v>Computer facilities management activities</v>
      </c>
      <c r="D712" t="s">
        <v>2853</v>
      </c>
      <c r="E712" t="s">
        <v>1208</v>
      </c>
      <c r="F712" t="s">
        <v>2854</v>
      </c>
    </row>
    <row r="713">
      <c r="A713" t="n">
        <v>4</v>
      </c>
      <c r="B713" t="s">
        <v>2855</v>
      </c>
      <c r="C713" t="str">
        <f t="shared" si="11"/>
        <v>Other information technology and computer service activities</v>
      </c>
      <c r="D713" t="s">
        <v>2856</v>
      </c>
      <c r="E713" t="s">
        <v>1208</v>
      </c>
      <c r="F713" t="s">
        <v>2857</v>
      </c>
    </row>
    <row r="714">
      <c r="A714" t="n">
        <v>2</v>
      </c>
      <c r="B714" t="s">
        <v>544</v>
      </c>
      <c r="C714" t="str">
        <f t="shared" si="11"/>
        <v>Information service activities</v>
      </c>
      <c r="D714" t="s">
        <v>545</v>
      </c>
      <c r="E714" t="s">
        <v>368</v>
      </c>
      <c r="F714" t="s">
        <v>546</v>
      </c>
    </row>
    <row r="715">
      <c r="A715" t="n">
        <v>3</v>
      </c>
      <c r="B715" t="s">
        <v>1211</v>
      </c>
      <c r="C715" t="str">
        <f t="shared" si="11"/>
        <v>Data processing, hosting and related activities; web portals</v>
      </c>
      <c r="D715" t="s">
        <v>1212</v>
      </c>
      <c r="E715" t="s">
        <v>544</v>
      </c>
      <c r="F715" t="s">
        <v>1213</v>
      </c>
    </row>
    <row r="716">
      <c r="A716" t="n">
        <v>4</v>
      </c>
      <c r="B716" t="s">
        <v>2858</v>
      </c>
      <c r="C716" t="str">
        <f t="shared" si="11"/>
        <v>Data processing, hosting and related activities</v>
      </c>
      <c r="D716" t="s">
        <v>2859</v>
      </c>
      <c r="E716" t="s">
        <v>1211</v>
      </c>
      <c r="F716" t="s">
        <v>2860</v>
      </c>
    </row>
    <row r="717">
      <c r="A717" t="n">
        <v>4</v>
      </c>
      <c r="B717" t="s">
        <v>2861</v>
      </c>
      <c r="C717" t="str">
        <f t="shared" si="11"/>
        <v>Web portals</v>
      </c>
      <c r="D717" t="s">
        <v>2862</v>
      </c>
      <c r="E717" t="s">
        <v>1211</v>
      </c>
      <c r="F717" t="s">
        <v>2863</v>
      </c>
    </row>
    <row r="718">
      <c r="A718" t="n">
        <v>3</v>
      </c>
      <c r="B718" t="s">
        <v>1214</v>
      </c>
      <c r="C718" t="str">
        <f t="shared" si="11"/>
        <v>Other information service activities</v>
      </c>
      <c r="D718" t="s">
        <v>1215</v>
      </c>
      <c r="E718" t="s">
        <v>544</v>
      </c>
      <c r="F718" t="s">
        <v>1216</v>
      </c>
    </row>
    <row r="719">
      <c r="A719" t="n">
        <v>4</v>
      </c>
      <c r="B719" t="s">
        <v>2864</v>
      </c>
      <c r="C719" t="str">
        <f t="shared" si="11"/>
        <v>News agency activities</v>
      </c>
      <c r="D719" t="s">
        <v>2865</v>
      </c>
      <c r="E719" t="s">
        <v>1214</v>
      </c>
      <c r="F719" t="s">
        <v>2866</v>
      </c>
    </row>
    <row r="720">
      <c r="A720" t="n">
        <v>4</v>
      </c>
      <c r="B720" t="s">
        <v>2867</v>
      </c>
      <c r="C720" t="str">
        <f t="shared" si="11"/>
        <v>Other information service activities n.e.c.</v>
      </c>
      <c r="D720" t="s">
        <v>2868</v>
      </c>
      <c r="E720" t="s">
        <v>1214</v>
      </c>
      <c r="F720" t="s">
        <v>2869</v>
      </c>
    </row>
    <row r="721">
      <c r="A721" t="n">
        <v>2</v>
      </c>
      <c r="B721" t="s">
        <v>547</v>
      </c>
      <c r="C721" t="str">
        <f t="shared" si="11"/>
        <v>Financial service activities, except insurance and pension funding</v>
      </c>
      <c r="D721" t="s">
        <v>548</v>
      </c>
      <c r="E721" t="s">
        <v>371</v>
      </c>
      <c r="F721" t="s">
        <v>549</v>
      </c>
    </row>
    <row r="722">
      <c r="A722" t="n">
        <v>3</v>
      </c>
      <c r="B722" t="s">
        <v>1217</v>
      </c>
      <c r="C722" t="str">
        <f t="shared" si="11"/>
        <v>Monetary intermediation</v>
      </c>
      <c r="D722" t="s">
        <v>1218</v>
      </c>
      <c r="E722" t="s">
        <v>547</v>
      </c>
      <c r="F722" t="s">
        <v>1219</v>
      </c>
    </row>
    <row r="723">
      <c r="A723" t="n">
        <v>4</v>
      </c>
      <c r="B723" t="s">
        <v>2870</v>
      </c>
      <c r="C723" t="str">
        <f t="shared" si="11"/>
        <v>Central banking</v>
      </c>
      <c r="D723" t="s">
        <v>2871</v>
      </c>
      <c r="E723" t="s">
        <v>1217</v>
      </c>
      <c r="F723" t="s">
        <v>2872</v>
      </c>
    </row>
    <row r="724">
      <c r="A724" t="n">
        <v>4</v>
      </c>
      <c r="B724" t="s">
        <v>2873</v>
      </c>
      <c r="C724" t="str">
        <f t="shared" si="11"/>
        <v>Other monetary intermediation</v>
      </c>
      <c r="D724" t="s">
        <v>2874</v>
      </c>
      <c r="E724" t="s">
        <v>1217</v>
      </c>
      <c r="F724" t="s">
        <v>2875</v>
      </c>
    </row>
    <row r="725">
      <c r="A725" t="n">
        <v>3</v>
      </c>
      <c r="B725" t="s">
        <v>1220</v>
      </c>
      <c r="C725" t="str">
        <f t="shared" si="11"/>
        <v>Activities of holding companies</v>
      </c>
      <c r="D725" t="s">
        <v>1221</v>
      </c>
      <c r="E725" t="s">
        <v>547</v>
      </c>
      <c r="F725" t="s">
        <v>1222</v>
      </c>
    </row>
    <row r="726">
      <c r="A726" t="n">
        <v>4</v>
      </c>
      <c r="B726" t="s">
        <v>2876</v>
      </c>
      <c r="C726" t="str">
        <f t="shared" si="11"/>
        <v>Activities of holding companies</v>
      </c>
      <c r="D726" t="s">
        <v>2877</v>
      </c>
      <c r="E726" t="s">
        <v>1220</v>
      </c>
      <c r="F726" t="s">
        <v>2878</v>
      </c>
    </row>
    <row r="727">
      <c r="A727" t="n">
        <v>3</v>
      </c>
      <c r="B727" t="s">
        <v>1223</v>
      </c>
      <c r="C727" t="str">
        <f t="shared" si="11"/>
        <v>Trusts, funds and similar financial entities</v>
      </c>
      <c r="D727" t="s">
        <v>1224</v>
      </c>
      <c r="E727" t="s">
        <v>547</v>
      </c>
      <c r="F727" t="s">
        <v>1225</v>
      </c>
    </row>
    <row r="728">
      <c r="A728" t="n">
        <v>4</v>
      </c>
      <c r="B728" t="s">
        <v>2879</v>
      </c>
      <c r="C728" t="str">
        <f t="shared" si="11"/>
        <v>Trusts, funds and similar financial entities</v>
      </c>
      <c r="D728" t="s">
        <v>2880</v>
      </c>
      <c r="E728" t="s">
        <v>1223</v>
      </c>
      <c r="F728" t="s">
        <v>2881</v>
      </c>
    </row>
    <row r="729">
      <c r="A729" t="n">
        <v>3</v>
      </c>
      <c r="B729" t="s">
        <v>1226</v>
      </c>
      <c r="C729" t="str">
        <f t="shared" si="11"/>
        <v>Other financial service activities, except insurance and pension funding</v>
      </c>
      <c r="D729" t="s">
        <v>1227</v>
      </c>
      <c r="E729" t="s">
        <v>547</v>
      </c>
      <c r="F729" t="s">
        <v>1228</v>
      </c>
    </row>
    <row r="730">
      <c r="A730" t="n">
        <v>4</v>
      </c>
      <c r="B730" t="s">
        <v>2882</v>
      </c>
      <c r="C730" t="str">
        <f t="shared" ref="C730:C793" si="12">IF(A730=1,RIGHT(D730,LEN(D730)-2),IF(A730=2,RIGHT(D730,LEN(D730)-3),IF(A730=3,RIGHT(D730,LEN(D730)-5),RIGHT(D730,LEN(D730)-6))))</f>
        <v>Financial leasing</v>
      </c>
      <c r="D730" t="s">
        <v>2883</v>
      </c>
      <c r="E730" t="s">
        <v>1226</v>
      </c>
      <c r="F730" t="s">
        <v>2884</v>
      </c>
    </row>
    <row r="731">
      <c r="A731" t="n">
        <v>4</v>
      </c>
      <c r="B731" t="s">
        <v>2885</v>
      </c>
      <c r="C731" t="str">
        <f t="shared" si="12"/>
        <v>Other credit granting</v>
      </c>
      <c r="D731" t="s">
        <v>2886</v>
      </c>
      <c r="E731" t="s">
        <v>1226</v>
      </c>
      <c r="F731" t="s">
        <v>2887</v>
      </c>
    </row>
    <row r="732">
      <c r="A732" t="n">
        <v>4</v>
      </c>
      <c r="B732" t="s">
        <v>2888</v>
      </c>
      <c r="C732" t="str">
        <f t="shared" si="12"/>
        <v>Other financial service activities, except insurance and pension funding n.e.c.</v>
      </c>
      <c r="D732" t="s">
        <v>2889</v>
      </c>
      <c r="E732" t="s">
        <v>1226</v>
      </c>
      <c r="F732" t="s">
        <v>2890</v>
      </c>
    </row>
    <row r="733">
      <c r="A733" t="n">
        <v>2</v>
      </c>
      <c r="B733" t="s">
        <v>550</v>
      </c>
      <c r="C733" t="str">
        <f t="shared" si="12"/>
        <v>Insurance, reinsurance and pension funding, except compulsory social security</v>
      </c>
      <c r="D733" t="s">
        <v>551</v>
      </c>
      <c r="E733" t="s">
        <v>371</v>
      </c>
      <c r="F733" t="s">
        <v>552</v>
      </c>
    </row>
    <row r="734">
      <c r="A734" t="n">
        <v>3</v>
      </c>
      <c r="B734" t="s">
        <v>1229</v>
      </c>
      <c r="C734" t="str">
        <f t="shared" si="12"/>
        <v>Insurance</v>
      </c>
      <c r="D734" t="s">
        <v>1230</v>
      </c>
      <c r="E734" t="s">
        <v>550</v>
      </c>
      <c r="F734" t="s">
        <v>1231</v>
      </c>
    </row>
    <row r="735">
      <c r="A735" t="n">
        <v>4</v>
      </c>
      <c r="B735" t="s">
        <v>2891</v>
      </c>
      <c r="C735" t="str">
        <f t="shared" si="12"/>
        <v>Life insurance</v>
      </c>
      <c r="D735" t="s">
        <v>2892</v>
      </c>
      <c r="E735" t="s">
        <v>1229</v>
      </c>
      <c r="F735" t="s">
        <v>2893</v>
      </c>
    </row>
    <row r="736">
      <c r="A736" t="n">
        <v>4</v>
      </c>
      <c r="B736" t="s">
        <v>2894</v>
      </c>
      <c r="C736" t="str">
        <f t="shared" si="12"/>
        <v>Non-life insurance</v>
      </c>
      <c r="D736" t="s">
        <v>2895</v>
      </c>
      <c r="E736" t="s">
        <v>1229</v>
      </c>
      <c r="F736" t="s">
        <v>2896</v>
      </c>
    </row>
    <row r="737">
      <c r="A737" t="n">
        <v>3</v>
      </c>
      <c r="B737" t="s">
        <v>1232</v>
      </c>
      <c r="C737" t="str">
        <f t="shared" si="12"/>
        <v>Reinsurance</v>
      </c>
      <c r="D737" t="s">
        <v>1233</v>
      </c>
      <c r="E737" t="s">
        <v>550</v>
      </c>
      <c r="F737" t="s">
        <v>1234</v>
      </c>
    </row>
    <row r="738">
      <c r="A738" t="n">
        <v>4</v>
      </c>
      <c r="B738" t="s">
        <v>2897</v>
      </c>
      <c r="C738" t="str">
        <f t="shared" si="12"/>
        <v>Reinsurance</v>
      </c>
      <c r="D738" t="s">
        <v>2898</v>
      </c>
      <c r="E738" t="s">
        <v>1232</v>
      </c>
      <c r="F738" t="s">
        <v>2899</v>
      </c>
    </row>
    <row r="739">
      <c r="A739" t="n">
        <v>3</v>
      </c>
      <c r="B739" t="s">
        <v>1235</v>
      </c>
      <c r="C739" t="str">
        <f t="shared" si="12"/>
        <v>Pension funding</v>
      </c>
      <c r="D739" t="s">
        <v>1236</v>
      </c>
      <c r="E739" t="s">
        <v>550</v>
      </c>
      <c r="F739" t="s">
        <v>1237</v>
      </c>
    </row>
    <row r="740">
      <c r="A740" t="n">
        <v>4</v>
      </c>
      <c r="B740" t="s">
        <v>2900</v>
      </c>
      <c r="C740" t="str">
        <f t="shared" si="12"/>
        <v>Pension funding</v>
      </c>
      <c r="D740" t="s">
        <v>2901</v>
      </c>
      <c r="E740" t="s">
        <v>1235</v>
      </c>
      <c r="F740" t="s">
        <v>2902</v>
      </c>
    </row>
    <row r="741">
      <c r="A741" t="n">
        <v>2</v>
      </c>
      <c r="B741" t="s">
        <v>553</v>
      </c>
      <c r="C741" t="str">
        <f t="shared" si="12"/>
        <v>Activities auxiliary to financial services and insurance activities</v>
      </c>
      <c r="D741" t="s">
        <v>554</v>
      </c>
      <c r="E741" t="s">
        <v>371</v>
      </c>
      <c r="F741" t="s">
        <v>555</v>
      </c>
    </row>
    <row r="742">
      <c r="A742" t="n">
        <v>3</v>
      </c>
      <c r="B742" t="s">
        <v>1238</v>
      </c>
      <c r="C742" t="str">
        <f t="shared" si="12"/>
        <v>Activities auxiliary to financial services, except insurance and pension funding</v>
      </c>
      <c r="D742" t="s">
        <v>1239</v>
      </c>
      <c r="E742" t="s">
        <v>553</v>
      </c>
      <c r="F742" t="s">
        <v>1240</v>
      </c>
    </row>
    <row r="743">
      <c r="A743" t="n">
        <v>4</v>
      </c>
      <c r="B743" t="s">
        <v>2903</v>
      </c>
      <c r="C743" t="str">
        <f t="shared" si="12"/>
        <v>Administration of financial markets</v>
      </c>
      <c r="D743" t="s">
        <v>2904</v>
      </c>
      <c r="E743" t="s">
        <v>1238</v>
      </c>
      <c r="F743" t="s">
        <v>2905</v>
      </c>
    </row>
    <row r="744">
      <c r="A744" t="n">
        <v>4</v>
      </c>
      <c r="B744" t="s">
        <v>2906</v>
      </c>
      <c r="C744" t="str">
        <f t="shared" si="12"/>
        <v>Security and commodity contracts brokerage</v>
      </c>
      <c r="D744" t="s">
        <v>2907</v>
      </c>
      <c r="E744" t="s">
        <v>1238</v>
      </c>
      <c r="F744" t="s">
        <v>2908</v>
      </c>
    </row>
    <row r="745">
      <c r="A745" t="n">
        <v>4</v>
      </c>
      <c r="B745" t="s">
        <v>2909</v>
      </c>
      <c r="C745" t="str">
        <f t="shared" si="12"/>
        <v>Other activities auxiliary to financial services, except insurance and pension funding</v>
      </c>
      <c r="D745" t="s">
        <v>2910</v>
      </c>
      <c r="E745" t="s">
        <v>1238</v>
      </c>
      <c r="F745" t="s">
        <v>2911</v>
      </c>
    </row>
    <row r="746">
      <c r="A746" t="n">
        <v>3</v>
      </c>
      <c r="B746" t="s">
        <v>1241</v>
      </c>
      <c r="C746" t="str">
        <f t="shared" si="12"/>
        <v>Activities auxiliary to insurance and pension funding</v>
      </c>
      <c r="D746" t="s">
        <v>1242</v>
      </c>
      <c r="E746" t="s">
        <v>553</v>
      </c>
      <c r="F746" t="s">
        <v>1243</v>
      </c>
    </row>
    <row r="747">
      <c r="A747" t="n">
        <v>4</v>
      </c>
      <c r="B747" t="s">
        <v>2912</v>
      </c>
      <c r="C747" t="str">
        <f t="shared" si="12"/>
        <v>Risk and damage evaluation</v>
      </c>
      <c r="D747" t="s">
        <v>2913</v>
      </c>
      <c r="E747" t="s">
        <v>1241</v>
      </c>
      <c r="F747" t="s">
        <v>2914</v>
      </c>
    </row>
    <row r="748">
      <c r="A748" t="n">
        <v>4</v>
      </c>
      <c r="B748" t="s">
        <v>2915</v>
      </c>
      <c r="C748" t="str">
        <f t="shared" si="12"/>
        <v>Activities of insurance agents and brokers</v>
      </c>
      <c r="D748" t="s">
        <v>2916</v>
      </c>
      <c r="E748" t="s">
        <v>1241</v>
      </c>
      <c r="F748" t="s">
        <v>2917</v>
      </c>
    </row>
    <row r="749">
      <c r="A749" t="n">
        <v>4</v>
      </c>
      <c r="B749" t="s">
        <v>2918</v>
      </c>
      <c r="C749" t="str">
        <f t="shared" si="12"/>
        <v>Other activities auxiliary to insurance and pension funding</v>
      </c>
      <c r="D749" t="s">
        <v>2919</v>
      </c>
      <c r="E749" t="s">
        <v>1241</v>
      </c>
      <c r="F749" t="s">
        <v>2920</v>
      </c>
    </row>
    <row r="750">
      <c r="A750" t="n">
        <v>3</v>
      </c>
      <c r="B750" t="s">
        <v>1244</v>
      </c>
      <c r="C750" t="str">
        <f t="shared" si="12"/>
        <v>Fund management activities</v>
      </c>
      <c r="D750" t="s">
        <v>1245</v>
      </c>
      <c r="E750" t="s">
        <v>553</v>
      </c>
      <c r="F750" t="s">
        <v>1246</v>
      </c>
    </row>
    <row r="751">
      <c r="A751" t="n">
        <v>4</v>
      </c>
      <c r="B751" t="s">
        <v>2921</v>
      </c>
      <c r="C751" t="str">
        <f t="shared" si="12"/>
        <v>Fund management activities</v>
      </c>
      <c r="D751" t="s">
        <v>2922</v>
      </c>
      <c r="E751" t="s">
        <v>1244</v>
      </c>
      <c r="F751" t="s">
        <v>2923</v>
      </c>
    </row>
    <row r="752">
      <c r="A752" t="n">
        <v>2</v>
      </c>
      <c r="B752" t="s">
        <v>556</v>
      </c>
      <c r="C752" t="str">
        <f t="shared" si="12"/>
        <v>Real estate activities</v>
      </c>
      <c r="D752" t="s">
        <v>557</v>
      </c>
      <c r="E752" t="s">
        <v>374</v>
      </c>
      <c r="F752" t="s">
        <v>558</v>
      </c>
    </row>
    <row r="753">
      <c r="A753" t="n">
        <v>3</v>
      </c>
      <c r="B753" t="s">
        <v>1247</v>
      </c>
      <c r="C753" t="str">
        <f t="shared" si="12"/>
        <v>Buying and selling of own real estate</v>
      </c>
      <c r="D753" t="s">
        <v>1248</v>
      </c>
      <c r="E753" t="s">
        <v>556</v>
      </c>
      <c r="F753" t="s">
        <v>1249</v>
      </c>
    </row>
    <row r="754">
      <c r="A754" t="n">
        <v>4</v>
      </c>
      <c r="B754" t="s">
        <v>2924</v>
      </c>
      <c r="C754" t="str">
        <f t="shared" si="12"/>
        <v>Buying and selling of own real estate</v>
      </c>
      <c r="D754" t="s">
        <v>2925</v>
      </c>
      <c r="E754" t="s">
        <v>1247</v>
      </c>
      <c r="F754" t="s">
        <v>2926</v>
      </c>
    </row>
    <row r="755">
      <c r="A755" t="n">
        <v>3</v>
      </c>
      <c r="B755" t="s">
        <v>1250</v>
      </c>
      <c r="C755" t="str">
        <f t="shared" si="12"/>
        <v>Rental and operating of own or leased real estate</v>
      </c>
      <c r="D755" t="s">
        <v>1251</v>
      </c>
      <c r="E755" t="s">
        <v>556</v>
      </c>
      <c r="F755" t="s">
        <v>1252</v>
      </c>
    </row>
    <row r="756">
      <c r="A756" t="n">
        <v>4</v>
      </c>
      <c r="B756" t="s">
        <v>2927</v>
      </c>
      <c r="C756" t="str">
        <f t="shared" si="12"/>
        <v>Rental and operating of own or leased real estate</v>
      </c>
      <c r="D756" t="s">
        <v>2928</v>
      </c>
      <c r="E756" t="s">
        <v>1250</v>
      </c>
      <c r="F756" t="s">
        <v>2929</v>
      </c>
    </row>
    <row r="757">
      <c r="A757" t="n">
        <v>3</v>
      </c>
      <c r="B757" t="s">
        <v>1253</v>
      </c>
      <c r="C757" t="str">
        <f t="shared" si="12"/>
        <v>Real estate activities on a fee or contract basis</v>
      </c>
      <c r="D757" t="s">
        <v>1254</v>
      </c>
      <c r="E757" t="s">
        <v>556</v>
      </c>
      <c r="F757" t="s">
        <v>1255</v>
      </c>
    </row>
    <row r="758">
      <c r="A758" t="n">
        <v>4</v>
      </c>
      <c r="B758" t="s">
        <v>2930</v>
      </c>
      <c r="C758" t="str">
        <f t="shared" si="12"/>
        <v>Real estate agencies</v>
      </c>
      <c r="D758" t="s">
        <v>2931</v>
      </c>
      <c r="E758" t="s">
        <v>1253</v>
      </c>
      <c r="F758" t="s">
        <v>2932</v>
      </c>
    </row>
    <row r="759">
      <c r="A759" t="n">
        <v>4</v>
      </c>
      <c r="B759" t="s">
        <v>2933</v>
      </c>
      <c r="C759" t="str">
        <f t="shared" si="12"/>
        <v>Management of real estate on a fee or contract basis</v>
      </c>
      <c r="D759" t="s">
        <v>2934</v>
      </c>
      <c r="E759" t="s">
        <v>1253</v>
      </c>
      <c r="F759" t="s">
        <v>2935</v>
      </c>
    </row>
    <row r="760">
      <c r="A760" t="n">
        <v>2</v>
      </c>
      <c r="B760" t="s">
        <v>559</v>
      </c>
      <c r="C760" t="str">
        <f t="shared" si="12"/>
        <v>Legal and accounting activities</v>
      </c>
      <c r="D760" t="s">
        <v>560</v>
      </c>
      <c r="E760" t="s">
        <v>377</v>
      </c>
      <c r="F760" t="s">
        <v>561</v>
      </c>
    </row>
    <row r="761">
      <c r="A761" t="n">
        <v>3</v>
      </c>
      <c r="B761" t="s">
        <v>1256</v>
      </c>
      <c r="C761" t="str">
        <f t="shared" si="12"/>
        <v>Legal activities</v>
      </c>
      <c r="D761" t="s">
        <v>1257</v>
      </c>
      <c r="E761" t="s">
        <v>559</v>
      </c>
      <c r="F761" t="s">
        <v>1258</v>
      </c>
    </row>
    <row r="762">
      <c r="A762" t="n">
        <v>4</v>
      </c>
      <c r="B762" t="s">
        <v>2936</v>
      </c>
      <c r="C762" t="str">
        <f t="shared" si="12"/>
        <v>Legal activities</v>
      </c>
      <c r="D762" t="s">
        <v>2937</v>
      </c>
      <c r="E762" t="s">
        <v>1256</v>
      </c>
      <c r="F762" t="s">
        <v>2938</v>
      </c>
    </row>
    <row r="763">
      <c r="A763" t="n">
        <v>3</v>
      </c>
      <c r="B763" t="s">
        <v>1259</v>
      </c>
      <c r="C763" t="str">
        <f t="shared" si="12"/>
        <v>Accounting, bookkeeping and auditing activities; tax consultancy</v>
      </c>
      <c r="D763" t="s">
        <v>1260</v>
      </c>
      <c r="E763" t="s">
        <v>559</v>
      </c>
      <c r="F763" t="s">
        <v>1261</v>
      </c>
    </row>
    <row r="764">
      <c r="A764" t="n">
        <v>4</v>
      </c>
      <c r="B764" t="s">
        <v>2939</v>
      </c>
      <c r="C764" t="str">
        <f t="shared" si="12"/>
        <v>Accounting, bookkeeping and auditing activities; tax consultancy</v>
      </c>
      <c r="D764" t="s">
        <v>2940</v>
      </c>
      <c r="E764" t="s">
        <v>1259</v>
      </c>
      <c r="F764" t="s">
        <v>2941</v>
      </c>
    </row>
    <row r="765">
      <c r="A765" t="n">
        <v>2</v>
      </c>
      <c r="B765" t="s">
        <v>562</v>
      </c>
      <c r="C765" t="str">
        <f t="shared" si="12"/>
        <v>Activities of head offices; management consultancy activities</v>
      </c>
      <c r="D765" t="s">
        <v>563</v>
      </c>
      <c r="E765" t="s">
        <v>377</v>
      </c>
      <c r="F765" t="s">
        <v>564</v>
      </c>
    </row>
    <row r="766">
      <c r="A766" t="n">
        <v>3</v>
      </c>
      <c r="B766" t="s">
        <v>1262</v>
      </c>
      <c r="C766" t="str">
        <f t="shared" si="12"/>
        <v>Activities of head offices</v>
      </c>
      <c r="D766" t="s">
        <v>1263</v>
      </c>
      <c r="E766" t="s">
        <v>562</v>
      </c>
      <c r="F766" t="s">
        <v>1264</v>
      </c>
    </row>
    <row r="767">
      <c r="A767" t="n">
        <v>4</v>
      </c>
      <c r="B767" t="s">
        <v>2942</v>
      </c>
      <c r="C767" t="str">
        <f t="shared" si="12"/>
        <v>Activities of head offices</v>
      </c>
      <c r="D767" t="s">
        <v>2943</v>
      </c>
      <c r="E767" t="s">
        <v>1262</v>
      </c>
      <c r="F767" t="s">
        <v>2944</v>
      </c>
    </row>
    <row r="768">
      <c r="A768" t="n">
        <v>3</v>
      </c>
      <c r="B768" t="s">
        <v>1265</v>
      </c>
      <c r="C768" t="str">
        <f t="shared" si="12"/>
        <v>Management consultancy activities</v>
      </c>
      <c r="D768" t="s">
        <v>1266</v>
      </c>
      <c r="E768" t="s">
        <v>562</v>
      </c>
      <c r="F768" t="s">
        <v>1267</v>
      </c>
    </row>
    <row r="769">
      <c r="A769" t="n">
        <v>4</v>
      </c>
      <c r="B769" t="s">
        <v>2945</v>
      </c>
      <c r="C769" t="str">
        <f t="shared" si="12"/>
        <v>Public relations and communication activities</v>
      </c>
      <c r="D769" t="s">
        <v>2946</v>
      </c>
      <c r="E769" t="s">
        <v>1265</v>
      </c>
      <c r="F769" t="s">
        <v>2947</v>
      </c>
    </row>
    <row r="770">
      <c r="A770" t="n">
        <v>4</v>
      </c>
      <c r="B770" t="s">
        <v>2948</v>
      </c>
      <c r="C770" t="str">
        <f t="shared" si="12"/>
        <v>Business and other management consultancy activities</v>
      </c>
      <c r="D770" t="s">
        <v>2949</v>
      </c>
      <c r="E770" t="s">
        <v>1265</v>
      </c>
      <c r="F770" t="s">
        <v>2950</v>
      </c>
    </row>
    <row r="771">
      <c r="A771" t="n">
        <v>2</v>
      </c>
      <c r="B771" t="s">
        <v>565</v>
      </c>
      <c r="C771" t="str">
        <f t="shared" si="12"/>
        <v>Architectural and engineering activities; technical testing and analysis</v>
      </c>
      <c r="D771" t="s">
        <v>566</v>
      </c>
      <c r="E771" t="s">
        <v>377</v>
      </c>
      <c r="F771" t="s">
        <v>567</v>
      </c>
    </row>
    <row r="772">
      <c r="A772" t="n">
        <v>3</v>
      </c>
      <c r="B772" t="s">
        <v>1268</v>
      </c>
      <c r="C772" t="str">
        <f t="shared" si="12"/>
        <v>Architectural and engineering activities and related technical consultancy</v>
      </c>
      <c r="D772" t="s">
        <v>1269</v>
      </c>
      <c r="E772" t="s">
        <v>565</v>
      </c>
      <c r="F772" t="s">
        <v>1270</v>
      </c>
    </row>
    <row r="773">
      <c r="A773" t="n">
        <v>4</v>
      </c>
      <c r="B773" t="s">
        <v>2951</v>
      </c>
      <c r="C773" t="str">
        <f t="shared" si="12"/>
        <v>Architectural activities</v>
      </c>
      <c r="D773" t="s">
        <v>2952</v>
      </c>
      <c r="E773" t="s">
        <v>1268</v>
      </c>
      <c r="F773" t="s">
        <v>2953</v>
      </c>
    </row>
    <row r="774">
      <c r="A774" t="n">
        <v>4</v>
      </c>
      <c r="B774" t="s">
        <v>2954</v>
      </c>
      <c r="C774" t="str">
        <f t="shared" si="12"/>
        <v>Engineering activities and related technical consultancy</v>
      </c>
      <c r="D774" t="s">
        <v>2955</v>
      </c>
      <c r="E774" t="s">
        <v>1268</v>
      </c>
      <c r="F774" t="s">
        <v>2956</v>
      </c>
    </row>
    <row r="775">
      <c r="A775" t="n">
        <v>3</v>
      </c>
      <c r="B775" t="s">
        <v>1271</v>
      </c>
      <c r="C775" t="str">
        <f t="shared" si="12"/>
        <v>Technical testing and analysis</v>
      </c>
      <c r="D775" t="s">
        <v>1272</v>
      </c>
      <c r="E775" t="s">
        <v>565</v>
      </c>
      <c r="F775" t="s">
        <v>1273</v>
      </c>
    </row>
    <row r="776">
      <c r="A776" t="n">
        <v>4</v>
      </c>
      <c r="B776" t="s">
        <v>2957</v>
      </c>
      <c r="C776" t="str">
        <f t="shared" si="12"/>
        <v>Technical testing and analysis</v>
      </c>
      <c r="D776" t="s">
        <v>2958</v>
      </c>
      <c r="E776" t="s">
        <v>1271</v>
      </c>
      <c r="F776" t="s">
        <v>2959</v>
      </c>
    </row>
    <row r="777">
      <c r="A777" t="n">
        <v>2</v>
      </c>
      <c r="B777" t="s">
        <v>568</v>
      </c>
      <c r="C777" t="str">
        <f t="shared" si="12"/>
        <v>Scientific research and development</v>
      </c>
      <c r="D777" t="s">
        <v>569</v>
      </c>
      <c r="E777" t="s">
        <v>377</v>
      </c>
      <c r="F777" t="s">
        <v>570</v>
      </c>
    </row>
    <row r="778">
      <c r="A778" t="n">
        <v>3</v>
      </c>
      <c r="B778" t="s">
        <v>1274</v>
      </c>
      <c r="C778" t="str">
        <f t="shared" si="12"/>
        <v>Research and experimental development on natural sciences and engineering</v>
      </c>
      <c r="D778" t="s">
        <v>1275</v>
      </c>
      <c r="E778" t="s">
        <v>568</v>
      </c>
      <c r="F778" t="s">
        <v>1276</v>
      </c>
    </row>
    <row r="779">
      <c r="A779" t="n">
        <v>4</v>
      </c>
      <c r="B779" t="s">
        <v>2960</v>
      </c>
      <c r="C779" t="str">
        <f t="shared" si="12"/>
        <v>Research and experimental development on biotechnology</v>
      </c>
      <c r="D779" t="s">
        <v>2961</v>
      </c>
      <c r="E779" t="s">
        <v>1274</v>
      </c>
      <c r="F779" t="s">
        <v>2962</v>
      </c>
    </row>
    <row r="780">
      <c r="A780" t="n">
        <v>4</v>
      </c>
      <c r="B780" t="s">
        <v>2963</v>
      </c>
      <c r="C780" t="str">
        <f t="shared" si="12"/>
        <v>Other research and experimental development on natural sciences and engineering</v>
      </c>
      <c r="D780" t="s">
        <v>2964</v>
      </c>
      <c r="E780" t="s">
        <v>1274</v>
      </c>
      <c r="F780" t="s">
        <v>2965</v>
      </c>
    </row>
    <row r="781">
      <c r="A781" t="n">
        <v>3</v>
      </c>
      <c r="B781" t="s">
        <v>1277</v>
      </c>
      <c r="C781" t="str">
        <f t="shared" si="12"/>
        <v>Research and experimental development on social sciences and humanities</v>
      </c>
      <c r="D781" t="s">
        <v>1278</v>
      </c>
      <c r="E781" t="s">
        <v>568</v>
      </c>
      <c r="F781" t="s">
        <v>1279</v>
      </c>
    </row>
    <row r="782">
      <c r="A782" t="n">
        <v>4</v>
      </c>
      <c r="B782" t="s">
        <v>2966</v>
      </c>
      <c r="C782" t="str">
        <f t="shared" si="12"/>
        <v>Research and experimental development on social sciences and humanities</v>
      </c>
      <c r="D782" t="s">
        <v>2967</v>
      </c>
      <c r="E782" t="s">
        <v>1277</v>
      </c>
      <c r="F782" t="s">
        <v>2968</v>
      </c>
    </row>
    <row r="783">
      <c r="A783" t="n">
        <v>2</v>
      </c>
      <c r="B783" t="s">
        <v>571</v>
      </c>
      <c r="C783" t="str">
        <f t="shared" si="12"/>
        <v>Advertising and market research</v>
      </c>
      <c r="D783" t="s">
        <v>572</v>
      </c>
      <c r="E783" t="s">
        <v>377</v>
      </c>
      <c r="F783" t="s">
        <v>573</v>
      </c>
    </row>
    <row r="784">
      <c r="A784" t="n">
        <v>3</v>
      </c>
      <c r="B784" t="s">
        <v>1280</v>
      </c>
      <c r="C784" t="str">
        <f t="shared" si="12"/>
        <v>Advertising</v>
      </c>
      <c r="D784" t="s">
        <v>1281</v>
      </c>
      <c r="E784" t="s">
        <v>571</v>
      </c>
      <c r="F784" t="s">
        <v>1282</v>
      </c>
    </row>
    <row r="785">
      <c r="A785" t="n">
        <v>4</v>
      </c>
      <c r="B785" t="s">
        <v>2969</v>
      </c>
      <c r="C785" t="str">
        <f t="shared" si="12"/>
        <v>Advertising agencies</v>
      </c>
      <c r="D785" t="s">
        <v>2970</v>
      </c>
      <c r="E785" t="s">
        <v>1280</v>
      </c>
      <c r="F785" t="s">
        <v>2971</v>
      </c>
    </row>
    <row r="786">
      <c r="A786" t="n">
        <v>4</v>
      </c>
      <c r="B786" t="s">
        <v>2972</v>
      </c>
      <c r="C786" t="str">
        <f t="shared" si="12"/>
        <v>Media representation</v>
      </c>
      <c r="D786" t="s">
        <v>2973</v>
      </c>
      <c r="E786" t="s">
        <v>1280</v>
      </c>
      <c r="F786" t="s">
        <v>2974</v>
      </c>
    </row>
    <row r="787">
      <c r="A787" t="n">
        <v>3</v>
      </c>
      <c r="B787" t="s">
        <v>1283</v>
      </c>
      <c r="C787" t="str">
        <f t="shared" si="12"/>
        <v>Market research and public opinion polling</v>
      </c>
      <c r="D787" t="s">
        <v>1284</v>
      </c>
      <c r="E787" t="s">
        <v>571</v>
      </c>
      <c r="F787" t="s">
        <v>1285</v>
      </c>
    </row>
    <row r="788">
      <c r="A788" t="n">
        <v>4</v>
      </c>
      <c r="B788" t="s">
        <v>2975</v>
      </c>
      <c r="C788" t="str">
        <f t="shared" si="12"/>
        <v>Market research and public opinion polling</v>
      </c>
      <c r="D788" t="s">
        <v>2976</v>
      </c>
      <c r="E788" t="s">
        <v>1283</v>
      </c>
      <c r="F788" t="s">
        <v>2977</v>
      </c>
    </row>
    <row r="789">
      <c r="A789" t="n">
        <v>2</v>
      </c>
      <c r="B789" t="s">
        <v>574</v>
      </c>
      <c r="C789" t="str">
        <f t="shared" si="12"/>
        <v>Other professional, scientific and technical activities</v>
      </c>
      <c r="D789" t="s">
        <v>575</v>
      </c>
      <c r="E789" t="s">
        <v>377</v>
      </c>
      <c r="F789" t="s">
        <v>576</v>
      </c>
    </row>
    <row r="790">
      <c r="A790" t="n">
        <v>3</v>
      </c>
      <c r="B790" t="s">
        <v>1286</v>
      </c>
      <c r="C790" t="str">
        <f t="shared" si="12"/>
        <v>Specialised design activities</v>
      </c>
      <c r="D790" t="s">
        <v>1287</v>
      </c>
      <c r="E790" t="s">
        <v>574</v>
      </c>
      <c r="F790" t="s">
        <v>1288</v>
      </c>
    </row>
    <row r="791">
      <c r="A791" t="n">
        <v>4</v>
      </c>
      <c r="B791" t="s">
        <v>2978</v>
      </c>
      <c r="C791" t="str">
        <f t="shared" si="12"/>
        <v>Specialised design activities</v>
      </c>
      <c r="D791" t="s">
        <v>2979</v>
      </c>
      <c r="E791" t="s">
        <v>1286</v>
      </c>
      <c r="F791" t="s">
        <v>2980</v>
      </c>
    </row>
    <row r="792">
      <c r="A792" t="n">
        <v>3</v>
      </c>
      <c r="B792" t="s">
        <v>1289</v>
      </c>
      <c r="C792" t="str">
        <f t="shared" si="12"/>
        <v>Photographic activities</v>
      </c>
      <c r="D792" t="s">
        <v>1290</v>
      </c>
      <c r="E792" t="s">
        <v>574</v>
      </c>
      <c r="F792" t="s">
        <v>1291</v>
      </c>
    </row>
    <row r="793">
      <c r="A793" t="n">
        <v>4</v>
      </c>
      <c r="B793" t="s">
        <v>2981</v>
      </c>
      <c r="C793" t="str">
        <f t="shared" si="12"/>
        <v>Photographic activities</v>
      </c>
      <c r="D793" t="s">
        <v>2982</v>
      </c>
      <c r="E793" t="s">
        <v>1289</v>
      </c>
      <c r="F793" t="s">
        <v>2983</v>
      </c>
    </row>
    <row r="794">
      <c r="A794" t="n">
        <v>3</v>
      </c>
      <c r="B794" t="s">
        <v>1292</v>
      </c>
      <c r="C794" t="str">
        <f t="shared" ref="C794:C857" si="13">IF(A794=1,RIGHT(D794,LEN(D794)-2),IF(A794=2,RIGHT(D794,LEN(D794)-3),IF(A794=3,RIGHT(D794,LEN(D794)-5),RIGHT(D794,LEN(D794)-6))))</f>
        <v>Translation and interpretation activities</v>
      </c>
      <c r="D794" t="s">
        <v>1293</v>
      </c>
      <c r="E794" t="s">
        <v>574</v>
      </c>
      <c r="F794" t="s">
        <v>1294</v>
      </c>
    </row>
    <row r="795">
      <c r="A795" t="n">
        <v>4</v>
      </c>
      <c r="B795" t="s">
        <v>2984</v>
      </c>
      <c r="C795" t="str">
        <f t="shared" si="13"/>
        <v>Translation and interpretation activities</v>
      </c>
      <c r="D795" t="s">
        <v>2985</v>
      </c>
      <c r="E795" t="s">
        <v>1292</v>
      </c>
      <c r="F795" t="s">
        <v>2986</v>
      </c>
    </row>
    <row r="796">
      <c r="A796" t="n">
        <v>3</v>
      </c>
      <c r="B796" t="s">
        <v>1295</v>
      </c>
      <c r="C796" t="str">
        <f t="shared" si="13"/>
        <v>Other professional, scientific and technical activities n.e.c.</v>
      </c>
      <c r="D796" t="s">
        <v>1296</v>
      </c>
      <c r="E796" t="s">
        <v>574</v>
      </c>
      <c r="F796" t="s">
        <v>1297</v>
      </c>
    </row>
    <row r="797">
      <c r="A797" t="n">
        <v>4</v>
      </c>
      <c r="B797" t="s">
        <v>2987</v>
      </c>
      <c r="C797" t="str">
        <f t="shared" si="13"/>
        <v>Other professional, scientific and technical activities n.e.c.</v>
      </c>
      <c r="D797" t="s">
        <v>2988</v>
      </c>
      <c r="E797" t="s">
        <v>1295</v>
      </c>
      <c r="F797" t="s">
        <v>2989</v>
      </c>
    </row>
    <row r="798">
      <c r="A798" t="n">
        <v>2</v>
      </c>
      <c r="B798" t="s">
        <v>577</v>
      </c>
      <c r="C798" t="str">
        <f t="shared" si="13"/>
        <v>Veterinary activities</v>
      </c>
      <c r="D798" t="s">
        <v>578</v>
      </c>
      <c r="E798" t="s">
        <v>377</v>
      </c>
      <c r="F798" t="s">
        <v>579</v>
      </c>
    </row>
    <row r="799">
      <c r="A799" t="n">
        <v>3</v>
      </c>
      <c r="B799" t="s">
        <v>1298</v>
      </c>
      <c r="C799" t="str">
        <f t="shared" si="13"/>
        <v>Veterinary activities</v>
      </c>
      <c r="D799" t="s">
        <v>1299</v>
      </c>
      <c r="E799" t="s">
        <v>577</v>
      </c>
      <c r="F799" t="s">
        <v>1300</v>
      </c>
    </row>
    <row r="800">
      <c r="A800" t="n">
        <v>4</v>
      </c>
      <c r="B800" t="s">
        <v>2990</v>
      </c>
      <c r="C800" t="str">
        <f t="shared" si="13"/>
        <v>Veterinary activities</v>
      </c>
      <c r="D800" t="s">
        <v>2991</v>
      </c>
      <c r="E800" t="s">
        <v>1298</v>
      </c>
      <c r="F800" t="s">
        <v>2992</v>
      </c>
    </row>
    <row r="801">
      <c r="A801" t="n">
        <v>2</v>
      </c>
      <c r="B801" t="s">
        <v>580</v>
      </c>
      <c r="C801" t="str">
        <f t="shared" si="13"/>
        <v>Rental and leasing activities</v>
      </c>
      <c r="D801" t="s">
        <v>581</v>
      </c>
      <c r="E801" t="s">
        <v>380</v>
      </c>
      <c r="F801" t="s">
        <v>582</v>
      </c>
    </row>
    <row r="802">
      <c r="A802" t="n">
        <v>3</v>
      </c>
      <c r="B802" t="s">
        <v>1301</v>
      </c>
      <c r="C802" t="str">
        <f t="shared" si="13"/>
        <v>Rental and leasing of motor vehicles</v>
      </c>
      <c r="D802" t="s">
        <v>1302</v>
      </c>
      <c r="E802" t="s">
        <v>580</v>
      </c>
      <c r="F802" t="s">
        <v>1303</v>
      </c>
    </row>
    <row r="803">
      <c r="A803" t="n">
        <v>4</v>
      </c>
      <c r="B803" t="s">
        <v>2993</v>
      </c>
      <c r="C803" t="str">
        <f t="shared" si="13"/>
        <v>Rental and leasing of cars and light motor vehicles</v>
      </c>
      <c r="D803" t="s">
        <v>2994</v>
      </c>
      <c r="E803" t="s">
        <v>1301</v>
      </c>
      <c r="F803" t="s">
        <v>2995</v>
      </c>
    </row>
    <row r="804">
      <c r="A804" t="n">
        <v>4</v>
      </c>
      <c r="B804" t="s">
        <v>2996</v>
      </c>
      <c r="C804" t="str">
        <f t="shared" si="13"/>
        <v>Rental and leasing of trucks</v>
      </c>
      <c r="D804" t="s">
        <v>2997</v>
      </c>
      <c r="E804" t="s">
        <v>1301</v>
      </c>
      <c r="F804" t="s">
        <v>2998</v>
      </c>
    </row>
    <row r="805">
      <c r="A805" t="n">
        <v>3</v>
      </c>
      <c r="B805" t="s">
        <v>1304</v>
      </c>
      <c r="C805" t="str">
        <f t="shared" si="13"/>
        <v>Rental and leasing of personal and household goods</v>
      </c>
      <c r="D805" t="s">
        <v>1305</v>
      </c>
      <c r="E805" t="s">
        <v>580</v>
      </c>
      <c r="F805" t="s">
        <v>1306</v>
      </c>
    </row>
    <row r="806">
      <c r="A806" t="n">
        <v>4</v>
      </c>
      <c r="B806" t="s">
        <v>2999</v>
      </c>
      <c r="C806" t="str">
        <f t="shared" si="13"/>
        <v>Rental and leasing of recreational and sports goods</v>
      </c>
      <c r="D806" t="s">
        <v>3000</v>
      </c>
      <c r="E806" t="s">
        <v>1304</v>
      </c>
      <c r="F806" t="s">
        <v>3001</v>
      </c>
    </row>
    <row r="807">
      <c r="A807" t="n">
        <v>4</v>
      </c>
      <c r="B807" t="s">
        <v>3002</v>
      </c>
      <c r="C807" t="str">
        <f t="shared" si="13"/>
        <v>Rental of video tapes and disks</v>
      </c>
      <c r="D807" t="s">
        <v>3003</v>
      </c>
      <c r="E807" t="s">
        <v>1304</v>
      </c>
      <c r="F807" t="s">
        <v>3004</v>
      </c>
    </row>
    <row r="808">
      <c r="A808" t="n">
        <v>4</v>
      </c>
      <c r="B808" t="s">
        <v>3005</v>
      </c>
      <c r="C808" t="str">
        <f t="shared" si="13"/>
        <v>Rental and leasing of other personal and household goods</v>
      </c>
      <c r="D808" t="s">
        <v>3006</v>
      </c>
      <c r="E808" t="s">
        <v>1304</v>
      </c>
      <c r="F808" t="s">
        <v>3007</v>
      </c>
    </row>
    <row r="809">
      <c r="A809" t="n">
        <v>3</v>
      </c>
      <c r="B809" t="s">
        <v>1307</v>
      </c>
      <c r="C809" t="str">
        <f t="shared" si="13"/>
        <v>Rental and leasing of other machinery, equipment and tangible goods</v>
      </c>
      <c r="D809" t="s">
        <v>1308</v>
      </c>
      <c r="E809" t="s">
        <v>580</v>
      </c>
      <c r="F809" t="s">
        <v>1309</v>
      </c>
    </row>
    <row r="810">
      <c r="A810" t="n">
        <v>4</v>
      </c>
      <c r="B810" t="s">
        <v>3008</v>
      </c>
      <c r="C810" t="str">
        <f t="shared" si="13"/>
        <v>Rental and leasing of agricultural machinery and equipment</v>
      </c>
      <c r="D810" t="s">
        <v>3009</v>
      </c>
      <c r="E810" t="s">
        <v>1307</v>
      </c>
      <c r="F810" t="s">
        <v>3010</v>
      </c>
    </row>
    <row r="811">
      <c r="A811" t="n">
        <v>4</v>
      </c>
      <c r="B811" t="s">
        <v>3011</v>
      </c>
      <c r="C811" t="str">
        <f t="shared" si="13"/>
        <v>Rental and leasing of construction and civil engineering machinery and equipment</v>
      </c>
      <c r="D811" t="s">
        <v>3012</v>
      </c>
      <c r="E811" t="s">
        <v>1307</v>
      </c>
      <c r="F811" t="s">
        <v>3013</v>
      </c>
    </row>
    <row r="812">
      <c r="A812" t="n">
        <v>4</v>
      </c>
      <c r="B812" t="s">
        <v>3014</v>
      </c>
      <c r="C812" t="str">
        <f t="shared" si="13"/>
        <v>Rental and leasing of office machinery and equipment (including computers)</v>
      </c>
      <c r="D812" t="s">
        <v>3015</v>
      </c>
      <c r="E812" t="s">
        <v>1307</v>
      </c>
      <c r="F812" t="s">
        <v>3016</v>
      </c>
    </row>
    <row r="813">
      <c r="A813" t="n">
        <v>4</v>
      </c>
      <c r="B813" t="s">
        <v>3017</v>
      </c>
      <c r="C813" t="str">
        <f t="shared" si="13"/>
        <v>Rental and leasing of water transport equipment</v>
      </c>
      <c r="D813" t="s">
        <v>3018</v>
      </c>
      <c r="E813" t="s">
        <v>1307</v>
      </c>
      <c r="F813" t="s">
        <v>3019</v>
      </c>
    </row>
    <row r="814">
      <c r="A814" t="n">
        <v>4</v>
      </c>
      <c r="B814" t="s">
        <v>3020</v>
      </c>
      <c r="C814" t="str">
        <f t="shared" si="13"/>
        <v>Rental and leasing of air transport equipment</v>
      </c>
      <c r="D814" t="s">
        <v>3021</v>
      </c>
      <c r="E814" t="s">
        <v>1307</v>
      </c>
      <c r="F814" t="s">
        <v>3022</v>
      </c>
    </row>
    <row r="815">
      <c r="A815" t="n">
        <v>4</v>
      </c>
      <c r="B815" t="s">
        <v>3023</v>
      </c>
      <c r="C815" t="str">
        <f t="shared" si="13"/>
        <v>Rental and leasing of other machinery, equipment and tangible goods n.e.c.</v>
      </c>
      <c r="D815" t="s">
        <v>3024</v>
      </c>
      <c r="E815" t="s">
        <v>1307</v>
      </c>
      <c r="F815" t="s">
        <v>3025</v>
      </c>
    </row>
    <row r="816">
      <c r="A816" t="n">
        <v>3</v>
      </c>
      <c r="B816" t="s">
        <v>1310</v>
      </c>
      <c r="C816" t="str">
        <f t="shared" si="13"/>
        <v>Leasing of intellectual property and similar products, except copyrighted works</v>
      </c>
      <c r="D816" t="s">
        <v>1311</v>
      </c>
      <c r="E816" t="s">
        <v>580</v>
      </c>
      <c r="F816" t="s">
        <v>1312</v>
      </c>
    </row>
    <row r="817">
      <c r="A817" t="n">
        <v>4</v>
      </c>
      <c r="B817" t="s">
        <v>3026</v>
      </c>
      <c r="C817" t="str">
        <f t="shared" si="13"/>
        <v>Leasing of intellectual property and similar products, except copyrighted works</v>
      </c>
      <c r="D817" t="s">
        <v>3027</v>
      </c>
      <c r="E817" t="s">
        <v>1310</v>
      </c>
      <c r="F817" t="s">
        <v>3028</v>
      </c>
    </row>
    <row r="818">
      <c r="A818" t="n">
        <v>2</v>
      </c>
      <c r="B818" t="s">
        <v>583</v>
      </c>
      <c r="C818" t="str">
        <f t="shared" si="13"/>
        <v>Employment activities</v>
      </c>
      <c r="D818" t="s">
        <v>584</v>
      </c>
      <c r="E818" t="s">
        <v>380</v>
      </c>
      <c r="F818" t="s">
        <v>585</v>
      </c>
    </row>
    <row r="819">
      <c r="A819" t="n">
        <v>3</v>
      </c>
      <c r="B819" t="s">
        <v>1313</v>
      </c>
      <c r="C819" t="str">
        <f t="shared" si="13"/>
        <v>Activities of employment placement agencies</v>
      </c>
      <c r="D819" t="s">
        <v>1314</v>
      </c>
      <c r="E819" t="s">
        <v>583</v>
      </c>
      <c r="F819" t="s">
        <v>1315</v>
      </c>
    </row>
    <row r="820">
      <c r="A820" t="n">
        <v>4</v>
      </c>
      <c r="B820" t="s">
        <v>3029</v>
      </c>
      <c r="C820" t="str">
        <f t="shared" si="13"/>
        <v>Activities of employment placement agencies</v>
      </c>
      <c r="D820" t="s">
        <v>3030</v>
      </c>
      <c r="E820" t="s">
        <v>1313</v>
      </c>
      <c r="F820" t="s">
        <v>3031</v>
      </c>
    </row>
    <row r="821">
      <c r="A821" t="n">
        <v>3</v>
      </c>
      <c r="B821" t="s">
        <v>1316</v>
      </c>
      <c r="C821" t="str">
        <f t="shared" si="13"/>
        <v>Temporary employment agency activities</v>
      </c>
      <c r="D821" t="s">
        <v>1317</v>
      </c>
      <c r="E821" t="s">
        <v>583</v>
      </c>
      <c r="F821" t="s">
        <v>1318</v>
      </c>
    </row>
    <row r="822">
      <c r="A822" t="n">
        <v>4</v>
      </c>
      <c r="B822" t="s">
        <v>3032</v>
      </c>
      <c r="C822" t="str">
        <f t="shared" si="13"/>
        <v>Temporary employment agency activities</v>
      </c>
      <c r="D822" t="s">
        <v>3033</v>
      </c>
      <c r="E822" t="s">
        <v>1316</v>
      </c>
      <c r="F822" t="s">
        <v>3034</v>
      </c>
    </row>
    <row r="823">
      <c r="A823" t="n">
        <v>3</v>
      </c>
      <c r="B823" t="s">
        <v>1319</v>
      </c>
      <c r="C823" t="str">
        <f t="shared" si="13"/>
        <v>Other human resources provision</v>
      </c>
      <c r="D823" t="s">
        <v>1320</v>
      </c>
      <c r="E823" t="s">
        <v>583</v>
      </c>
      <c r="F823" t="s">
        <v>1321</v>
      </c>
    </row>
    <row r="824">
      <c r="A824" t="n">
        <v>4</v>
      </c>
      <c r="B824" t="s">
        <v>3035</v>
      </c>
      <c r="C824" t="str">
        <f t="shared" si="13"/>
        <v>Other human resources provision</v>
      </c>
      <c r="D824" t="s">
        <v>3036</v>
      </c>
      <c r="E824" t="s">
        <v>1319</v>
      </c>
      <c r="F824" t="s">
        <v>3037</v>
      </c>
    </row>
    <row r="825">
      <c r="A825" t="n">
        <v>2</v>
      </c>
      <c r="B825" t="s">
        <v>586</v>
      </c>
      <c r="C825" t="str">
        <f t="shared" si="13"/>
        <v>Travel agency, tour operator and other reservation service and related activities</v>
      </c>
      <c r="D825" t="s">
        <v>587</v>
      </c>
      <c r="E825" t="s">
        <v>380</v>
      </c>
      <c r="F825" t="s">
        <v>588</v>
      </c>
    </row>
    <row r="826">
      <c r="A826" t="n">
        <v>3</v>
      </c>
      <c r="B826" t="s">
        <v>1322</v>
      </c>
      <c r="C826" t="str">
        <f t="shared" si="13"/>
        <v>Travel agency and tour operator activities</v>
      </c>
      <c r="D826" t="s">
        <v>1323</v>
      </c>
      <c r="E826" t="s">
        <v>586</v>
      </c>
      <c r="F826" t="s">
        <v>1324</v>
      </c>
    </row>
    <row r="827">
      <c r="A827" t="n">
        <v>4</v>
      </c>
      <c r="B827" t="s">
        <v>3038</v>
      </c>
      <c r="C827" t="str">
        <f t="shared" si="13"/>
        <v>Travel agency activities</v>
      </c>
      <c r="D827" t="s">
        <v>3039</v>
      </c>
      <c r="E827" t="s">
        <v>1322</v>
      </c>
      <c r="F827" t="s">
        <v>3040</v>
      </c>
    </row>
    <row r="828">
      <c r="A828" t="n">
        <v>4</v>
      </c>
      <c r="B828" t="s">
        <v>3041</v>
      </c>
      <c r="C828" t="str">
        <f t="shared" si="13"/>
        <v>Tour operator activities</v>
      </c>
      <c r="D828" t="s">
        <v>3042</v>
      </c>
      <c r="E828" t="s">
        <v>1322</v>
      </c>
      <c r="F828" t="s">
        <v>3043</v>
      </c>
    </row>
    <row r="829">
      <c r="A829" t="n">
        <v>3</v>
      </c>
      <c r="B829" t="s">
        <v>1325</v>
      </c>
      <c r="C829" t="str">
        <f t="shared" si="13"/>
        <v>Other reservation service and related activities</v>
      </c>
      <c r="D829" t="s">
        <v>1326</v>
      </c>
      <c r="E829" t="s">
        <v>586</v>
      </c>
      <c r="F829" t="s">
        <v>1327</v>
      </c>
    </row>
    <row r="830">
      <c r="A830" t="n">
        <v>4</v>
      </c>
      <c r="B830" t="s">
        <v>3044</v>
      </c>
      <c r="C830" t="str">
        <f t="shared" si="13"/>
        <v>Other reservation service and related activities</v>
      </c>
      <c r="D830" t="s">
        <v>3045</v>
      </c>
      <c r="E830" t="s">
        <v>1325</v>
      </c>
      <c r="F830" t="s">
        <v>3046</v>
      </c>
    </row>
    <row r="831">
      <c r="A831" t="n">
        <v>2</v>
      </c>
      <c r="B831" t="s">
        <v>589</v>
      </c>
      <c r="C831" t="str">
        <f t="shared" si="13"/>
        <v>Security and investigation activities</v>
      </c>
      <c r="D831" t="s">
        <v>590</v>
      </c>
      <c r="E831" t="s">
        <v>380</v>
      </c>
      <c r="F831" t="s">
        <v>591</v>
      </c>
    </row>
    <row r="832">
      <c r="A832" t="n">
        <v>3</v>
      </c>
      <c r="B832" t="s">
        <v>1328</v>
      </c>
      <c r="C832" t="str">
        <f t="shared" si="13"/>
        <v>Private security activities</v>
      </c>
      <c r="D832" t="s">
        <v>1329</v>
      </c>
      <c r="E832" t="s">
        <v>589</v>
      </c>
      <c r="F832" t="s">
        <v>1330</v>
      </c>
    </row>
    <row r="833">
      <c r="A833" t="n">
        <v>4</v>
      </c>
      <c r="B833" t="s">
        <v>3047</v>
      </c>
      <c r="C833" t="str">
        <f t="shared" si="13"/>
        <v>Private security activities</v>
      </c>
      <c r="D833" t="s">
        <v>3048</v>
      </c>
      <c r="E833" t="s">
        <v>1328</v>
      </c>
      <c r="F833" t="s">
        <v>3049</v>
      </c>
    </row>
    <row r="834">
      <c r="A834" t="n">
        <v>3</v>
      </c>
      <c r="B834" t="s">
        <v>1331</v>
      </c>
      <c r="C834" t="str">
        <f t="shared" si="13"/>
        <v>Security systems service activities</v>
      </c>
      <c r="D834" t="s">
        <v>1332</v>
      </c>
      <c r="E834" t="s">
        <v>589</v>
      </c>
      <c r="F834" t="s">
        <v>1333</v>
      </c>
    </row>
    <row r="835">
      <c r="A835" t="n">
        <v>4</v>
      </c>
      <c r="B835" t="s">
        <v>3050</v>
      </c>
      <c r="C835" t="str">
        <f t="shared" si="13"/>
        <v>Security systems service activities</v>
      </c>
      <c r="D835" t="s">
        <v>3051</v>
      </c>
      <c r="E835" t="s">
        <v>1331</v>
      </c>
      <c r="F835" t="s">
        <v>3052</v>
      </c>
    </row>
    <row r="836">
      <c r="A836" t="n">
        <v>3</v>
      </c>
      <c r="B836" t="s">
        <v>1334</v>
      </c>
      <c r="C836" t="str">
        <f t="shared" si="13"/>
        <v>Investigation activities</v>
      </c>
      <c r="D836" t="s">
        <v>1335</v>
      </c>
      <c r="E836" t="s">
        <v>589</v>
      </c>
      <c r="F836" t="s">
        <v>1336</v>
      </c>
    </row>
    <row r="837">
      <c r="A837" t="n">
        <v>4</v>
      </c>
      <c r="B837" t="s">
        <v>3053</v>
      </c>
      <c r="C837" t="str">
        <f t="shared" si="13"/>
        <v>Investigation activities</v>
      </c>
      <c r="D837" t="s">
        <v>3054</v>
      </c>
      <c r="E837" t="s">
        <v>1334</v>
      </c>
      <c r="F837" t="s">
        <v>3055</v>
      </c>
    </row>
    <row r="838">
      <c r="A838" t="n">
        <v>2</v>
      </c>
      <c r="B838" t="s">
        <v>592</v>
      </c>
      <c r="C838" t="str">
        <f t="shared" si="13"/>
        <v>Services to buildings and landscape activities</v>
      </c>
      <c r="D838" t="s">
        <v>593</v>
      </c>
      <c r="E838" t="s">
        <v>380</v>
      </c>
      <c r="F838" t="s">
        <v>594</v>
      </c>
    </row>
    <row r="839">
      <c r="A839" t="n">
        <v>3</v>
      </c>
      <c r="B839" t="s">
        <v>1337</v>
      </c>
      <c r="C839" t="str">
        <f t="shared" si="13"/>
        <v>Combined facilities support activities</v>
      </c>
      <c r="D839" t="s">
        <v>1338</v>
      </c>
      <c r="E839" t="s">
        <v>592</v>
      </c>
      <c r="F839" t="s">
        <v>1339</v>
      </c>
    </row>
    <row r="840">
      <c r="A840" t="n">
        <v>4</v>
      </c>
      <c r="B840" t="s">
        <v>3056</v>
      </c>
      <c r="C840" t="str">
        <f t="shared" si="13"/>
        <v>Combined facilities support activities</v>
      </c>
      <c r="D840" t="s">
        <v>3057</v>
      </c>
      <c r="E840" t="s">
        <v>1337</v>
      </c>
      <c r="F840" t="s">
        <v>3058</v>
      </c>
    </row>
    <row r="841">
      <c r="A841" t="n">
        <v>3</v>
      </c>
      <c r="B841" t="s">
        <v>1340</v>
      </c>
      <c r="C841" t="str">
        <f t="shared" si="13"/>
        <v>Cleaning activities</v>
      </c>
      <c r="D841" t="s">
        <v>1341</v>
      </c>
      <c r="E841" t="s">
        <v>592</v>
      </c>
      <c r="F841" t="s">
        <v>1342</v>
      </c>
    </row>
    <row r="842">
      <c r="A842" t="n">
        <v>4</v>
      </c>
      <c r="B842" t="s">
        <v>3059</v>
      </c>
      <c r="C842" t="str">
        <f t="shared" si="13"/>
        <v>General cleaning of buildings</v>
      </c>
      <c r="D842" t="s">
        <v>3060</v>
      </c>
      <c r="E842" t="s">
        <v>1340</v>
      </c>
      <c r="F842" t="s">
        <v>3061</v>
      </c>
    </row>
    <row r="843">
      <c r="A843" t="n">
        <v>4</v>
      </c>
      <c r="B843" t="s">
        <v>3062</v>
      </c>
      <c r="C843" t="str">
        <f t="shared" si="13"/>
        <v>Other building and industrial cleaning activities</v>
      </c>
      <c r="D843" t="s">
        <v>3063</v>
      </c>
      <c r="E843" t="s">
        <v>1340</v>
      </c>
      <c r="F843" t="s">
        <v>3064</v>
      </c>
    </row>
    <row r="844">
      <c r="A844" t="n">
        <v>4</v>
      </c>
      <c r="B844" t="s">
        <v>3065</v>
      </c>
      <c r="C844" t="str">
        <f t="shared" si="13"/>
        <v>Other cleaning activities</v>
      </c>
      <c r="D844" t="s">
        <v>3066</v>
      </c>
      <c r="E844" t="s">
        <v>1340</v>
      </c>
      <c r="F844" t="s">
        <v>3067</v>
      </c>
    </row>
    <row r="845">
      <c r="A845" t="n">
        <v>3</v>
      </c>
      <c r="B845" t="s">
        <v>1343</v>
      </c>
      <c r="C845" t="str">
        <f t="shared" si="13"/>
        <v>Landscape service activities</v>
      </c>
      <c r="D845" t="s">
        <v>1344</v>
      </c>
      <c r="E845" t="s">
        <v>592</v>
      </c>
      <c r="F845" t="s">
        <v>1345</v>
      </c>
    </row>
    <row r="846">
      <c r="A846" t="n">
        <v>4</v>
      </c>
      <c r="B846" t="s">
        <v>3068</v>
      </c>
      <c r="C846" t="str">
        <f t="shared" si="13"/>
        <v>Landscape service activities</v>
      </c>
      <c r="D846" t="s">
        <v>3069</v>
      </c>
      <c r="E846" t="s">
        <v>1343</v>
      </c>
      <c r="F846" t="s">
        <v>3070</v>
      </c>
    </row>
    <row r="847">
      <c r="A847" t="n">
        <v>2</v>
      </c>
      <c r="B847" t="s">
        <v>595</v>
      </c>
      <c r="C847" t="str">
        <f t="shared" si="13"/>
        <v>Office administrative, office support and other business support activities</v>
      </c>
      <c r="D847" t="s">
        <v>596</v>
      </c>
      <c r="E847" t="s">
        <v>380</v>
      </c>
      <c r="F847" t="s">
        <v>597</v>
      </c>
    </row>
    <row r="848">
      <c r="A848" t="n">
        <v>3</v>
      </c>
      <c r="B848" t="s">
        <v>1346</v>
      </c>
      <c r="C848" t="str">
        <f t="shared" si="13"/>
        <v>Office administrative and support activities</v>
      </c>
      <c r="D848" t="s">
        <v>1347</v>
      </c>
      <c r="E848" t="s">
        <v>595</v>
      </c>
      <c r="F848" t="s">
        <v>1348</v>
      </c>
    </row>
    <row r="849">
      <c r="A849" t="n">
        <v>4</v>
      </c>
      <c r="B849" t="s">
        <v>3071</v>
      </c>
      <c r="C849" t="str">
        <f t="shared" si="13"/>
        <v>Combined office administrative service activities</v>
      </c>
      <c r="D849" t="s">
        <v>3072</v>
      </c>
      <c r="E849" t="s">
        <v>1346</v>
      </c>
      <c r="F849" t="s">
        <v>3073</v>
      </c>
    </row>
    <row r="850">
      <c r="A850" t="n">
        <v>4</v>
      </c>
      <c r="B850" t="s">
        <v>3074</v>
      </c>
      <c r="C850" t="str">
        <f t="shared" si="13"/>
        <v>Photocopying, document preparation and other specialised office support activities</v>
      </c>
      <c r="D850" t="s">
        <v>3075</v>
      </c>
      <c r="E850" t="s">
        <v>1346</v>
      </c>
      <c r="F850" t="s">
        <v>3076</v>
      </c>
    </row>
    <row r="851">
      <c r="A851" t="n">
        <v>3</v>
      </c>
      <c r="B851" t="s">
        <v>1349</v>
      </c>
      <c r="C851" t="str">
        <f t="shared" si="13"/>
        <v>Activities of call centres</v>
      </c>
      <c r="D851" t="s">
        <v>1350</v>
      </c>
      <c r="E851" t="s">
        <v>595</v>
      </c>
      <c r="F851" t="s">
        <v>1351</v>
      </c>
    </row>
    <row r="852">
      <c r="A852" t="n">
        <v>4</v>
      </c>
      <c r="B852" t="s">
        <v>3077</v>
      </c>
      <c r="C852" t="str">
        <f t="shared" si="13"/>
        <v>Activities of call centres</v>
      </c>
      <c r="D852" t="s">
        <v>3078</v>
      </c>
      <c r="E852" t="s">
        <v>1349</v>
      </c>
      <c r="F852" t="s">
        <v>3079</v>
      </c>
    </row>
    <row r="853">
      <c r="A853" t="n">
        <v>3</v>
      </c>
      <c r="B853" t="s">
        <v>1352</v>
      </c>
      <c r="C853" t="str">
        <f t="shared" si="13"/>
        <v>Organisation of conventions and trade shows</v>
      </c>
      <c r="D853" t="s">
        <v>1353</v>
      </c>
      <c r="E853" t="s">
        <v>595</v>
      </c>
      <c r="F853" t="s">
        <v>1354</v>
      </c>
    </row>
    <row r="854">
      <c r="A854" t="n">
        <v>4</v>
      </c>
      <c r="B854" t="s">
        <v>3080</v>
      </c>
      <c r="C854" t="str">
        <f t="shared" si="13"/>
        <v>Organisation of conventions and trade shows</v>
      </c>
      <c r="D854" t="s">
        <v>3081</v>
      </c>
      <c r="E854" t="s">
        <v>1352</v>
      </c>
      <c r="F854" t="s">
        <v>3082</v>
      </c>
    </row>
    <row r="855">
      <c r="A855" t="n">
        <v>3</v>
      </c>
      <c r="B855" t="s">
        <v>1355</v>
      </c>
      <c r="C855" t="str">
        <f t="shared" si="13"/>
        <v>Business support service activities n.e.c.</v>
      </c>
      <c r="D855" t="s">
        <v>1356</v>
      </c>
      <c r="E855" t="s">
        <v>595</v>
      </c>
      <c r="F855" t="s">
        <v>1357</v>
      </c>
    </row>
    <row r="856">
      <c r="A856" t="n">
        <v>4</v>
      </c>
      <c r="B856" t="s">
        <v>3083</v>
      </c>
      <c r="C856" t="str">
        <f t="shared" si="13"/>
        <v>Activities of collection agencies and credit bureaus</v>
      </c>
      <c r="D856" t="s">
        <v>3084</v>
      </c>
      <c r="E856" t="s">
        <v>1355</v>
      </c>
      <c r="F856" t="s">
        <v>3085</v>
      </c>
    </row>
    <row r="857">
      <c r="A857" t="n">
        <v>4</v>
      </c>
      <c r="B857" t="s">
        <v>3086</v>
      </c>
      <c r="C857" t="str">
        <f t="shared" si="13"/>
        <v>Packaging activities</v>
      </c>
      <c r="D857" t="s">
        <v>3087</v>
      </c>
      <c r="E857" t="s">
        <v>1355</v>
      </c>
      <c r="F857" t="s">
        <v>3088</v>
      </c>
    </row>
    <row r="858">
      <c r="A858" t="n">
        <v>4</v>
      </c>
      <c r="B858" t="s">
        <v>3089</v>
      </c>
      <c r="C858" t="str">
        <f t="shared" ref="C858:C921" si="14">IF(A858=1,RIGHT(D858,LEN(D858)-2),IF(A858=2,RIGHT(D858,LEN(D858)-3),IF(A858=3,RIGHT(D858,LEN(D858)-5),RIGHT(D858,LEN(D858)-6))))</f>
        <v>Other business support service activities n.e.c.</v>
      </c>
      <c r="D858" t="s">
        <v>3090</v>
      </c>
      <c r="E858" t="s">
        <v>1355</v>
      </c>
      <c r="F858" t="s">
        <v>3091</v>
      </c>
    </row>
    <row r="859">
      <c r="A859" t="n">
        <v>2</v>
      </c>
      <c r="B859" t="s">
        <v>598</v>
      </c>
      <c r="C859" t="str">
        <f t="shared" si="14"/>
        <v>Public administration and defence; compulsory social security</v>
      </c>
      <c r="D859" t="s">
        <v>599</v>
      </c>
      <c r="E859" t="s">
        <v>383</v>
      </c>
      <c r="F859" t="s">
        <v>600</v>
      </c>
    </row>
    <row r="860">
      <c r="A860" t="n">
        <v>3</v>
      </c>
      <c r="B860" t="s">
        <v>1358</v>
      </c>
      <c r="C860" t="str">
        <f t="shared" si="14"/>
        <v>Administration of the State and the economic and social policy of the community</v>
      </c>
      <c r="D860" t="s">
        <v>1359</v>
      </c>
      <c r="E860" t="s">
        <v>598</v>
      </c>
      <c r="F860" t="s">
        <v>1360</v>
      </c>
    </row>
    <row r="861">
      <c r="A861" t="n">
        <v>4</v>
      </c>
      <c r="B861" t="s">
        <v>3092</v>
      </c>
      <c r="C861" t="str">
        <f t="shared" si="14"/>
        <v>General public administration activities</v>
      </c>
      <c r="D861" t="s">
        <v>3093</v>
      </c>
      <c r="E861" t="s">
        <v>1358</v>
      </c>
      <c r="F861" t="s">
        <v>3094</v>
      </c>
    </row>
    <row r="862">
      <c r="A862" t="n">
        <v>4</v>
      </c>
      <c r="B862" t="s">
        <v>3095</v>
      </c>
      <c r="C862" t="str">
        <f t="shared" si="14"/>
        <v>Regulation of the activities of providing health care, education, cultural services and other social services, excluding social security</v>
      </c>
      <c r="D862" t="s">
        <v>3096</v>
      </c>
      <c r="E862" t="s">
        <v>1358</v>
      </c>
      <c r="F862" t="s">
        <v>3097</v>
      </c>
    </row>
    <row r="863">
      <c r="A863" t="n">
        <v>4</v>
      </c>
      <c r="B863" t="s">
        <v>3098</v>
      </c>
      <c r="C863" t="str">
        <f t="shared" si="14"/>
        <v>Regulation of and contribution to more efficient operation of businesses</v>
      </c>
      <c r="D863" t="s">
        <v>3099</v>
      </c>
      <c r="E863" t="s">
        <v>1358</v>
      </c>
      <c r="F863" t="s">
        <v>3100</v>
      </c>
    </row>
    <row r="864">
      <c r="A864" t="n">
        <v>3</v>
      </c>
      <c r="B864" t="s">
        <v>1361</v>
      </c>
      <c r="C864" t="str">
        <f t="shared" si="14"/>
        <v>Provision of services to the community as a whole</v>
      </c>
      <c r="D864" t="s">
        <v>1362</v>
      </c>
      <c r="E864" t="s">
        <v>598</v>
      </c>
      <c r="F864" t="s">
        <v>1363</v>
      </c>
    </row>
    <row r="865">
      <c r="A865" t="n">
        <v>4</v>
      </c>
      <c r="B865" t="s">
        <v>3101</v>
      </c>
      <c r="C865" t="str">
        <f t="shared" si="14"/>
        <v>Foreign affairs</v>
      </c>
      <c r="D865" t="s">
        <v>3102</v>
      </c>
      <c r="E865" t="s">
        <v>1361</v>
      </c>
      <c r="F865" t="s">
        <v>3103</v>
      </c>
    </row>
    <row r="866">
      <c r="A866" t="n">
        <v>4</v>
      </c>
      <c r="B866" t="s">
        <v>3104</v>
      </c>
      <c r="C866" t="str">
        <f t="shared" si="14"/>
        <v>Defence activities</v>
      </c>
      <c r="D866" t="s">
        <v>3105</v>
      </c>
      <c r="E866" t="s">
        <v>1361</v>
      </c>
      <c r="F866" t="s">
        <v>3106</v>
      </c>
    </row>
    <row r="867">
      <c r="A867" t="n">
        <v>4</v>
      </c>
      <c r="B867" t="s">
        <v>3107</v>
      </c>
      <c r="C867" t="str">
        <f t="shared" si="14"/>
        <v>Justice and judicial activities</v>
      </c>
      <c r="D867" t="s">
        <v>3108</v>
      </c>
      <c r="E867" t="s">
        <v>1361</v>
      </c>
      <c r="F867" t="s">
        <v>3109</v>
      </c>
    </row>
    <row r="868">
      <c r="A868" t="n">
        <v>4</v>
      </c>
      <c r="B868" t="s">
        <v>3110</v>
      </c>
      <c r="C868" t="str">
        <f t="shared" si="14"/>
        <v>Public order and safety activities</v>
      </c>
      <c r="D868" t="s">
        <v>3111</v>
      </c>
      <c r="E868" t="s">
        <v>1361</v>
      </c>
      <c r="F868" t="s">
        <v>3112</v>
      </c>
    </row>
    <row r="869">
      <c r="A869" t="n">
        <v>4</v>
      </c>
      <c r="B869" t="s">
        <v>3113</v>
      </c>
      <c r="C869" t="str">
        <f t="shared" si="14"/>
        <v>Fire service activities</v>
      </c>
      <c r="D869" t="s">
        <v>3114</v>
      </c>
      <c r="E869" t="s">
        <v>1361</v>
      </c>
      <c r="F869" t="s">
        <v>3115</v>
      </c>
    </row>
    <row r="870">
      <c r="A870" t="n">
        <v>3</v>
      </c>
      <c r="B870" t="s">
        <v>1364</v>
      </c>
      <c r="C870" t="str">
        <f t="shared" si="14"/>
        <v>Compulsory social security activities</v>
      </c>
      <c r="D870" t="s">
        <v>1365</v>
      </c>
      <c r="E870" t="s">
        <v>598</v>
      </c>
      <c r="F870" t="s">
        <v>1366</v>
      </c>
    </row>
    <row r="871">
      <c r="A871" t="n">
        <v>4</v>
      </c>
      <c r="B871" t="s">
        <v>3116</v>
      </c>
      <c r="C871" t="str">
        <f t="shared" si="14"/>
        <v>Compulsory social security activities</v>
      </c>
      <c r="D871" t="s">
        <v>3117</v>
      </c>
      <c r="E871" t="s">
        <v>1364</v>
      </c>
      <c r="F871" t="s">
        <v>3118</v>
      </c>
    </row>
    <row r="872">
      <c r="A872" t="n">
        <v>2</v>
      </c>
      <c r="B872" t="s">
        <v>601</v>
      </c>
      <c r="C872" t="str">
        <f t="shared" si="14"/>
        <v>Education</v>
      </c>
      <c r="D872" t="s">
        <v>602</v>
      </c>
      <c r="E872" t="s">
        <v>386</v>
      </c>
      <c r="F872" t="s">
        <v>603</v>
      </c>
    </row>
    <row r="873">
      <c r="A873" t="n">
        <v>3</v>
      </c>
      <c r="B873" t="s">
        <v>1367</v>
      </c>
      <c r="C873" t="str">
        <f t="shared" si="14"/>
        <v>Pre-primary education</v>
      </c>
      <c r="D873" t="s">
        <v>1368</v>
      </c>
      <c r="E873" t="s">
        <v>601</v>
      </c>
      <c r="F873" t="s">
        <v>1369</v>
      </c>
    </row>
    <row r="874">
      <c r="A874" t="n">
        <v>4</v>
      </c>
      <c r="B874" t="s">
        <v>3119</v>
      </c>
      <c r="C874" t="str">
        <f t="shared" si="14"/>
        <v>Pre-primary education</v>
      </c>
      <c r="D874" t="s">
        <v>3120</v>
      </c>
      <c r="E874" t="s">
        <v>1367</v>
      </c>
      <c r="F874" t="s">
        <v>3121</v>
      </c>
    </row>
    <row r="875">
      <c r="A875" t="n">
        <v>3</v>
      </c>
      <c r="B875" t="s">
        <v>1370</v>
      </c>
      <c r="C875" t="str">
        <f t="shared" si="14"/>
        <v>Primary education</v>
      </c>
      <c r="D875" t="s">
        <v>1371</v>
      </c>
      <c r="E875" t="s">
        <v>601</v>
      </c>
      <c r="F875" t="s">
        <v>1372</v>
      </c>
    </row>
    <row r="876">
      <c r="A876" t="n">
        <v>4</v>
      </c>
      <c r="B876" t="s">
        <v>3122</v>
      </c>
      <c r="C876" t="str">
        <f t="shared" si="14"/>
        <v>Primary education</v>
      </c>
      <c r="D876" t="s">
        <v>3123</v>
      </c>
      <c r="E876" t="s">
        <v>1370</v>
      </c>
      <c r="F876" t="s">
        <v>3124</v>
      </c>
    </row>
    <row r="877">
      <c r="A877" t="n">
        <v>3</v>
      </c>
      <c r="B877" t="s">
        <v>1373</v>
      </c>
      <c r="C877" t="str">
        <f t="shared" si="14"/>
        <v>Secondary education</v>
      </c>
      <c r="D877" t="s">
        <v>1374</v>
      </c>
      <c r="E877" t="s">
        <v>601</v>
      </c>
      <c r="F877" t="s">
        <v>1375</v>
      </c>
    </row>
    <row r="878">
      <c r="A878" t="n">
        <v>4</v>
      </c>
      <c r="B878" t="s">
        <v>3125</v>
      </c>
      <c r="C878" t="str">
        <f t="shared" si="14"/>
        <v>General secondary education</v>
      </c>
      <c r="D878" t="s">
        <v>3126</v>
      </c>
      <c r="E878" t="s">
        <v>1373</v>
      </c>
      <c r="F878" t="s">
        <v>3127</v>
      </c>
    </row>
    <row r="879">
      <c r="A879" t="n">
        <v>4</v>
      </c>
      <c r="B879" t="s">
        <v>3128</v>
      </c>
      <c r="C879" t="str">
        <f t="shared" si="14"/>
        <v>Technical and vocational secondary education</v>
      </c>
      <c r="D879" t="s">
        <v>3129</v>
      </c>
      <c r="E879" t="s">
        <v>1373</v>
      </c>
      <c r="F879" t="s">
        <v>3130</v>
      </c>
    </row>
    <row r="880">
      <c r="A880" t="n">
        <v>3</v>
      </c>
      <c r="B880" t="s">
        <v>1376</v>
      </c>
      <c r="C880" t="str">
        <f t="shared" si="14"/>
        <v>Higher education</v>
      </c>
      <c r="D880" t="s">
        <v>1377</v>
      </c>
      <c r="E880" t="s">
        <v>601</v>
      </c>
      <c r="F880" t="s">
        <v>1378</v>
      </c>
    </row>
    <row r="881">
      <c r="A881" t="n">
        <v>4</v>
      </c>
      <c r="B881" t="s">
        <v>3131</v>
      </c>
      <c r="C881" t="str">
        <f t="shared" si="14"/>
        <v>Post-secondary non-tertiary education</v>
      </c>
      <c r="D881" t="s">
        <v>3132</v>
      </c>
      <c r="E881" t="s">
        <v>1376</v>
      </c>
      <c r="F881" t="s">
        <v>3133</v>
      </c>
    </row>
    <row r="882">
      <c r="A882" t="n">
        <v>4</v>
      </c>
      <c r="B882" t="s">
        <v>3134</v>
      </c>
      <c r="C882" t="str">
        <f t="shared" si="14"/>
        <v>Tertiary education</v>
      </c>
      <c r="D882" t="s">
        <v>3135</v>
      </c>
      <c r="E882" t="s">
        <v>1376</v>
      </c>
      <c r="F882" t="s">
        <v>3136</v>
      </c>
    </row>
    <row r="883">
      <c r="A883" t="n">
        <v>3</v>
      </c>
      <c r="B883" t="s">
        <v>1379</v>
      </c>
      <c r="C883" t="str">
        <f t="shared" si="14"/>
        <v>Other education</v>
      </c>
      <c r="D883" t="s">
        <v>1380</v>
      </c>
      <c r="E883" t="s">
        <v>601</v>
      </c>
      <c r="F883" t="s">
        <v>1381</v>
      </c>
    </row>
    <row r="884">
      <c r="A884" t="n">
        <v>4</v>
      </c>
      <c r="B884" t="s">
        <v>3137</v>
      </c>
      <c r="C884" t="str">
        <f t="shared" si="14"/>
        <v>Sports and recreation education</v>
      </c>
      <c r="D884" t="s">
        <v>3138</v>
      </c>
      <c r="E884" t="s">
        <v>1379</v>
      </c>
      <c r="F884" t="s">
        <v>3139</v>
      </c>
    </row>
    <row r="885">
      <c r="A885" t="n">
        <v>4</v>
      </c>
      <c r="B885" t="s">
        <v>3140</v>
      </c>
      <c r="C885" t="str">
        <f t="shared" si="14"/>
        <v>Cultural education</v>
      </c>
      <c r="D885" t="s">
        <v>3141</v>
      </c>
      <c r="E885" t="s">
        <v>1379</v>
      </c>
      <c r="F885" t="s">
        <v>3142</v>
      </c>
    </row>
    <row r="886">
      <c r="A886" t="n">
        <v>4</v>
      </c>
      <c r="B886" t="s">
        <v>3143</v>
      </c>
      <c r="C886" t="str">
        <f t="shared" si="14"/>
        <v>Driving school activities</v>
      </c>
      <c r="D886" t="s">
        <v>3144</v>
      </c>
      <c r="E886" t="s">
        <v>1379</v>
      </c>
      <c r="F886" t="s">
        <v>3145</v>
      </c>
    </row>
    <row r="887">
      <c r="A887" t="n">
        <v>4</v>
      </c>
      <c r="B887" t="s">
        <v>3146</v>
      </c>
      <c r="C887" t="str">
        <f t="shared" si="14"/>
        <v>Other education n.e.c.</v>
      </c>
      <c r="D887" t="s">
        <v>3147</v>
      </c>
      <c r="E887" t="s">
        <v>1379</v>
      </c>
      <c r="F887" t="s">
        <v>3148</v>
      </c>
    </row>
    <row r="888">
      <c r="A888" t="n">
        <v>3</v>
      </c>
      <c r="B888" t="s">
        <v>1382</v>
      </c>
      <c r="C888" t="str">
        <f t="shared" si="14"/>
        <v>Educational support activities</v>
      </c>
      <c r="D888" t="s">
        <v>1383</v>
      </c>
      <c r="E888" t="s">
        <v>601</v>
      </c>
      <c r="F888" t="s">
        <v>1384</v>
      </c>
    </row>
    <row r="889">
      <c r="A889" t="n">
        <v>4</v>
      </c>
      <c r="B889" t="s">
        <v>3149</v>
      </c>
      <c r="C889" t="str">
        <f t="shared" si="14"/>
        <v>Educational support activities</v>
      </c>
      <c r="D889" t="s">
        <v>3150</v>
      </c>
      <c r="E889" t="s">
        <v>1382</v>
      </c>
      <c r="F889" t="s">
        <v>3151</v>
      </c>
    </row>
    <row r="890">
      <c r="A890" t="n">
        <v>2</v>
      </c>
      <c r="B890" t="s">
        <v>604</v>
      </c>
      <c r="C890" t="str">
        <f t="shared" si="14"/>
        <v>Human health activities</v>
      </c>
      <c r="D890" t="s">
        <v>605</v>
      </c>
      <c r="E890" t="s">
        <v>389</v>
      </c>
      <c r="F890" t="s">
        <v>606</v>
      </c>
    </row>
    <row r="891">
      <c r="A891" t="n">
        <v>3</v>
      </c>
      <c r="B891" t="s">
        <v>1385</v>
      </c>
      <c r="C891" t="str">
        <f t="shared" si="14"/>
        <v>Hospital activities</v>
      </c>
      <c r="D891" t="s">
        <v>1386</v>
      </c>
      <c r="E891" t="s">
        <v>604</v>
      </c>
      <c r="F891" t="s">
        <v>1387</v>
      </c>
    </row>
    <row r="892">
      <c r="A892" t="n">
        <v>4</v>
      </c>
      <c r="B892" t="s">
        <v>3152</v>
      </c>
      <c r="C892" t="str">
        <f t="shared" si="14"/>
        <v>Hospital activities</v>
      </c>
      <c r="D892" t="s">
        <v>3153</v>
      </c>
      <c r="E892" t="s">
        <v>1385</v>
      </c>
      <c r="F892" t="s">
        <v>3154</v>
      </c>
    </row>
    <row r="893">
      <c r="A893" t="n">
        <v>3</v>
      </c>
      <c r="B893" t="s">
        <v>1388</v>
      </c>
      <c r="C893" t="str">
        <f t="shared" si="14"/>
        <v>Medical and dental practice activities</v>
      </c>
      <c r="D893" t="s">
        <v>1389</v>
      </c>
      <c r="E893" t="s">
        <v>604</v>
      </c>
      <c r="F893" t="s">
        <v>1390</v>
      </c>
    </row>
    <row r="894">
      <c r="A894" t="n">
        <v>4</v>
      </c>
      <c r="B894" t="s">
        <v>3155</v>
      </c>
      <c r="C894" t="str">
        <f t="shared" si="14"/>
        <v>General medical practice activities</v>
      </c>
      <c r="D894" t="s">
        <v>3156</v>
      </c>
      <c r="E894" t="s">
        <v>1388</v>
      </c>
      <c r="F894" t="s">
        <v>3157</v>
      </c>
    </row>
    <row r="895">
      <c r="A895" t="n">
        <v>4</v>
      </c>
      <c r="B895" t="s">
        <v>3158</v>
      </c>
      <c r="C895" t="str">
        <f t="shared" si="14"/>
        <v>Specialist medical practice activities</v>
      </c>
      <c r="D895" t="s">
        <v>3159</v>
      </c>
      <c r="E895" t="s">
        <v>1388</v>
      </c>
      <c r="F895" t="s">
        <v>3160</v>
      </c>
    </row>
    <row r="896">
      <c r="A896" t="n">
        <v>4</v>
      </c>
      <c r="B896" t="s">
        <v>3161</v>
      </c>
      <c r="C896" t="str">
        <f t="shared" si="14"/>
        <v>Dental practice activities</v>
      </c>
      <c r="D896" t="s">
        <v>3162</v>
      </c>
      <c r="E896" t="s">
        <v>1388</v>
      </c>
      <c r="F896" t="s">
        <v>3163</v>
      </c>
    </row>
    <row r="897">
      <c r="A897" t="n">
        <v>3</v>
      </c>
      <c r="B897" t="s">
        <v>1391</v>
      </c>
      <c r="C897" t="str">
        <f t="shared" si="14"/>
        <v>Other human health activities</v>
      </c>
      <c r="D897" t="s">
        <v>1392</v>
      </c>
      <c r="E897" t="s">
        <v>604</v>
      </c>
      <c r="F897" t="s">
        <v>1393</v>
      </c>
    </row>
    <row r="898">
      <c r="A898" t="n">
        <v>4</v>
      </c>
      <c r="B898" t="s">
        <v>3164</v>
      </c>
      <c r="C898" t="str">
        <f t="shared" si="14"/>
        <v>Other human health activities</v>
      </c>
      <c r="D898" t="s">
        <v>3165</v>
      </c>
      <c r="E898" t="s">
        <v>1391</v>
      </c>
      <c r="F898" t="s">
        <v>3166</v>
      </c>
    </row>
    <row r="899">
      <c r="A899" t="n">
        <v>2</v>
      </c>
      <c r="B899" t="s">
        <v>607</v>
      </c>
      <c r="C899" t="str">
        <f t="shared" si="14"/>
        <v>Residential care activities</v>
      </c>
      <c r="D899" t="s">
        <v>608</v>
      </c>
      <c r="E899" t="s">
        <v>389</v>
      </c>
      <c r="F899" t="s">
        <v>609</v>
      </c>
    </row>
    <row r="900">
      <c r="A900" t="n">
        <v>3</v>
      </c>
      <c r="B900" t="s">
        <v>1394</v>
      </c>
      <c r="C900" t="str">
        <f t="shared" si="14"/>
        <v>Residential nursing care activities</v>
      </c>
      <c r="D900" t="s">
        <v>1395</v>
      </c>
      <c r="E900" t="s">
        <v>607</v>
      </c>
      <c r="F900" t="s">
        <v>1396</v>
      </c>
    </row>
    <row r="901">
      <c r="A901" t="n">
        <v>4</v>
      </c>
      <c r="B901" t="s">
        <v>3167</v>
      </c>
      <c r="C901" t="str">
        <f t="shared" si="14"/>
        <v>Residential nursing care activities</v>
      </c>
      <c r="D901" t="s">
        <v>3168</v>
      </c>
      <c r="E901" t="s">
        <v>1394</v>
      </c>
      <c r="F901" t="s">
        <v>3169</v>
      </c>
    </row>
    <row r="902">
      <c r="A902" t="n">
        <v>3</v>
      </c>
      <c r="B902" t="s">
        <v>1397</v>
      </c>
      <c r="C902" t="str">
        <f t="shared" si="14"/>
        <v>Residential care activities for mental retardation, mental health and substance abuse</v>
      </c>
      <c r="D902" t="s">
        <v>1398</v>
      </c>
      <c r="E902" t="s">
        <v>607</v>
      </c>
      <c r="F902" t="s">
        <v>1399</v>
      </c>
    </row>
    <row r="903">
      <c r="A903" t="n">
        <v>4</v>
      </c>
      <c r="B903" t="s">
        <v>3170</v>
      </c>
      <c r="C903" t="str">
        <f t="shared" si="14"/>
        <v>Residential care activities for mental retardation, mental health and substance abuse</v>
      </c>
      <c r="D903" t="s">
        <v>3171</v>
      </c>
      <c r="E903" t="s">
        <v>1397</v>
      </c>
      <c r="F903" t="s">
        <v>3172</v>
      </c>
    </row>
    <row r="904">
      <c r="A904" t="n">
        <v>3</v>
      </c>
      <c r="B904" t="s">
        <v>1400</v>
      </c>
      <c r="C904" t="str">
        <f t="shared" si="14"/>
        <v>Residential care activities for the elderly and disabled</v>
      </c>
      <c r="D904" t="s">
        <v>1401</v>
      </c>
      <c r="E904" t="s">
        <v>607</v>
      </c>
      <c r="F904" t="s">
        <v>1402</v>
      </c>
    </row>
    <row r="905">
      <c r="A905" t="n">
        <v>4</v>
      </c>
      <c r="B905" t="s">
        <v>3173</v>
      </c>
      <c r="C905" t="str">
        <f t="shared" si="14"/>
        <v>Residential care activities for the elderly and disabled</v>
      </c>
      <c r="D905" t="s">
        <v>3174</v>
      </c>
      <c r="E905" t="s">
        <v>1400</v>
      </c>
      <c r="F905" t="s">
        <v>3175</v>
      </c>
    </row>
    <row r="906">
      <c r="A906" t="n">
        <v>3</v>
      </c>
      <c r="B906" t="s">
        <v>1403</v>
      </c>
      <c r="C906" t="str">
        <f t="shared" si="14"/>
        <v>Other residential care activities</v>
      </c>
      <c r="D906" t="s">
        <v>1404</v>
      </c>
      <c r="E906" t="s">
        <v>607</v>
      </c>
      <c r="F906" t="s">
        <v>1405</v>
      </c>
    </row>
    <row r="907">
      <c r="A907" t="n">
        <v>4</v>
      </c>
      <c r="B907" t="s">
        <v>3176</v>
      </c>
      <c r="C907" t="str">
        <f t="shared" si="14"/>
        <v>Other residential care activities</v>
      </c>
      <c r="D907" t="s">
        <v>3177</v>
      </c>
      <c r="E907" t="s">
        <v>1403</v>
      </c>
      <c r="F907" t="s">
        <v>3178</v>
      </c>
    </row>
    <row r="908">
      <c r="A908" t="n">
        <v>2</v>
      </c>
      <c r="B908" t="s">
        <v>610</v>
      </c>
      <c r="C908" t="str">
        <f t="shared" si="14"/>
        <v>Social work activities without accommodation</v>
      </c>
      <c r="D908" t="s">
        <v>611</v>
      </c>
      <c r="E908" t="s">
        <v>389</v>
      </c>
      <c r="F908" t="s">
        <v>612</v>
      </c>
    </row>
    <row r="909">
      <c r="A909" t="n">
        <v>3</v>
      </c>
      <c r="B909" t="s">
        <v>1406</v>
      </c>
      <c r="C909" t="str">
        <f t="shared" si="14"/>
        <v>Social work activities without accommodation for the elderly and disabled</v>
      </c>
      <c r="D909" t="s">
        <v>1407</v>
      </c>
      <c r="E909" t="s">
        <v>610</v>
      </c>
      <c r="F909" t="s">
        <v>1408</v>
      </c>
    </row>
    <row r="910">
      <c r="A910" t="n">
        <v>4</v>
      </c>
      <c r="B910" t="s">
        <v>3179</v>
      </c>
      <c r="C910" t="str">
        <f t="shared" si="14"/>
        <v>Social work activities without accommodation for the elderly and disabled</v>
      </c>
      <c r="D910" t="s">
        <v>3180</v>
      </c>
      <c r="E910" t="s">
        <v>1406</v>
      </c>
      <c r="F910" t="s">
        <v>3181</v>
      </c>
    </row>
    <row r="911">
      <c r="A911" t="n">
        <v>3</v>
      </c>
      <c r="B911" t="s">
        <v>1409</v>
      </c>
      <c r="C911" t="str">
        <f t="shared" si="14"/>
        <v>Other social work activities without accommodation</v>
      </c>
      <c r="D911" t="s">
        <v>1410</v>
      </c>
      <c r="E911" t="s">
        <v>610</v>
      </c>
      <c r="F911" t="s">
        <v>1411</v>
      </c>
    </row>
    <row r="912">
      <c r="A912" t="n">
        <v>4</v>
      </c>
      <c r="B912" t="s">
        <v>3182</v>
      </c>
      <c r="C912" t="str">
        <f t="shared" si="14"/>
        <v>Child day-care activities</v>
      </c>
      <c r="D912" t="s">
        <v>3183</v>
      </c>
      <c r="E912" t="s">
        <v>1409</v>
      </c>
      <c r="F912" t="s">
        <v>3184</v>
      </c>
    </row>
    <row r="913">
      <c r="A913" t="n">
        <v>4</v>
      </c>
      <c r="B913" t="s">
        <v>3185</v>
      </c>
      <c r="C913" t="str">
        <f t="shared" si="14"/>
        <v>Other social work activities without accommodation n.e.c.</v>
      </c>
      <c r="D913" t="s">
        <v>3186</v>
      </c>
      <c r="E913" t="s">
        <v>1409</v>
      </c>
      <c r="F913" t="s">
        <v>3187</v>
      </c>
    </row>
    <row r="914">
      <c r="A914" t="n">
        <v>2</v>
      </c>
      <c r="B914" t="s">
        <v>613</v>
      </c>
      <c r="C914" t="str">
        <f t="shared" si="14"/>
        <v>Creative, arts and entertainment activities</v>
      </c>
      <c r="D914" t="s">
        <v>614</v>
      </c>
      <c r="E914" t="s">
        <v>392</v>
      </c>
      <c r="F914" t="s">
        <v>615</v>
      </c>
    </row>
    <row r="915">
      <c r="A915" t="n">
        <v>3</v>
      </c>
      <c r="B915" t="s">
        <v>1412</v>
      </c>
      <c r="C915" t="str">
        <f t="shared" si="14"/>
        <v>Creative, arts and entertainment activities</v>
      </c>
      <c r="D915" t="s">
        <v>1413</v>
      </c>
      <c r="E915" t="s">
        <v>613</v>
      </c>
      <c r="F915" t="s">
        <v>1414</v>
      </c>
    </row>
    <row r="916">
      <c r="A916" t="n">
        <v>4</v>
      </c>
      <c r="B916" t="s">
        <v>3188</v>
      </c>
      <c r="C916" t="str">
        <f t="shared" si="14"/>
        <v>Performing arts</v>
      </c>
      <c r="D916" t="s">
        <v>3189</v>
      </c>
      <c r="E916" t="s">
        <v>1412</v>
      </c>
      <c r="F916" t="s">
        <v>3190</v>
      </c>
    </row>
    <row r="917">
      <c r="A917" t="n">
        <v>4</v>
      </c>
      <c r="B917" t="s">
        <v>3191</v>
      </c>
      <c r="C917" t="str">
        <f t="shared" si="14"/>
        <v>Support activities to performing arts</v>
      </c>
      <c r="D917" t="s">
        <v>3192</v>
      </c>
      <c r="E917" t="s">
        <v>1412</v>
      </c>
      <c r="F917" t="s">
        <v>3193</v>
      </c>
    </row>
    <row r="918">
      <c r="A918" t="n">
        <v>4</v>
      </c>
      <c r="B918" t="s">
        <v>3194</v>
      </c>
      <c r="C918" t="str">
        <f t="shared" si="14"/>
        <v>Artistic creation</v>
      </c>
      <c r="D918" t="s">
        <v>3195</v>
      </c>
      <c r="E918" t="s">
        <v>1412</v>
      </c>
      <c r="F918" t="s">
        <v>3196</v>
      </c>
    </row>
    <row r="919">
      <c r="A919" t="n">
        <v>4</v>
      </c>
      <c r="B919" t="s">
        <v>3197</v>
      </c>
      <c r="C919" t="str">
        <f t="shared" si="14"/>
        <v>Operation of arts facilities</v>
      </c>
      <c r="D919" t="s">
        <v>3198</v>
      </c>
      <c r="E919" t="s">
        <v>1412</v>
      </c>
      <c r="F919" t="s">
        <v>3199</v>
      </c>
    </row>
    <row r="920">
      <c r="A920" t="n">
        <v>2</v>
      </c>
      <c r="B920" t="s">
        <v>616</v>
      </c>
      <c r="C920" t="str">
        <f t="shared" si="14"/>
        <v>Libraries, archives, museums and other cultural activities</v>
      </c>
      <c r="D920" t="s">
        <v>617</v>
      </c>
      <c r="E920" t="s">
        <v>392</v>
      </c>
      <c r="F920" t="s">
        <v>618</v>
      </c>
    </row>
    <row r="921">
      <c r="A921" t="n">
        <v>3</v>
      </c>
      <c r="B921" t="s">
        <v>1415</v>
      </c>
      <c r="C921" t="str">
        <f t="shared" si="14"/>
        <v>Libraries, archives, museums and other cultural activities</v>
      </c>
      <c r="D921" t="s">
        <v>1416</v>
      </c>
      <c r="E921" t="s">
        <v>616</v>
      </c>
      <c r="F921" t="s">
        <v>1417</v>
      </c>
    </row>
    <row r="922">
      <c r="A922" t="n">
        <v>4</v>
      </c>
      <c r="B922" t="s">
        <v>3200</v>
      </c>
      <c r="C922" t="str">
        <f t="shared" ref="C922:C985" si="15">IF(A922=1,RIGHT(D922,LEN(D922)-2),IF(A922=2,RIGHT(D922,LEN(D922)-3),IF(A922=3,RIGHT(D922,LEN(D922)-5),RIGHT(D922,LEN(D922)-6))))</f>
        <v>Library and archives activities</v>
      </c>
      <c r="D922" t="s">
        <v>3201</v>
      </c>
      <c r="E922" t="s">
        <v>1415</v>
      </c>
      <c r="F922" t="s">
        <v>3202</v>
      </c>
    </row>
    <row r="923">
      <c r="A923" t="n">
        <v>4</v>
      </c>
      <c r="B923" t="s">
        <v>3203</v>
      </c>
      <c r="C923" t="str">
        <f t="shared" si="15"/>
        <v>Museums activities</v>
      </c>
      <c r="D923" t="s">
        <v>3204</v>
      </c>
      <c r="E923" t="s">
        <v>1415</v>
      </c>
      <c r="F923" t="s">
        <v>3205</v>
      </c>
    </row>
    <row r="924">
      <c r="A924" t="n">
        <v>4</v>
      </c>
      <c r="B924" t="s">
        <v>3206</v>
      </c>
      <c r="C924" t="str">
        <f t="shared" si="15"/>
        <v>Operation of historical sites and buildings and similar visitor attractions</v>
      </c>
      <c r="D924" t="s">
        <v>3207</v>
      </c>
      <c r="E924" t="s">
        <v>1415</v>
      </c>
      <c r="F924" t="s">
        <v>3208</v>
      </c>
    </row>
    <row r="925">
      <c r="A925" t="n">
        <v>4</v>
      </c>
      <c r="B925" t="s">
        <v>3209</v>
      </c>
      <c r="C925" t="str">
        <f t="shared" si="15"/>
        <v>Botanical and zoological gardens and nature reserves activities</v>
      </c>
      <c r="D925" t="s">
        <v>3210</v>
      </c>
      <c r="E925" t="s">
        <v>1415</v>
      </c>
      <c r="F925" t="s">
        <v>3211</v>
      </c>
    </row>
    <row r="926">
      <c r="A926" t="n">
        <v>2</v>
      </c>
      <c r="B926" t="s">
        <v>619</v>
      </c>
      <c r="C926" t="str">
        <f t="shared" si="15"/>
        <v>Gambling and betting activities</v>
      </c>
      <c r="D926" t="s">
        <v>620</v>
      </c>
      <c r="E926" t="s">
        <v>392</v>
      </c>
      <c r="F926" t="s">
        <v>621</v>
      </c>
    </row>
    <row r="927">
      <c r="A927" t="n">
        <v>3</v>
      </c>
      <c r="B927" t="s">
        <v>1418</v>
      </c>
      <c r="C927" t="str">
        <f t="shared" si="15"/>
        <v>Gambling and betting activities</v>
      </c>
      <c r="D927" t="s">
        <v>1419</v>
      </c>
      <c r="E927" t="s">
        <v>619</v>
      </c>
      <c r="F927" t="s">
        <v>1420</v>
      </c>
    </row>
    <row r="928">
      <c r="A928" t="n">
        <v>4</v>
      </c>
      <c r="B928" t="s">
        <v>3212</v>
      </c>
      <c r="C928" t="str">
        <f t="shared" si="15"/>
        <v>Gambling and betting activities</v>
      </c>
      <c r="D928" t="s">
        <v>3213</v>
      </c>
      <c r="E928" t="s">
        <v>1418</v>
      </c>
      <c r="F928" t="s">
        <v>3214</v>
      </c>
    </row>
    <row r="929">
      <c r="A929" t="n">
        <v>2</v>
      </c>
      <c r="B929" t="s">
        <v>622</v>
      </c>
      <c r="C929" t="str">
        <f t="shared" si="15"/>
        <v>Sports activities and amusement and recreation activities</v>
      </c>
      <c r="D929" t="s">
        <v>623</v>
      </c>
      <c r="E929" t="s">
        <v>392</v>
      </c>
      <c r="F929" t="s">
        <v>624</v>
      </c>
    </row>
    <row r="930">
      <c r="A930" t="n">
        <v>3</v>
      </c>
      <c r="B930" t="s">
        <v>1421</v>
      </c>
      <c r="C930" t="str">
        <f t="shared" si="15"/>
        <v>Sports activities</v>
      </c>
      <c r="D930" t="s">
        <v>1422</v>
      </c>
      <c r="E930" t="s">
        <v>622</v>
      </c>
      <c r="F930" t="s">
        <v>1423</v>
      </c>
    </row>
    <row r="931">
      <c r="A931" t="n">
        <v>4</v>
      </c>
      <c r="B931" t="s">
        <v>3215</v>
      </c>
      <c r="C931" t="str">
        <f t="shared" si="15"/>
        <v>Operation of sports facilities</v>
      </c>
      <c r="D931" t="s">
        <v>3216</v>
      </c>
      <c r="E931" t="s">
        <v>1421</v>
      </c>
      <c r="F931" t="s">
        <v>3217</v>
      </c>
    </row>
    <row r="932">
      <c r="A932" t="n">
        <v>4</v>
      </c>
      <c r="B932" t="s">
        <v>3218</v>
      </c>
      <c r="C932" t="str">
        <f t="shared" si="15"/>
        <v>Activities of sports clubs</v>
      </c>
      <c r="D932" t="s">
        <v>3219</v>
      </c>
      <c r="E932" t="s">
        <v>1421</v>
      </c>
      <c r="F932" t="s">
        <v>3220</v>
      </c>
    </row>
    <row r="933">
      <c r="A933" t="n">
        <v>4</v>
      </c>
      <c r="B933" t="s">
        <v>3221</v>
      </c>
      <c r="C933" t="str">
        <f t="shared" si="15"/>
        <v>Fitness facilities</v>
      </c>
      <c r="D933" t="s">
        <v>3222</v>
      </c>
      <c r="E933" t="s">
        <v>1421</v>
      </c>
      <c r="F933" t="s">
        <v>3223</v>
      </c>
    </row>
    <row r="934">
      <c r="A934" t="n">
        <v>4</v>
      </c>
      <c r="B934" t="s">
        <v>3224</v>
      </c>
      <c r="C934" t="str">
        <f t="shared" si="15"/>
        <v>Other sports activities</v>
      </c>
      <c r="D934" t="s">
        <v>3225</v>
      </c>
      <c r="E934" t="s">
        <v>1421</v>
      </c>
      <c r="F934" t="s">
        <v>3226</v>
      </c>
    </row>
    <row r="935">
      <c r="A935" t="n">
        <v>3</v>
      </c>
      <c r="B935" t="s">
        <v>1424</v>
      </c>
      <c r="C935" t="str">
        <f t="shared" si="15"/>
        <v>Amusement and recreation activities</v>
      </c>
      <c r="D935" t="s">
        <v>1425</v>
      </c>
      <c r="E935" t="s">
        <v>622</v>
      </c>
      <c r="F935" t="s">
        <v>1426</v>
      </c>
    </row>
    <row r="936">
      <c r="A936" t="n">
        <v>4</v>
      </c>
      <c r="B936" t="s">
        <v>3227</v>
      </c>
      <c r="C936" t="str">
        <f t="shared" si="15"/>
        <v>Activities of amusement parks and theme parks</v>
      </c>
      <c r="D936" t="s">
        <v>3228</v>
      </c>
      <c r="E936" t="s">
        <v>1424</v>
      </c>
      <c r="F936" t="s">
        <v>3229</v>
      </c>
    </row>
    <row r="937">
      <c r="A937" t="n">
        <v>4</v>
      </c>
      <c r="B937" t="s">
        <v>3230</v>
      </c>
      <c r="C937" t="str">
        <f t="shared" si="15"/>
        <v>Other amusement and recreation activities</v>
      </c>
      <c r="D937" t="s">
        <v>3231</v>
      </c>
      <c r="E937" t="s">
        <v>1424</v>
      </c>
      <c r="F937" t="s">
        <v>3232</v>
      </c>
    </row>
    <row r="938">
      <c r="A938" t="n">
        <v>2</v>
      </c>
      <c r="B938" t="s">
        <v>625</v>
      </c>
      <c r="C938" t="str">
        <f t="shared" si="15"/>
        <v>Activities of membership organisations</v>
      </c>
      <c r="D938" t="s">
        <v>626</v>
      </c>
      <c r="E938" t="s">
        <v>395</v>
      </c>
      <c r="F938" t="s">
        <v>627</v>
      </c>
    </row>
    <row r="939">
      <c r="A939" t="n">
        <v>3</v>
      </c>
      <c r="B939" t="s">
        <v>1427</v>
      </c>
      <c r="C939" t="str">
        <f t="shared" si="15"/>
        <v>Activities of business, employers and professional membership organisations</v>
      </c>
      <c r="D939" t="s">
        <v>1428</v>
      </c>
      <c r="E939" t="s">
        <v>625</v>
      </c>
      <c r="F939" t="s">
        <v>1429</v>
      </c>
    </row>
    <row r="940">
      <c r="A940" t="n">
        <v>4</v>
      </c>
      <c r="B940" t="s">
        <v>3233</v>
      </c>
      <c r="C940" t="str">
        <f t="shared" si="15"/>
        <v>Activities of business and employers membership organisations</v>
      </c>
      <c r="D940" t="s">
        <v>3234</v>
      </c>
      <c r="E940" t="s">
        <v>1427</v>
      </c>
      <c r="F940" t="s">
        <v>3235</v>
      </c>
    </row>
    <row r="941">
      <c r="A941" t="n">
        <v>4</v>
      </c>
      <c r="B941" t="s">
        <v>3236</v>
      </c>
      <c r="C941" t="str">
        <f t="shared" si="15"/>
        <v>Activities of professional membership organisations</v>
      </c>
      <c r="D941" t="s">
        <v>3237</v>
      </c>
      <c r="E941" t="s">
        <v>1427</v>
      </c>
      <c r="F941" t="s">
        <v>3238</v>
      </c>
    </row>
    <row r="942">
      <c r="A942" t="n">
        <v>3</v>
      </c>
      <c r="B942" t="s">
        <v>1430</v>
      </c>
      <c r="C942" t="str">
        <f t="shared" si="15"/>
        <v>Activities of trade unions</v>
      </c>
      <c r="D942" t="s">
        <v>1431</v>
      </c>
      <c r="E942" t="s">
        <v>625</v>
      </c>
      <c r="F942" t="s">
        <v>1432</v>
      </c>
    </row>
    <row r="943">
      <c r="A943" t="n">
        <v>4</v>
      </c>
      <c r="B943" t="s">
        <v>3239</v>
      </c>
      <c r="C943" t="str">
        <f t="shared" si="15"/>
        <v>Activities of trade unions</v>
      </c>
      <c r="D943" t="s">
        <v>3240</v>
      </c>
      <c r="E943" t="s">
        <v>1430</v>
      </c>
      <c r="F943" t="s">
        <v>3241</v>
      </c>
    </row>
    <row r="944">
      <c r="A944" t="n">
        <v>3</v>
      </c>
      <c r="B944" t="s">
        <v>1433</v>
      </c>
      <c r="C944" t="str">
        <f t="shared" si="15"/>
        <v>Activities of other membership organisations</v>
      </c>
      <c r="D944" t="s">
        <v>1434</v>
      </c>
      <c r="E944" t="s">
        <v>625</v>
      </c>
      <c r="F944" t="s">
        <v>1435</v>
      </c>
    </row>
    <row r="945">
      <c r="A945" t="n">
        <v>4</v>
      </c>
      <c r="B945" t="s">
        <v>3242</v>
      </c>
      <c r="C945" t="str">
        <f t="shared" si="15"/>
        <v>Activities of religious organisations</v>
      </c>
      <c r="D945" t="s">
        <v>3243</v>
      </c>
      <c r="E945" t="s">
        <v>1433</v>
      </c>
      <c r="F945" t="s">
        <v>3244</v>
      </c>
    </row>
    <row r="946">
      <c r="A946" t="n">
        <v>4</v>
      </c>
      <c r="B946" t="s">
        <v>3245</v>
      </c>
      <c r="C946" t="str">
        <f t="shared" si="15"/>
        <v>Activities of political organisations</v>
      </c>
      <c r="D946" t="s">
        <v>3246</v>
      </c>
      <c r="E946" t="s">
        <v>1433</v>
      </c>
      <c r="F946" t="s">
        <v>3247</v>
      </c>
    </row>
    <row r="947">
      <c r="A947" t="n">
        <v>4</v>
      </c>
      <c r="B947" t="s">
        <v>3248</v>
      </c>
      <c r="C947" t="str">
        <f t="shared" si="15"/>
        <v>Activities of other membership organisations n.e.c.</v>
      </c>
      <c r="D947" t="s">
        <v>3249</v>
      </c>
      <c r="E947" t="s">
        <v>1433</v>
      </c>
      <c r="F947" t="s">
        <v>3250</v>
      </c>
    </row>
    <row r="948">
      <c r="A948" t="n">
        <v>2</v>
      </c>
      <c r="B948" t="s">
        <v>628</v>
      </c>
      <c r="C948" t="str">
        <f t="shared" si="15"/>
        <v>Repair of computers and personal and household goods</v>
      </c>
      <c r="D948" t="s">
        <v>629</v>
      </c>
      <c r="E948" t="s">
        <v>395</v>
      </c>
      <c r="F948" t="s">
        <v>630</v>
      </c>
    </row>
    <row r="949">
      <c r="A949" t="n">
        <v>3</v>
      </c>
      <c r="B949" t="s">
        <v>1436</v>
      </c>
      <c r="C949" t="str">
        <f t="shared" si="15"/>
        <v>Repair of computers and communication equipment</v>
      </c>
      <c r="D949" t="s">
        <v>1437</v>
      </c>
      <c r="E949" t="s">
        <v>628</v>
      </c>
      <c r="F949" t="s">
        <v>1438</v>
      </c>
    </row>
    <row r="950">
      <c r="A950" t="n">
        <v>4</v>
      </c>
      <c r="B950" t="s">
        <v>3251</v>
      </c>
      <c r="C950" t="str">
        <f t="shared" si="15"/>
        <v>Repair of computers and peripheral equipment</v>
      </c>
      <c r="D950" t="s">
        <v>3252</v>
      </c>
      <c r="E950" t="s">
        <v>1436</v>
      </c>
      <c r="F950" t="s">
        <v>3253</v>
      </c>
    </row>
    <row r="951">
      <c r="A951" t="n">
        <v>4</v>
      </c>
      <c r="B951" t="s">
        <v>3254</v>
      </c>
      <c r="C951" t="str">
        <f t="shared" si="15"/>
        <v>Repair of communication equipment</v>
      </c>
      <c r="D951" t="s">
        <v>3255</v>
      </c>
      <c r="E951" t="s">
        <v>1436</v>
      </c>
      <c r="F951" t="s">
        <v>3256</v>
      </c>
    </row>
    <row r="952">
      <c r="A952" t="n">
        <v>3</v>
      </c>
      <c r="B952" t="s">
        <v>1439</v>
      </c>
      <c r="C952" t="str">
        <f t="shared" si="15"/>
        <v>Repair of personal and household goods</v>
      </c>
      <c r="D952" t="s">
        <v>1440</v>
      </c>
      <c r="E952" t="s">
        <v>628</v>
      </c>
      <c r="F952" t="s">
        <v>1441</v>
      </c>
    </row>
    <row r="953">
      <c r="A953" t="n">
        <v>4</v>
      </c>
      <c r="B953" t="s">
        <v>3257</v>
      </c>
      <c r="C953" t="str">
        <f t="shared" si="15"/>
        <v>Repair of consumer electronics</v>
      </c>
      <c r="D953" t="s">
        <v>3258</v>
      </c>
      <c r="E953" t="s">
        <v>1439</v>
      </c>
      <c r="F953" t="s">
        <v>3259</v>
      </c>
    </row>
    <row r="954">
      <c r="A954" t="n">
        <v>4</v>
      </c>
      <c r="B954" t="s">
        <v>3260</v>
      </c>
      <c r="C954" t="str">
        <f t="shared" si="15"/>
        <v>Repair of household appliances and home and garden equipment</v>
      </c>
      <c r="D954" t="s">
        <v>3261</v>
      </c>
      <c r="E954" t="s">
        <v>1439</v>
      </c>
      <c r="F954" t="s">
        <v>3262</v>
      </c>
    </row>
    <row r="955">
      <c r="A955" t="n">
        <v>4</v>
      </c>
      <c r="B955" t="s">
        <v>3263</v>
      </c>
      <c r="C955" t="str">
        <f t="shared" si="15"/>
        <v>Repair of footwear and leather goods</v>
      </c>
      <c r="D955" t="s">
        <v>3264</v>
      </c>
      <c r="E955" t="s">
        <v>1439</v>
      </c>
      <c r="F955" t="s">
        <v>3265</v>
      </c>
    </row>
    <row r="956">
      <c r="A956" t="n">
        <v>4</v>
      </c>
      <c r="B956" t="s">
        <v>3266</v>
      </c>
      <c r="C956" t="str">
        <f t="shared" si="15"/>
        <v>Repair of furniture and home furnishings</v>
      </c>
      <c r="D956" t="s">
        <v>3267</v>
      </c>
      <c r="E956" t="s">
        <v>1439</v>
      </c>
      <c r="F956" t="s">
        <v>3268</v>
      </c>
    </row>
    <row r="957">
      <c r="A957" t="n">
        <v>4</v>
      </c>
      <c r="B957" t="s">
        <v>3269</v>
      </c>
      <c r="C957" t="str">
        <f t="shared" si="15"/>
        <v>Repair of watches, clocks and jewellery</v>
      </c>
      <c r="D957" t="s">
        <v>3270</v>
      </c>
      <c r="E957" t="s">
        <v>1439</v>
      </c>
      <c r="F957" t="s">
        <v>3271</v>
      </c>
    </row>
    <row r="958">
      <c r="A958" t="n">
        <v>4</v>
      </c>
      <c r="B958" t="s">
        <v>3272</v>
      </c>
      <c r="C958" t="str">
        <f t="shared" si="15"/>
        <v>Repair of other personal and household goods</v>
      </c>
      <c r="D958" t="s">
        <v>3273</v>
      </c>
      <c r="E958" t="s">
        <v>1439</v>
      </c>
      <c r="F958" t="s">
        <v>3274</v>
      </c>
    </row>
    <row r="959">
      <c r="A959" t="n">
        <v>2</v>
      </c>
      <c r="B959" t="s">
        <v>631</v>
      </c>
      <c r="C959" t="str">
        <f t="shared" si="15"/>
        <v>Other personal service activities</v>
      </c>
      <c r="D959" t="s">
        <v>632</v>
      </c>
      <c r="E959" t="s">
        <v>395</v>
      </c>
      <c r="F959" t="s">
        <v>633</v>
      </c>
    </row>
    <row r="960">
      <c r="A960" t="n">
        <v>3</v>
      </c>
      <c r="B960" t="s">
        <v>1442</v>
      </c>
      <c r="C960" t="str">
        <f t="shared" si="15"/>
        <v>Other personal service activities</v>
      </c>
      <c r="D960" t="s">
        <v>1443</v>
      </c>
      <c r="E960" t="s">
        <v>631</v>
      </c>
      <c r="F960" t="s">
        <v>1444</v>
      </c>
    </row>
    <row r="961">
      <c r="A961" t="n">
        <v>4</v>
      </c>
      <c r="B961" t="s">
        <v>3275</v>
      </c>
      <c r="C961" t="str">
        <f t="shared" si="15"/>
        <v>Washing and (dry-)cleaning of textile and fur products</v>
      </c>
      <c r="D961" t="s">
        <v>3276</v>
      </c>
      <c r="E961" t="s">
        <v>1442</v>
      </c>
      <c r="F961" t="s">
        <v>3277</v>
      </c>
    </row>
    <row r="962">
      <c r="A962" t="n">
        <v>4</v>
      </c>
      <c r="B962" t="s">
        <v>3278</v>
      </c>
      <c r="C962" t="str">
        <f t="shared" si="15"/>
        <v>Hairdressing and other beauty treatment</v>
      </c>
      <c r="D962" t="s">
        <v>3279</v>
      </c>
      <c r="E962" t="s">
        <v>1442</v>
      </c>
      <c r="F962" t="s">
        <v>3280</v>
      </c>
    </row>
    <row r="963">
      <c r="A963" t="n">
        <v>4</v>
      </c>
      <c r="B963" t="s">
        <v>3281</v>
      </c>
      <c r="C963" t="str">
        <f t="shared" si="15"/>
        <v>Funeral and related activities</v>
      </c>
      <c r="D963" t="s">
        <v>3282</v>
      </c>
      <c r="E963" t="s">
        <v>1442</v>
      </c>
      <c r="F963" t="s">
        <v>3283</v>
      </c>
    </row>
    <row r="964">
      <c r="A964" t="n">
        <v>4</v>
      </c>
      <c r="B964" t="s">
        <v>3284</v>
      </c>
      <c r="C964" t="str">
        <f t="shared" si="15"/>
        <v>Physical well-being activities</v>
      </c>
      <c r="D964" t="s">
        <v>3285</v>
      </c>
      <c r="E964" t="s">
        <v>1442</v>
      </c>
      <c r="F964" t="s">
        <v>3286</v>
      </c>
    </row>
    <row r="965">
      <c r="A965" t="n">
        <v>4</v>
      </c>
      <c r="B965" t="s">
        <v>3287</v>
      </c>
      <c r="C965" t="str">
        <f t="shared" si="15"/>
        <v>Other personal service activities n.e.c.</v>
      </c>
      <c r="D965" t="s">
        <v>3288</v>
      </c>
      <c r="E965" t="s">
        <v>1442</v>
      </c>
      <c r="F965" t="s">
        <v>3289</v>
      </c>
    </row>
    <row r="966">
      <c r="A966" t="n">
        <v>2</v>
      </c>
      <c r="B966" t="s">
        <v>634</v>
      </c>
      <c r="C966" t="str">
        <f t="shared" si="15"/>
        <v>Activities of households as employers of domestic personnel</v>
      </c>
      <c r="D966" t="s">
        <v>635</v>
      </c>
      <c r="E966" t="s">
        <v>398</v>
      </c>
      <c r="F966" t="s">
        <v>636</v>
      </c>
    </row>
    <row r="967">
      <c r="A967" t="n">
        <v>3</v>
      </c>
      <c r="B967" t="s">
        <v>1445</v>
      </c>
      <c r="C967" t="str">
        <f t="shared" si="15"/>
        <v>Activities of households as employers of domestic personnel</v>
      </c>
      <c r="D967" t="s">
        <v>1446</v>
      </c>
      <c r="E967" t="s">
        <v>634</v>
      </c>
      <c r="F967" t="s">
        <v>1447</v>
      </c>
    </row>
    <row r="968">
      <c r="A968" t="n">
        <v>4</v>
      </c>
      <c r="B968" t="s">
        <v>3290</v>
      </c>
      <c r="C968" t="str">
        <f t="shared" si="15"/>
        <v>Activities of households as employers of domestic personnel</v>
      </c>
      <c r="D968" t="s">
        <v>3291</v>
      </c>
      <c r="E968" t="s">
        <v>1445</v>
      </c>
      <c r="F968" t="s">
        <v>3292</v>
      </c>
    </row>
    <row r="969">
      <c r="A969" t="n">
        <v>2</v>
      </c>
      <c r="B969" t="s">
        <v>637</v>
      </c>
      <c r="C969" t="str">
        <f t="shared" si="15"/>
        <v>Undifferentiated goods- and services-producing activities of private households for own use</v>
      </c>
      <c r="D969" t="s">
        <v>638</v>
      </c>
      <c r="E969" t="s">
        <v>398</v>
      </c>
      <c r="F969" t="s">
        <v>639</v>
      </c>
    </row>
    <row r="970">
      <c r="A970" t="n">
        <v>3</v>
      </c>
      <c r="B970" t="s">
        <v>1448</v>
      </c>
      <c r="C970" t="str">
        <f t="shared" si="15"/>
        <v>Undifferentiated goods-producing activities of private households for own use</v>
      </c>
      <c r="D970" t="s">
        <v>1449</v>
      </c>
      <c r="E970" t="s">
        <v>637</v>
      </c>
      <c r="F970" t="s">
        <v>1450</v>
      </c>
    </row>
    <row r="971">
      <c r="A971" t="n">
        <v>4</v>
      </c>
      <c r="B971" t="s">
        <v>3293</v>
      </c>
      <c r="C971" t="str">
        <f t="shared" si="15"/>
        <v>Undifferentiated goods-producing activities of private households for own use</v>
      </c>
      <c r="D971" t="s">
        <v>3294</v>
      </c>
      <c r="E971" t="s">
        <v>1448</v>
      </c>
      <c r="F971" t="s">
        <v>3295</v>
      </c>
    </row>
    <row r="972">
      <c r="A972" t="n">
        <v>3</v>
      </c>
      <c r="B972" t="s">
        <v>1451</v>
      </c>
      <c r="C972" t="str">
        <f t="shared" si="15"/>
        <v>Undifferentiated service-producing activities of private households for own use</v>
      </c>
      <c r="D972" t="s">
        <v>1452</v>
      </c>
      <c r="E972" t="s">
        <v>637</v>
      </c>
      <c r="F972" t="s">
        <v>1453</v>
      </c>
    </row>
    <row r="973">
      <c r="A973" t="n">
        <v>4</v>
      </c>
      <c r="B973" t="s">
        <v>3296</v>
      </c>
      <c r="C973" t="str">
        <f t="shared" si="15"/>
        <v>Undifferentiated service-producing activities of private households for own use</v>
      </c>
      <c r="D973" t="s">
        <v>3297</v>
      </c>
      <c r="E973" t="s">
        <v>1451</v>
      </c>
      <c r="F973" t="s">
        <v>3298</v>
      </c>
    </row>
    <row r="974">
      <c r="A974" t="n">
        <v>2</v>
      </c>
      <c r="B974" t="s">
        <v>60</v>
      </c>
      <c r="C974" t="str">
        <f t="shared" si="15"/>
        <v>Activities of extraterritorial organisations and bodies</v>
      </c>
      <c r="D974" t="s">
        <v>640</v>
      </c>
      <c r="E974" t="s">
        <v>401</v>
      </c>
      <c r="F974" t="s">
        <v>641</v>
      </c>
    </row>
    <row r="975">
      <c r="A975" t="n">
        <v>3</v>
      </c>
      <c r="B975" t="s">
        <v>1454</v>
      </c>
      <c r="C975" t="str">
        <f t="shared" si="15"/>
        <v>Activities of extraterritorial organisations and bodies</v>
      </c>
      <c r="D975" t="s">
        <v>1455</v>
      </c>
      <c r="E975" t="s">
        <v>60</v>
      </c>
      <c r="F975" t="s">
        <v>1456</v>
      </c>
    </row>
    <row r="976">
      <c r="A976" t="n">
        <v>4</v>
      </c>
      <c r="B976" t="s">
        <v>3299</v>
      </c>
      <c r="C976" t="str">
        <f t="shared" si="15"/>
        <v>Activities of extraterritorial organisations and bodies</v>
      </c>
      <c r="D976" t="s">
        <v>3300</v>
      </c>
      <c r="E976" t="s">
        <v>1454</v>
      </c>
      <c r="F976" t="s">
        <v>3301</v>
      </c>
    </row>
    <row r="977">
      <c r="A977" t="n">
        <v>1</v>
      </c>
      <c r="B977" t="s">
        <v>341</v>
      </c>
      <c r="C977" t="str">
        <f t="shared" si="15"/>
        <v>AGRICULTURE, FORESTRY AND FISHING</v>
      </c>
      <c r="D977" t="s">
        <v>342</v>
      </c>
      <c r="F977" t="s">
        <v>343</v>
      </c>
    </row>
    <row r="978">
      <c r="A978" t="n">
        <v>1</v>
      </c>
      <c r="B978" t="s">
        <v>344</v>
      </c>
      <c r="C978" t="str">
        <f t="shared" si="15"/>
        <v>MINING AND QUARRYING</v>
      </c>
      <c r="D978" t="s">
        <v>345</v>
      </c>
      <c r="F978" t="s">
        <v>346</v>
      </c>
    </row>
    <row r="979">
      <c r="A979" t="n">
        <v>1</v>
      </c>
      <c r="B979" t="s">
        <v>347</v>
      </c>
      <c r="C979" t="str">
        <f t="shared" si="15"/>
        <v>MANUFACTURING</v>
      </c>
      <c r="D979" t="s">
        <v>348</v>
      </c>
      <c r="F979" t="s">
        <v>349</v>
      </c>
    </row>
    <row r="980">
      <c r="A980" t="n">
        <v>1</v>
      </c>
      <c r="B980" t="s">
        <v>350</v>
      </c>
      <c r="C980" t="str">
        <f t="shared" si="15"/>
        <v>ELECTRICITY, GAS, STEAM AND AIR CONDITIONING SUPPLY</v>
      </c>
      <c r="D980" t="s">
        <v>351</v>
      </c>
      <c r="F980" t="s">
        <v>352</v>
      </c>
    </row>
    <row r="981">
      <c r="A981" t="n">
        <v>1</v>
      </c>
      <c r="B981" t="s">
        <v>353</v>
      </c>
      <c r="C981" t="str">
        <f t="shared" si="15"/>
        <v>WATER SUPPLY; SEWERAGE, WASTE MANAGEMENT AND REMEDIATION ACTIVITIES</v>
      </c>
      <c r="D981" t="s">
        <v>354</v>
      </c>
      <c r="F981" t="s">
        <v>355</v>
      </c>
    </row>
    <row r="982">
      <c r="A982" t="n">
        <v>1</v>
      </c>
      <c r="B982" t="s">
        <v>356</v>
      </c>
      <c r="C982" t="str">
        <f t="shared" si="15"/>
        <v>CONSTRUCTION</v>
      </c>
      <c r="D982" t="s">
        <v>357</v>
      </c>
      <c r="F982" t="s">
        <v>358</v>
      </c>
    </row>
    <row r="983">
      <c r="A983" t="n">
        <v>1</v>
      </c>
      <c r="B983" t="s">
        <v>359</v>
      </c>
      <c r="C983" t="str">
        <f t="shared" si="15"/>
        <v>WHOLESALE AND RETAIL TRADE; REPAIR OF MOTOR VEHICLES AND MOTORCYCLES</v>
      </c>
      <c r="D983" t="s">
        <v>360</v>
      </c>
      <c r="F983" t="s">
        <v>361</v>
      </c>
    </row>
    <row r="984">
      <c r="A984" t="n">
        <v>1</v>
      </c>
      <c r="B984" t="s">
        <v>362</v>
      </c>
      <c r="C984" t="str">
        <f t="shared" si="15"/>
        <v>TRANSPORTATION AND STORAGE</v>
      </c>
      <c r="D984" t="s">
        <v>363</v>
      </c>
      <c r="F984" t="s">
        <v>364</v>
      </c>
    </row>
    <row r="985">
      <c r="A985" t="n">
        <v>1</v>
      </c>
      <c r="B985" t="s">
        <v>365</v>
      </c>
      <c r="C985" t="str">
        <f t="shared" si="15"/>
        <v>ACCOMMODATION AND FOOD SERVICE ACTIVITIES</v>
      </c>
      <c r="D985" t="s">
        <v>366</v>
      </c>
      <c r="F985" t="s">
        <v>367</v>
      </c>
    </row>
    <row r="986">
      <c r="A986" t="n">
        <v>1</v>
      </c>
      <c r="B986" t="s">
        <v>368</v>
      </c>
      <c r="C986" t="str">
        <f t="shared" ref="C986:C997" si="16">IF(A986=1,RIGHT(D986,LEN(D986)-2),IF(A986=2,RIGHT(D986,LEN(D986)-3),IF(A986=3,RIGHT(D986,LEN(D986)-5),RIGHT(D986,LEN(D986)-6))))</f>
        <v>INFORMATION AND COMMUNICATION</v>
      </c>
      <c r="D986" t="s">
        <v>369</v>
      </c>
      <c r="F986" t="s">
        <v>370</v>
      </c>
    </row>
    <row r="987">
      <c r="A987" t="n">
        <v>1</v>
      </c>
      <c r="B987" t="s">
        <v>371</v>
      </c>
      <c r="C987" t="str">
        <f t="shared" si="16"/>
        <v>FINANCIAL AND INSURANCE ACTIVITIES</v>
      </c>
      <c r="D987" t="s">
        <v>372</v>
      </c>
      <c r="F987" t="s">
        <v>373</v>
      </c>
    </row>
    <row r="988">
      <c r="A988" t="n">
        <v>1</v>
      </c>
      <c r="B988" t="s">
        <v>374</v>
      </c>
      <c r="C988" t="str">
        <f t="shared" si="16"/>
        <v>REAL ESTATE ACTIVITIES</v>
      </c>
      <c r="D988" t="s">
        <v>375</v>
      </c>
      <c r="F988" t="s">
        <v>376</v>
      </c>
    </row>
    <row r="989">
      <c r="A989" t="n">
        <v>1</v>
      </c>
      <c r="B989" t="s">
        <v>377</v>
      </c>
      <c r="C989" t="str">
        <f t="shared" si="16"/>
        <v>PROFESSIONAL, SCIENTIFIC AND TECHNICAL ACTIVITIES</v>
      </c>
      <c r="D989" t="s">
        <v>378</v>
      </c>
      <c r="F989" t="s">
        <v>379</v>
      </c>
    </row>
    <row r="990">
      <c r="A990" t="n">
        <v>1</v>
      </c>
      <c r="B990" t="s">
        <v>380</v>
      </c>
      <c r="C990" t="str">
        <f t="shared" si="16"/>
        <v>ADMINISTRATIVE AND SUPPORT SERVICE ACTIVITIES</v>
      </c>
      <c r="D990" t="s">
        <v>381</v>
      </c>
      <c r="F990" t="s">
        <v>382</v>
      </c>
    </row>
    <row r="991">
      <c r="A991" t="n">
        <v>1</v>
      </c>
      <c r="B991" t="s">
        <v>383</v>
      </c>
      <c r="C991" t="str">
        <f t="shared" si="16"/>
        <v>PUBLIC ADMINISTRATION AND DEFENCE; COMPULSORY SOCIAL SECURITY</v>
      </c>
      <c r="D991" t="s">
        <v>384</v>
      </c>
      <c r="F991" t="s">
        <v>385</v>
      </c>
    </row>
    <row r="992">
      <c r="A992" t="n">
        <v>1</v>
      </c>
      <c r="B992" t="s">
        <v>386</v>
      </c>
      <c r="C992" t="str">
        <f t="shared" si="16"/>
        <v>EDUCATION</v>
      </c>
      <c r="D992" t="s">
        <v>387</v>
      </c>
      <c r="F992" t="s">
        <v>388</v>
      </c>
    </row>
    <row r="993">
      <c r="A993" t="n">
        <v>1</v>
      </c>
      <c r="B993" t="s">
        <v>389</v>
      </c>
      <c r="C993" t="str">
        <f t="shared" si="16"/>
        <v>HUMAN HEALTH AND SOCIAL WORK ACTIVITIES</v>
      </c>
      <c r="D993" t="s">
        <v>390</v>
      </c>
      <c r="F993" t="s">
        <v>391</v>
      </c>
    </row>
    <row r="994">
      <c r="A994" t="n">
        <v>1</v>
      </c>
      <c r="B994" t="s">
        <v>392</v>
      </c>
      <c r="C994" t="str">
        <f t="shared" si="16"/>
        <v>ARTS, ENTERTAINMENT AND RECREATION</v>
      </c>
      <c r="D994" t="s">
        <v>393</v>
      </c>
      <c r="F994" t="s">
        <v>394</v>
      </c>
    </row>
    <row r="995">
      <c r="A995" t="n">
        <v>1</v>
      </c>
      <c r="B995" t="s">
        <v>395</v>
      </c>
      <c r="C995" t="str">
        <f t="shared" si="16"/>
        <v>OTHER SERVICE ACTIVITIES</v>
      </c>
      <c r="D995" t="s">
        <v>396</v>
      </c>
      <c r="F995" t="s">
        <v>397</v>
      </c>
    </row>
    <row r="996">
      <c r="A996" t="n">
        <v>1</v>
      </c>
      <c r="B996" t="s">
        <v>398</v>
      </c>
      <c r="C996" t="str">
        <f t="shared" si="16"/>
        <v>ACTIVITIES OF HOUSEHOLDS AS EMPLOYERS; UNDIFFERENTIATED GOODS- AND SERVICES-PRODUCING ACTIVITIES OF HOUSEHOLDS FOR OWN USE</v>
      </c>
      <c r="D996" t="s">
        <v>399</v>
      </c>
      <c r="F996" t="s">
        <v>400</v>
      </c>
    </row>
    <row r="997">
      <c r="A997" t="n">
        <v>1</v>
      </c>
      <c r="B997" t="s">
        <v>401</v>
      </c>
      <c r="C997" t="str">
        <f t="shared" si="16"/>
        <v>ACTIVITIES OF EXTRATERRITORIAL ORGANISATIONS AND BODIES</v>
      </c>
      <c r="D997" t="s">
        <v>402</v>
      </c>
      <c r="F997" t="s">
        <v>403</v>
      </c>
    </row>
  </sheetData>
  <autoFilter ref="A1:F997" xr:uid="{EC8A1AFA-8805-4032-A494-86D01B6DF9C3}">
    <sortState xmlns:xlrd2="http://schemas.microsoft.com/office/spreadsheetml/2017/richdata2" ref="A2:F997">
      <sortCondition ref="B1:B997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2" activePane="bottomLeft" state="frozen"/>
      <selection pane="bottomLeft" activeCell="C2" sqref="C2"/>
    </sheetView>
  </sheetViews>
  <sheetFormatPr defaultRowHeight="15.0" baseColWidth="10"/>
  <cols>
    <col min="1" max="1" width="15.33203125" hidden="0" customWidth="1"/>
    <col min="2" max="2" width="48.44140625" hidden="0" customWidth="1"/>
    <col min="3" max="3" width="7.77734375" hidden="0" customWidth="1"/>
  </cols>
  <sheetData>
    <row r="1">
      <c r="A1" s="5" t="s">
        <v>340</v>
      </c>
      <c r="B1" s="5" t="s">
        <v>339</v>
      </c>
      <c r="C1" s="7" t="s">
        <v>338</v>
      </c>
    </row>
    <row r="2">
      <c r="A2" t="s">
        <v>0</v>
      </c>
      <c r="B2" t="s">
        <v>1</v>
      </c>
      <c r="C2" s="8" t="e">
        <f>_xlfn.IFNA(IF(_xlfn.XLOOKUP(A2,#REF!,#REF!)&lt;&gt;"",1,0),0)</f>
        <v>#REF!</v>
      </c>
    </row>
    <row r="3">
      <c r="A3" t="s">
        <v>2</v>
      </c>
      <c r="B3" t="s">
        <v>3</v>
      </c>
      <c r="C3" s="8" t="e">
        <f>_xlfn.IFNA(IF(_xlfn.XLOOKUP(A3,#REF!,#REF!)&lt;&gt;"",1,0),0)</f>
        <v>#REF!</v>
      </c>
    </row>
    <row r="4">
      <c r="A4" s="6" t="s">
        <v>4</v>
      </c>
      <c r="B4" s="6" t="s">
        <v>5</v>
      </c>
      <c r="C4" s="8" t="e">
        <f>_xlfn.IFNA(IF(_xlfn.XLOOKUP(A4,#REF!,#REF!)&lt;&gt;"",1,0),0)</f>
        <v>#REF!</v>
      </c>
    </row>
    <row r="5">
      <c r="A5" t="s">
        <v>6</v>
      </c>
      <c r="B5" s="6" t="s">
        <v>7</v>
      </c>
      <c r="C5" s="8" t="e">
        <f>_xlfn.IFNA(IF(_xlfn.XLOOKUP(A5,#REF!,#REF!)&lt;&gt;"",1,0),0)</f>
        <v>#REF!</v>
      </c>
    </row>
    <row r="6">
      <c r="A6" s="6" t="s">
        <v>8</v>
      </c>
      <c r="B6" s="6" t="s">
        <v>9</v>
      </c>
      <c r="C6" s="8" t="e">
        <f>_xlfn.IFNA(IF(_xlfn.XLOOKUP(A6,#REF!,#REF!)&lt;&gt;"",1,0),0)</f>
        <v>#REF!</v>
      </c>
    </row>
    <row r="7">
      <c r="A7" t="s">
        <v>10</v>
      </c>
      <c r="B7" s="6" t="s">
        <v>11</v>
      </c>
      <c r="C7" s="8" t="e">
        <f>_xlfn.IFNA(IF(_xlfn.XLOOKUP(A7,#REF!,#REF!)&lt;&gt;"",1,0),0)</f>
        <v>#REF!</v>
      </c>
    </row>
    <row r="8">
      <c r="A8" t="s">
        <v>12</v>
      </c>
      <c r="B8" t="s">
        <v>13</v>
      </c>
      <c r="C8" s="8" t="e">
        <f>_xlfn.IFNA(IF(_xlfn.XLOOKUP(A8,#REF!,#REF!)&lt;&gt;"",1,0),0)</f>
        <v>#REF!</v>
      </c>
    </row>
    <row r="9">
      <c r="A9" t="s">
        <v>14</v>
      </c>
      <c r="B9" s="6" t="s">
        <v>15</v>
      </c>
      <c r="C9" s="8" t="e">
        <f>_xlfn.IFNA(IF(_xlfn.XLOOKUP(A9,#REF!,#REF!)&lt;&gt;"",1,0),0)</f>
        <v>#REF!</v>
      </c>
    </row>
    <row r="10">
      <c r="A10" t="s">
        <v>16</v>
      </c>
      <c r="B10" t="s">
        <v>17</v>
      </c>
      <c r="C10" s="8" t="e">
        <f>_xlfn.IFNA(IF(_xlfn.XLOOKUP(A10,#REF!,#REF!)&lt;&gt;"",1,0),0)</f>
        <v>#REF!</v>
      </c>
    </row>
    <row r="11">
      <c r="A11" t="s">
        <v>18</v>
      </c>
      <c r="B11" t="s">
        <v>19</v>
      </c>
      <c r="C11" s="8" t="e">
        <f>_xlfn.IFNA(IF(_xlfn.XLOOKUP(A11,#REF!,#REF!)&lt;&gt;"",1,0),0)</f>
        <v>#REF!</v>
      </c>
    </row>
    <row r="12">
      <c r="A12" t="s">
        <v>20</v>
      </c>
      <c r="B12" t="s">
        <v>21</v>
      </c>
      <c r="C12" s="8" t="e">
        <f>_xlfn.IFNA(IF(_xlfn.XLOOKUP(A12,#REF!,#REF!)&lt;&gt;"",1,0),0)</f>
        <v>#REF!</v>
      </c>
    </row>
    <row r="13">
      <c r="A13" t="s">
        <v>22</v>
      </c>
      <c r="B13" t="s">
        <v>23</v>
      </c>
      <c r="C13" s="8" t="e">
        <f>_xlfn.IFNA(IF(_xlfn.XLOOKUP(A13,#REF!,#REF!)&lt;&gt;"",1,0),0)</f>
        <v>#REF!</v>
      </c>
    </row>
    <row r="14">
      <c r="A14" t="s">
        <v>24</v>
      </c>
      <c r="B14" t="s">
        <v>25</v>
      </c>
      <c r="C14" s="8" t="e">
        <f>_xlfn.IFNA(IF(_xlfn.XLOOKUP(A14,#REF!,#REF!)&lt;&gt;"",1,0),0)</f>
        <v>#REF!</v>
      </c>
    </row>
    <row r="15">
      <c r="A15" t="s">
        <v>26</v>
      </c>
      <c r="B15" t="s">
        <v>27</v>
      </c>
      <c r="C15" s="8" t="e">
        <f>_xlfn.IFNA(IF(_xlfn.XLOOKUP(A15,#REF!,#REF!)&lt;&gt;"",1,0),0)</f>
        <v>#REF!</v>
      </c>
    </row>
    <row r="16">
      <c r="A16" t="s">
        <v>28</v>
      </c>
      <c r="B16" t="s">
        <v>29</v>
      </c>
      <c r="C16" s="8" t="e">
        <f>_xlfn.IFNA(IF(_xlfn.XLOOKUP(A16,#REF!,#REF!)&lt;&gt;"",1,0),0)</f>
        <v>#REF!</v>
      </c>
    </row>
    <row r="17">
      <c r="A17" t="s">
        <v>30</v>
      </c>
      <c r="B17" t="s">
        <v>31</v>
      </c>
      <c r="C17" s="8" t="e">
        <f>_xlfn.IFNA(IF(_xlfn.XLOOKUP(A17,#REF!,#REF!)&lt;&gt;"",1,0),0)</f>
        <v>#REF!</v>
      </c>
    </row>
    <row r="18">
      <c r="A18" t="s">
        <v>32</v>
      </c>
      <c r="B18" t="s">
        <v>33</v>
      </c>
      <c r="C18" s="8" t="e">
        <f>_xlfn.IFNA(IF(_xlfn.XLOOKUP(A18,#REF!,#REF!)&lt;&gt;"",1,0),0)</f>
        <v>#REF!</v>
      </c>
    </row>
    <row r="19">
      <c r="A19" t="s">
        <v>34</v>
      </c>
      <c r="B19" t="s">
        <v>35</v>
      </c>
      <c r="C19" s="8" t="e">
        <f>_xlfn.IFNA(IF(_xlfn.XLOOKUP(A19,#REF!,#REF!)&lt;&gt;"",1,0),0)</f>
        <v>#REF!</v>
      </c>
    </row>
    <row r="20">
      <c r="A20" t="s">
        <v>36</v>
      </c>
      <c r="B20" t="s">
        <v>37</v>
      </c>
      <c r="C20" s="8" t="e">
        <f>_xlfn.IFNA(IF(_xlfn.XLOOKUP(A20,#REF!,#REF!)&lt;&gt;"",1,0),0)</f>
        <v>#REF!</v>
      </c>
    </row>
    <row r="21">
      <c r="A21" t="s">
        <v>38</v>
      </c>
      <c r="B21" t="s">
        <v>39</v>
      </c>
      <c r="C21" s="8" t="e">
        <f>_xlfn.IFNA(IF(_xlfn.XLOOKUP(A21,#REF!,#REF!)&lt;&gt;"",1,0),0)</f>
        <v>#REF!</v>
      </c>
    </row>
    <row r="22">
      <c r="A22" t="s">
        <v>40</v>
      </c>
      <c r="B22" t="s">
        <v>41</v>
      </c>
      <c r="C22" s="8" t="e">
        <f>_xlfn.IFNA(IF(_xlfn.XLOOKUP(A22,#REF!,#REF!)&lt;&gt;"",1,0),0)</f>
        <v>#REF!</v>
      </c>
    </row>
    <row r="23">
      <c r="A23" t="s">
        <v>42</v>
      </c>
      <c r="B23" t="s">
        <v>43</v>
      </c>
      <c r="C23" s="8" t="e">
        <f>_xlfn.IFNA(IF(_xlfn.XLOOKUP(A23,#REF!,#REF!)&lt;&gt;"",1,0),0)</f>
        <v>#REF!</v>
      </c>
    </row>
    <row r="24">
      <c r="A24" t="s">
        <v>44</v>
      </c>
      <c r="B24" t="s">
        <v>45</v>
      </c>
      <c r="C24" s="8" t="e">
        <f>_xlfn.IFNA(IF(_xlfn.XLOOKUP(A24,#REF!,#REF!)&lt;&gt;"",1,0),0)</f>
        <v>#REF!</v>
      </c>
    </row>
    <row r="25">
      <c r="A25" t="s">
        <v>46</v>
      </c>
      <c r="B25" t="s">
        <v>47</v>
      </c>
      <c r="C25" s="8" t="e">
        <f>_xlfn.IFNA(IF(_xlfn.XLOOKUP(A25,#REF!,#REF!)&lt;&gt;"",1,0),0)</f>
        <v>#REF!</v>
      </c>
    </row>
    <row r="26">
      <c r="A26" t="s">
        <v>48</v>
      </c>
      <c r="B26" t="s">
        <v>49</v>
      </c>
      <c r="C26" s="8" t="e">
        <f>_xlfn.IFNA(IF(_xlfn.XLOOKUP(A26,#REF!,#REF!)&lt;&gt;"",1,0),0)</f>
        <v>#REF!</v>
      </c>
    </row>
    <row r="27">
      <c r="A27" t="s">
        <v>50</v>
      </c>
      <c r="B27" t="s">
        <v>51</v>
      </c>
      <c r="C27" s="8" t="e">
        <f>_xlfn.IFNA(IF(_xlfn.XLOOKUP(A27,#REF!,#REF!)&lt;&gt;"",1,0),0)</f>
        <v>#REF!</v>
      </c>
    </row>
    <row r="28">
      <c r="A28" t="s">
        <v>52</v>
      </c>
      <c r="B28" t="s">
        <v>53</v>
      </c>
      <c r="C28" s="8" t="e">
        <f>_xlfn.IFNA(IF(_xlfn.XLOOKUP(A28,#REF!,#REF!)&lt;&gt;"",1,0),0)</f>
        <v>#REF!</v>
      </c>
    </row>
    <row r="29">
      <c r="A29" t="s">
        <v>54</v>
      </c>
      <c r="B29" t="s">
        <v>55</v>
      </c>
      <c r="C29" s="8" t="e">
        <f>_xlfn.IFNA(IF(_xlfn.XLOOKUP(A29,#REF!,#REF!)&lt;&gt;"",1,0),0)</f>
        <v>#REF!</v>
      </c>
    </row>
    <row r="30">
      <c r="A30" t="s">
        <v>56</v>
      </c>
      <c r="B30" t="s">
        <v>57</v>
      </c>
      <c r="C30" s="8" t="e">
        <f>_xlfn.IFNA(IF(_xlfn.XLOOKUP(A30,#REF!,#REF!)&lt;&gt;"",1,0),0)</f>
        <v>#REF!</v>
      </c>
    </row>
    <row r="31">
      <c r="A31" t="s">
        <v>58</v>
      </c>
      <c r="B31" t="s">
        <v>59</v>
      </c>
      <c r="C31" s="8" t="e">
        <f>_xlfn.IFNA(IF(_xlfn.XLOOKUP(A31,#REF!,#REF!)&lt;&gt;"",1,0),0)</f>
        <v>#REF!</v>
      </c>
    </row>
    <row r="32">
      <c r="A32" t="s">
        <v>60</v>
      </c>
      <c r="B32" t="s">
        <v>61</v>
      </c>
      <c r="C32" s="8" t="e">
        <f>_xlfn.IFNA(IF(_xlfn.XLOOKUP(A32,#REF!,#REF!)&lt;&gt;"",1,0),0)</f>
        <v>#REF!</v>
      </c>
    </row>
  </sheetData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37" workbookViewId="0">
      <selection activeCell="B35" sqref="B35"/>
    </sheetView>
  </sheetViews>
  <sheetFormatPr defaultRowHeight="15.0" baseColWidth="10"/>
  <cols>
    <col min="1" max="1" width="4.33203125" hidden="0" customWidth="1"/>
    <col min="2" max="2" width="61.88671875" hidden="0" customWidth="1"/>
    <col min="3" max="3" width="12.44140625" hidden="0" customWidth="1"/>
    <col min="4" max="4" width="67.33203125" hidden="0" customWidth="1"/>
  </cols>
  <sheetData>
    <row r="1">
      <c r="A1" s="5" t="s">
        <v>335</v>
      </c>
      <c r="B1" s="5" t="s">
        <v>336</v>
      </c>
      <c r="C1" s="5" t="s">
        <v>337</v>
      </c>
      <c r="D1" s="5" t="s">
        <v>334</v>
      </c>
      <c r="E1" s="5" t="s">
        <v>3364</v>
      </c>
    </row>
    <row r="2">
      <c r="A2" s="6" t="str">
        <f t="shared" ref="A2:A65" si="0">LEFT(D2,4)</f>
        <v>01.1</v>
      </c>
      <c r="B2" s="6" t="str">
        <f>SUBSTITUTE(SUBSTITUTE(D2,A2&amp;" ",""),RIGHT(D2,5),"")</f>
        <v>Growing of non-perennial crops</v>
      </c>
      <c r="C2" s="6" t="b">
        <f>ISNUMBER(MATCH(A2,#REF!, 0))</f>
        <v>0</v>
      </c>
      <c r="D2" s="6" t="s">
        <v>62</v>
      </c>
      <c r="E2" t="b">
        <f>_xlfn.XLOOKUP(B2,Mapping!$C$2:$C$34,Mapping!$C$2:$C$34,FALSE)</f>
        <v>0</v>
      </c>
    </row>
    <row r="3">
      <c r="A3" s="6" t="str">
        <f t="shared" si="0"/>
        <v>01.2</v>
      </c>
      <c r="B3" s="6" t="str">
        <f t="shared" ref="B3:B66" si="1">SUBSTITUTE(SUBSTITUTE(D3,A3&amp;" ",""),RIGHT(D3,5),"")</f>
        <v>Growing of perennial crops</v>
      </c>
      <c r="C3" s="6" t="b">
        <f>ISNUMBER(MATCH(A3,#REF!, 0))</f>
        <v>0</v>
      </c>
      <c r="D3" s="6" t="s">
        <v>63</v>
      </c>
      <c r="E3" t="b">
        <f>_xlfn.XLOOKUP(B3,Mapping!$C$2:$C$34,Mapping!$C$2:$C$34,FALSE)</f>
        <v>0</v>
      </c>
    </row>
    <row r="4">
      <c r="A4" s="6" t="str">
        <f t="shared" si="0"/>
        <v>01.3</v>
      </c>
      <c r="B4" s="6" t="str">
        <f t="shared" si="1"/>
        <v>Plant propagation</v>
      </c>
      <c r="C4" s="6" t="b">
        <f>ISNUMBER(MATCH(A4,#REF!, 0))</f>
        <v>0</v>
      </c>
      <c r="D4" s="6" t="s">
        <v>64</v>
      </c>
      <c r="E4" t="b">
        <f>_xlfn.XLOOKUP(B4,Mapping!$C$2:$C$34,Mapping!$C$2:$C$34,FALSE)</f>
        <v>0</v>
      </c>
    </row>
    <row r="5">
      <c r="A5" s="6" t="str">
        <f t="shared" si="0"/>
        <v>01.4</v>
      </c>
      <c r="B5" s="6" t="str">
        <f t="shared" si="1"/>
        <v>Animal production</v>
      </c>
      <c r="C5" s="6" t="b">
        <f>ISNUMBER(MATCH(A5,#REF!, 0))</f>
        <v>0</v>
      </c>
      <c r="D5" s="6" t="s">
        <v>65</v>
      </c>
      <c r="E5" t="b">
        <f>_xlfn.XLOOKUP(B5,Mapping!$C$2:$C$34,Mapping!$C$2:$C$34,FALSE)</f>
        <v>0</v>
      </c>
    </row>
    <row r="6">
      <c r="A6" s="6" t="str">
        <f t="shared" si="0"/>
        <v>01.5</v>
      </c>
      <c r="B6" s="6" t="str">
        <f t="shared" si="1"/>
        <v>Mixed farming</v>
      </c>
      <c r="C6" s="6" t="b">
        <f>ISNUMBER(MATCH(A6,#REF!, 0))</f>
        <v>0</v>
      </c>
      <c r="D6" s="6" t="s">
        <v>66</v>
      </c>
      <c r="E6" t="b">
        <f>_xlfn.XLOOKUP(B6,Mapping!$C$2:$C$34,Mapping!$C$2:$C$34,FALSE)</f>
        <v>0</v>
      </c>
    </row>
    <row r="7">
      <c r="A7" s="6" t="str">
        <f t="shared" si="0"/>
        <v>01.6</v>
      </c>
      <c r="B7" s="6" t="str">
        <f t="shared" si="1"/>
        <v>Support activities to agriculture and post-harvest crop activities</v>
      </c>
      <c r="C7" s="6" t="b">
        <f>ISNUMBER(MATCH(A7,#REF!, 0))</f>
        <v>0</v>
      </c>
      <c r="D7" s="6" t="s">
        <v>67</v>
      </c>
      <c r="E7" t="b">
        <f>_xlfn.XLOOKUP(B7,Mapping!$C$2:$C$34,Mapping!$C$2:$C$34,FALSE)</f>
        <v>0</v>
      </c>
    </row>
    <row r="8">
      <c r="A8" s="6" t="str">
        <f t="shared" si="0"/>
        <v>01.7</v>
      </c>
      <c r="B8" s="6" t="str">
        <f t="shared" si="1"/>
        <v>Hunting, trapping and related service activities</v>
      </c>
      <c r="C8" s="6" t="b">
        <f>ISNUMBER(MATCH(A8,#REF!, 0))</f>
        <v>0</v>
      </c>
      <c r="D8" s="6" t="s">
        <v>68</v>
      </c>
      <c r="E8" t="b">
        <f>_xlfn.XLOOKUP(B8,Mapping!$C$2:$C$34,Mapping!$C$2:$C$34,FALSE)</f>
        <v>0</v>
      </c>
    </row>
    <row r="9">
      <c r="A9" s="6" t="str">
        <f t="shared" si="0"/>
        <v>02.1</v>
      </c>
      <c r="B9" s="6" t="str">
        <f t="shared" si="1"/>
        <v>Silviculture and other forestry activities</v>
      </c>
      <c r="C9" s="6" t="b">
        <f>ISNUMBER(MATCH(A9,#REF!, 0))</f>
        <v>0</v>
      </c>
      <c r="D9" s="6" t="s">
        <v>69</v>
      </c>
      <c r="E9" t="b">
        <f>_xlfn.XLOOKUP(B9,Mapping!$C$2:$C$34,Mapping!$C$2:$C$34,FALSE)</f>
        <v>0</v>
      </c>
    </row>
    <row r="10">
      <c r="A10" s="6" t="str">
        <f t="shared" si="0"/>
        <v>02.2</v>
      </c>
      <c r="B10" s="6" t="str">
        <f t="shared" si="1"/>
        <v>Logging</v>
      </c>
      <c r="C10" s="6" t="b">
        <f>ISNUMBER(MATCH(A10,#REF!, 0))</f>
        <v>0</v>
      </c>
      <c r="D10" s="6" t="s">
        <v>70</v>
      </c>
      <c r="E10" t="b">
        <f>_xlfn.XLOOKUP(B10,Mapping!$C$2:$C$34,Mapping!$C$2:$C$34,FALSE)</f>
        <v>0</v>
      </c>
    </row>
    <row r="11">
      <c r="A11" s="6" t="str">
        <f t="shared" si="0"/>
        <v>02.3</v>
      </c>
      <c r="B11" s="6" t="str">
        <f t="shared" si="1"/>
        <v>Gathering of wild growing non-wood products</v>
      </c>
      <c r="C11" s="6" t="b">
        <f>ISNUMBER(MATCH(A11,#REF!, 0))</f>
        <v>0</v>
      </c>
      <c r="D11" s="6" t="s">
        <v>71</v>
      </c>
      <c r="E11" t="b">
        <f>_xlfn.XLOOKUP(B11,Mapping!$C$2:$C$34,Mapping!$C$2:$C$34,FALSE)</f>
        <v>0</v>
      </c>
    </row>
    <row r="12">
      <c r="A12" s="6" t="str">
        <f t="shared" si="0"/>
        <v>02.4</v>
      </c>
      <c r="B12" s="6" t="str">
        <f t="shared" si="1"/>
        <v>Support services to forestry</v>
      </c>
      <c r="C12" s="6" t="b">
        <f>ISNUMBER(MATCH(A12,#REF!, 0))</f>
        <v>0</v>
      </c>
      <c r="D12" s="6" t="s">
        <v>72</v>
      </c>
      <c r="E12" t="b">
        <f>_xlfn.XLOOKUP(B12,Mapping!$C$2:$C$34,Mapping!$C$2:$C$34,FALSE)</f>
        <v>0</v>
      </c>
    </row>
    <row r="13">
      <c r="A13" s="6" t="str">
        <f t="shared" si="0"/>
        <v>03.1</v>
      </c>
      <c r="B13" s="6" t="str">
        <f t="shared" si="1"/>
        <v>Fishing</v>
      </c>
      <c r="C13" s="6" t="b">
        <f>ISNUMBER(MATCH(A13,#REF!, 0))</f>
        <v>0</v>
      </c>
      <c r="D13" s="6" t="s">
        <v>73</v>
      </c>
      <c r="E13" t="b">
        <f>_xlfn.XLOOKUP(B13,Mapping!$C$2:$C$34,Mapping!$C$2:$C$34,FALSE)</f>
        <v>0</v>
      </c>
    </row>
    <row r="14">
      <c r="A14" s="6" t="str">
        <f t="shared" si="0"/>
        <v>03.2</v>
      </c>
      <c r="B14" s="6" t="str">
        <f t="shared" si="1"/>
        <v>Aquaculture</v>
      </c>
      <c r="C14" s="6" t="b">
        <f>ISNUMBER(MATCH(A14,#REF!, 0))</f>
        <v>0</v>
      </c>
      <c r="D14" s="6" t="s">
        <v>74</v>
      </c>
      <c r="E14" t="b">
        <f>_xlfn.XLOOKUP(B14,Mapping!$C$2:$C$34,Mapping!$C$2:$C$34,FALSE)</f>
        <v>0</v>
      </c>
    </row>
    <row r="15">
      <c r="A15" s="6" t="str">
        <f t="shared" si="0"/>
        <v>05.1</v>
      </c>
      <c r="B15" s="6" t="str">
        <f t="shared" si="1"/>
        <v>Mining of hard coal</v>
      </c>
      <c r="C15" s="6" t="b">
        <f>ISNUMBER(MATCH(A15,#REF!, 0))</f>
        <v>0</v>
      </c>
      <c r="D15" s="6" t="s">
        <v>75</v>
      </c>
      <c r="E15" t="b">
        <f>_xlfn.XLOOKUP(B15,Mapping!$C$2:$C$34,Mapping!$C$2:$C$34,FALSE)</f>
        <v>0</v>
      </c>
    </row>
    <row r="16">
      <c r="A16" s="6" t="str">
        <f t="shared" si="0"/>
        <v>05.2</v>
      </c>
      <c r="B16" s="6" t="str">
        <f t="shared" si="1"/>
        <v>Mining of lignite</v>
      </c>
      <c r="C16" s="6" t="b">
        <f>ISNUMBER(MATCH(A16,#REF!, 0))</f>
        <v>0</v>
      </c>
      <c r="D16" s="6" t="s">
        <v>76</v>
      </c>
      <c r="E16" t="b">
        <f>_xlfn.XLOOKUP(B16,Mapping!$C$2:$C$34,Mapping!$C$2:$C$34,FALSE)</f>
        <v>0</v>
      </c>
    </row>
    <row r="17">
      <c r="A17" s="6" t="str">
        <f t="shared" si="0"/>
        <v>06.1</v>
      </c>
      <c r="B17" s="6" t="str">
        <f t="shared" si="1"/>
        <v>Extraction of crude petroleum</v>
      </c>
      <c r="C17" s="6" t="b">
        <f>ISNUMBER(MATCH(A17,#REF!, 0))</f>
        <v>0</v>
      </c>
      <c r="D17" s="6" t="s">
        <v>77</v>
      </c>
      <c r="E17" t="b">
        <f>_xlfn.XLOOKUP(B17,Mapping!$C$2:$C$34,Mapping!$C$2:$C$34,FALSE)</f>
        <v>0</v>
      </c>
    </row>
    <row r="18">
      <c r="A18" s="6" t="str">
        <f t="shared" si="0"/>
        <v>06.2</v>
      </c>
      <c r="B18" s="6" t="str">
        <f t="shared" si="1"/>
        <v>Extraction of natural gas</v>
      </c>
      <c r="C18" s="6" t="b">
        <f>ISNUMBER(MATCH(A18,#REF!, 0))</f>
        <v>0</v>
      </c>
      <c r="D18" s="6" t="s">
        <v>78</v>
      </c>
      <c r="E18" t="b">
        <f>_xlfn.XLOOKUP(B18,Mapping!$C$2:$C$34,Mapping!$C$2:$C$34,FALSE)</f>
        <v>0</v>
      </c>
    </row>
    <row r="19">
      <c r="A19" s="6" t="str">
        <f t="shared" si="0"/>
        <v>07.1</v>
      </c>
      <c r="B19" s="6" t="str">
        <f t="shared" si="1"/>
        <v>Mining of iron ores</v>
      </c>
      <c r="C19" s="6" t="b">
        <f>ISNUMBER(MATCH(A19,#REF!, 0))</f>
        <v>0</v>
      </c>
      <c r="D19" s="6" t="s">
        <v>79</v>
      </c>
      <c r="E19" t="b">
        <f>_xlfn.XLOOKUP(B19,Mapping!$C$2:$C$34,Mapping!$C$2:$C$34,FALSE)</f>
        <v>0</v>
      </c>
    </row>
    <row r="20">
      <c r="A20" s="6" t="str">
        <f t="shared" si="0"/>
        <v>07.2</v>
      </c>
      <c r="B20" s="6" t="str">
        <f t="shared" si="1"/>
        <v>Mining of non-ferrous metal ores</v>
      </c>
      <c r="C20" s="6" t="b">
        <f>ISNUMBER(MATCH(A20,#REF!, 0))</f>
        <v>0</v>
      </c>
      <c r="D20" s="6" t="s">
        <v>80</v>
      </c>
      <c r="E20" t="b">
        <f>_xlfn.XLOOKUP(B20,Mapping!$C$2:$C$34,Mapping!$C$2:$C$34,FALSE)</f>
        <v>0</v>
      </c>
    </row>
    <row r="21">
      <c r="A21" s="6" t="str">
        <f t="shared" si="0"/>
        <v>08.1</v>
      </c>
      <c r="B21" s="6" t="str">
        <f t="shared" si="1"/>
        <v>Quarrying of stone, sand and clay</v>
      </c>
      <c r="C21" s="6" t="b">
        <f>ISNUMBER(MATCH(A21,#REF!, 0))</f>
        <v>0</v>
      </c>
      <c r="D21" s="6" t="s">
        <v>81</v>
      </c>
      <c r="E21" t="b">
        <f>_xlfn.XLOOKUP(B21,Mapping!$C$2:$C$34,Mapping!$C$2:$C$34,FALSE)</f>
        <v>0</v>
      </c>
    </row>
    <row r="22">
      <c r="A22" s="6" t="str">
        <f t="shared" si="0"/>
        <v>08.9</v>
      </c>
      <c r="B22" s="6" t="str">
        <f t="shared" si="1"/>
        <v>Mining and quarrying n.e.c.</v>
      </c>
      <c r="C22" s="6" t="b">
        <f>ISNUMBER(MATCH(A22,#REF!, 0))</f>
        <v>0</v>
      </c>
      <c r="D22" s="6" t="s">
        <v>82</v>
      </c>
      <c r="E22" t="b">
        <f>_xlfn.XLOOKUP(B22,Mapping!$C$2:$C$34,Mapping!$C$2:$C$34,FALSE)</f>
        <v>0</v>
      </c>
    </row>
    <row r="23">
      <c r="A23" s="6" t="str">
        <f t="shared" si="0"/>
        <v>09.1</v>
      </c>
      <c r="B23" s="6" t="str">
        <f t="shared" si="1"/>
        <v>Support activities for petroleum and natural gas extraction</v>
      </c>
      <c r="C23" s="6" t="b">
        <f>ISNUMBER(MATCH(A23,#REF!, 0))</f>
        <v>0</v>
      </c>
      <c r="D23" s="6" t="s">
        <v>83</v>
      </c>
      <c r="E23" t="b">
        <f>_xlfn.XLOOKUP(B23,Mapping!$C$2:$C$34,Mapping!$C$2:$C$34,FALSE)</f>
        <v>0</v>
      </c>
    </row>
    <row r="24">
      <c r="A24" s="6" t="str">
        <f t="shared" si="0"/>
        <v>09.9</v>
      </c>
      <c r="B24" s="6" t="str">
        <f t="shared" si="1"/>
        <v>Support activities for other mining and quarrying</v>
      </c>
      <c r="C24" s="6" t="b">
        <f>ISNUMBER(MATCH(A24,#REF!, 0))</f>
        <v>0</v>
      </c>
      <c r="D24" s="6" t="s">
        <v>84</v>
      </c>
      <c r="E24" t="b">
        <f>_xlfn.XLOOKUP(B24,Mapping!$C$2:$C$34,Mapping!$C$2:$C$34,FALSE)</f>
        <v>0</v>
      </c>
    </row>
    <row r="25">
      <c r="A25" s="6" t="str">
        <f t="shared" si="0"/>
        <v>10.1</v>
      </c>
      <c r="B25" s="6" t="str">
        <f t="shared" si="1"/>
        <v>Processing and preserving of meat and production of meat products</v>
      </c>
      <c r="C25" s="6" t="b">
        <f>ISNUMBER(MATCH(A25,#REF!, 0))</f>
        <v>0</v>
      </c>
      <c r="D25" s="6" t="s">
        <v>85</v>
      </c>
      <c r="E25" t="b">
        <f>_xlfn.XLOOKUP(B25,Mapping!$C$2:$C$34,Mapping!$C$2:$C$34,FALSE)</f>
        <v>0</v>
      </c>
    </row>
    <row r="26">
      <c r="A26" s="6" t="str">
        <f t="shared" si="0"/>
        <v>10.2</v>
      </c>
      <c r="B26" s="6" t="str">
        <f t="shared" si="1"/>
        <v>Processing and preserving of fish, crustaceans and molluscs</v>
      </c>
      <c r="C26" s="6" t="b">
        <f>ISNUMBER(MATCH(A26,#REF!, 0))</f>
        <v>0</v>
      </c>
      <c r="D26" s="6" t="s">
        <v>86</v>
      </c>
      <c r="E26" t="b">
        <f>_xlfn.XLOOKUP(B26,Mapping!$C$2:$C$34,Mapping!$C$2:$C$34,FALSE)</f>
        <v>0</v>
      </c>
    </row>
    <row r="27">
      <c r="A27" s="6" t="str">
        <f t="shared" si="0"/>
        <v>10.3</v>
      </c>
      <c r="B27" s="6" t="str">
        <f t="shared" si="1"/>
        <v>Processing and preserving of fruit and vegetables</v>
      </c>
      <c r="C27" s="6" t="b">
        <f>ISNUMBER(MATCH(A27,#REF!, 0))</f>
        <v>0</v>
      </c>
      <c r="D27" s="6" t="s">
        <v>87</v>
      </c>
      <c r="E27" t="b">
        <f>_xlfn.XLOOKUP(B27,Mapping!$C$2:$C$34,Mapping!$C$2:$C$34,FALSE)</f>
        <v>0</v>
      </c>
    </row>
    <row r="28">
      <c r="A28" s="6" t="str">
        <f t="shared" si="0"/>
        <v>10.4</v>
      </c>
      <c r="B28" s="6" t="str">
        <f t="shared" si="1"/>
        <v>Manufacture of vegetable and animal oils and fats</v>
      </c>
      <c r="C28" s="6" t="b">
        <f>ISNUMBER(MATCH(A28,#REF!, 0))</f>
        <v>0</v>
      </c>
      <c r="D28" s="6" t="s">
        <v>88</v>
      </c>
      <c r="E28" t="b">
        <f>_xlfn.XLOOKUP(B28,Mapping!$C$2:$C$34,Mapping!$C$2:$C$34,FALSE)</f>
        <v>0</v>
      </c>
    </row>
    <row r="29">
      <c r="A29" s="6" t="str">
        <f t="shared" si="0"/>
        <v>10.5</v>
      </c>
      <c r="B29" s="6" t="str">
        <f t="shared" si="1"/>
        <v>Manufacture of dairy products</v>
      </c>
      <c r="C29" s="6" t="b">
        <f>ISNUMBER(MATCH(A29,#REF!, 0))</f>
        <v>0</v>
      </c>
      <c r="D29" s="6" t="s">
        <v>89</v>
      </c>
      <c r="E29" t="b">
        <f>_xlfn.XLOOKUP(B29,Mapping!$C$2:$C$34,Mapping!$C$2:$C$34,FALSE)</f>
        <v>0</v>
      </c>
    </row>
    <row r="30">
      <c r="A30" s="6" t="str">
        <f t="shared" si="0"/>
        <v>10.6</v>
      </c>
      <c r="B30" s="6" t="str">
        <f t="shared" si="1"/>
        <v>Manufacture of grain mill products, starches and starch products</v>
      </c>
      <c r="C30" s="6" t="b">
        <f>ISNUMBER(MATCH(A30,#REF!, 0))</f>
        <v>0</v>
      </c>
      <c r="D30" s="6" t="s">
        <v>90</v>
      </c>
      <c r="E30" t="b">
        <f>_xlfn.XLOOKUP(B30,Mapping!$C$2:$C$34,Mapping!$C$2:$C$34,FALSE)</f>
        <v>0</v>
      </c>
    </row>
    <row r="31">
      <c r="A31" s="6" t="str">
        <f t="shared" si="0"/>
        <v>10.7</v>
      </c>
      <c r="B31" s="6" t="str">
        <f t="shared" si="1"/>
        <v>Manufacture of bakery and farinaceous products</v>
      </c>
      <c r="C31" s="6" t="b">
        <f>ISNUMBER(MATCH(A31,#REF!, 0))</f>
        <v>0</v>
      </c>
      <c r="D31" s="6" t="s">
        <v>91</v>
      </c>
      <c r="E31" t="b">
        <f>_xlfn.XLOOKUP(B31,Mapping!$C$2:$C$34,Mapping!$C$2:$C$34,FALSE)</f>
        <v>0</v>
      </c>
    </row>
    <row r="32">
      <c r="A32" s="6" t="str">
        <f t="shared" si="0"/>
        <v>10.8</v>
      </c>
      <c r="B32" s="6" t="str">
        <f t="shared" si="1"/>
        <v>Manufacture of other food products</v>
      </c>
      <c r="C32" s="6" t="b">
        <f>ISNUMBER(MATCH(A32,#REF!, 0))</f>
        <v>0</v>
      </c>
      <c r="D32" s="6" t="s">
        <v>92</v>
      </c>
      <c r="E32" t="b">
        <f>_xlfn.XLOOKUP(B32,Mapping!$C$2:$C$34,Mapping!$C$2:$C$34,FALSE)</f>
        <v>0</v>
      </c>
    </row>
    <row r="33">
      <c r="A33" s="6" t="str">
        <f t="shared" si="0"/>
        <v>10.9</v>
      </c>
      <c r="B33" s="6" t="str">
        <f t="shared" si="1"/>
        <v>Manufacture of prepared animal feeds</v>
      </c>
      <c r="C33" s="6" t="b">
        <f>ISNUMBER(MATCH(A33,#REF!, 0))</f>
        <v>0</v>
      </c>
      <c r="D33" s="6" t="s">
        <v>93</v>
      </c>
      <c r="E33" t="b">
        <f>_xlfn.XLOOKUP(B33,Mapping!$C$2:$C$34,Mapping!$C$2:$C$34,FALSE)</f>
        <v>0</v>
      </c>
    </row>
    <row r="34">
      <c r="A34" s="6" t="str">
        <f t="shared" si="0"/>
        <v>11.0</v>
      </c>
      <c r="B34" s="6" t="str">
        <f t="shared" si="1"/>
        <v>Manufacture of beverages</v>
      </c>
      <c r="C34" s="6" t="b">
        <f>ISNUMBER(MATCH(A34,#REF!, 0))</f>
        <v>0</v>
      </c>
      <c r="D34" s="6" t="s">
        <v>94</v>
      </c>
      <c r="E34" t="b">
        <f>_xlfn.XLOOKUP(B34,Mapping!$C$2:$C$34,Mapping!$C$2:$C$34,FALSE)</f>
        <v>0</v>
      </c>
    </row>
    <row r="35">
      <c r="A35" s="6" t="str">
        <f t="shared" si="0"/>
        <v>12.0</v>
      </c>
      <c r="B35" s="6" t="str">
        <f t="shared" si="1"/>
        <v>Manufacture of tobacco products</v>
      </c>
      <c r="C35" s="6" t="b">
        <f>ISNUMBER(MATCH(A35,#REF!, 0))</f>
        <v>0</v>
      </c>
      <c r="D35" s="6" t="s">
        <v>95</v>
      </c>
      <c r="E35" t="b">
        <f>_xlfn.XLOOKUP(B35,Mapping!$C$2:$C$34,Mapping!$C$2:$C$34,FALSE)</f>
        <v>0</v>
      </c>
    </row>
    <row r="36">
      <c r="A36" s="6" t="str">
        <f t="shared" si="0"/>
        <v>13.1</v>
      </c>
      <c r="B36" s="6" t="str">
        <f t="shared" si="1"/>
        <v>Preparation and spinning of textile fibres</v>
      </c>
      <c r="C36" s="6" t="b">
        <f>ISNUMBER(MATCH(A36,#REF!, 0))</f>
        <v>0</v>
      </c>
      <c r="D36" s="6" t="s">
        <v>96</v>
      </c>
      <c r="E36" t="b">
        <f>_xlfn.XLOOKUP(B36,Mapping!$C$2:$C$34,Mapping!$C$2:$C$34,FALSE)</f>
        <v>0</v>
      </c>
    </row>
    <row r="37">
      <c r="A37" s="6" t="str">
        <f t="shared" si="0"/>
        <v>13.2</v>
      </c>
      <c r="B37" s="6" t="str">
        <f t="shared" si="1"/>
        <v>Weaving of textiles</v>
      </c>
      <c r="C37" s="6" t="b">
        <f>ISNUMBER(MATCH(A37,#REF!, 0))</f>
        <v>0</v>
      </c>
      <c r="D37" s="6" t="s">
        <v>97</v>
      </c>
      <c r="E37" t="b">
        <f>_xlfn.XLOOKUP(B37,Mapping!$C$2:$C$34,Mapping!$C$2:$C$34,FALSE)</f>
        <v>0</v>
      </c>
    </row>
    <row r="38">
      <c r="A38" s="6" t="str">
        <f t="shared" si="0"/>
        <v>13.3</v>
      </c>
      <c r="B38" s="6" t="str">
        <f t="shared" si="1"/>
        <v>Finishing of textiles</v>
      </c>
      <c r="C38" s="6" t="b">
        <f>ISNUMBER(MATCH(A38,#REF!, 0))</f>
        <v>0</v>
      </c>
      <c r="D38" s="6" t="s">
        <v>98</v>
      </c>
      <c r="E38" t="b">
        <f>_xlfn.XLOOKUP(B38,Mapping!$C$2:$C$34,Mapping!$C$2:$C$34,FALSE)</f>
        <v>0</v>
      </c>
    </row>
    <row r="39">
      <c r="A39" s="6" t="str">
        <f t="shared" si="0"/>
        <v>13.9</v>
      </c>
      <c r="B39" s="6" t="str">
        <f t="shared" si="1"/>
        <v>Manufacture of other textiles</v>
      </c>
      <c r="C39" s="6" t="b">
        <f>ISNUMBER(MATCH(A39,#REF!, 0))</f>
        <v>0</v>
      </c>
      <c r="D39" s="6" t="s">
        <v>99</v>
      </c>
      <c r="E39" t="b">
        <f>_xlfn.XLOOKUP(B39,Mapping!$C$2:$C$34,Mapping!$C$2:$C$34,FALSE)</f>
        <v>0</v>
      </c>
    </row>
    <row r="40">
      <c r="A40" s="6" t="str">
        <f t="shared" si="0"/>
        <v>14.1</v>
      </c>
      <c r="B40" s="6" t="str">
        <f t="shared" si="1"/>
        <v>Manufacture of wearing apparel, except fur apparel</v>
      </c>
      <c r="C40" s="6" t="b">
        <f>ISNUMBER(MATCH(A40,#REF!, 0))</f>
        <v>0</v>
      </c>
      <c r="D40" s="6" t="s">
        <v>100</v>
      </c>
      <c r="E40" t="b">
        <f>_xlfn.XLOOKUP(B40,Mapping!$C$2:$C$34,Mapping!$C$2:$C$34,FALSE)</f>
        <v>0</v>
      </c>
    </row>
    <row r="41">
      <c r="A41" s="6" t="str">
        <f t="shared" si="0"/>
        <v>14.2</v>
      </c>
      <c r="B41" s="6" t="str">
        <f t="shared" si="1"/>
        <v>Manufacture of articles of fur</v>
      </c>
      <c r="C41" s="6" t="b">
        <f>ISNUMBER(MATCH(A41,#REF!, 0))</f>
        <v>0</v>
      </c>
      <c r="D41" s="6" t="s">
        <v>101</v>
      </c>
      <c r="E41" t="b">
        <f>_xlfn.XLOOKUP(B41,Mapping!$C$2:$C$34,Mapping!$C$2:$C$34,FALSE)</f>
        <v>0</v>
      </c>
    </row>
    <row r="42">
      <c r="A42" s="6" t="str">
        <f t="shared" si="0"/>
        <v>14.3</v>
      </c>
      <c r="B42" s="6" t="str">
        <f t="shared" si="1"/>
        <v>Manufacture of knitted and crocheted apparel</v>
      </c>
      <c r="C42" s="6" t="b">
        <f>ISNUMBER(MATCH(A42,#REF!, 0))</f>
        <v>0</v>
      </c>
      <c r="D42" s="6" t="s">
        <v>102</v>
      </c>
      <c r="E42" t="b">
        <f>_xlfn.XLOOKUP(B42,Mapping!$C$2:$C$34,Mapping!$C$2:$C$34,FALSE)</f>
        <v>0</v>
      </c>
    </row>
    <row r="43">
      <c r="A43" s="6" t="str">
        <f t="shared" si="0"/>
        <v>15.1</v>
      </c>
      <c r="B43" s="6" t="str">
        <f t="shared" si="1"/>
        <v>Tanning and dressing of leather; manufacture of luggage, handbags, saddlery and harness; dressing and dyeing of fur</v>
      </c>
      <c r="C43" s="6" t="b">
        <f>ISNUMBER(MATCH(A43,#REF!, 0))</f>
        <v>0</v>
      </c>
      <c r="D43" s="6" t="s">
        <v>103</v>
      </c>
      <c r="E43" t="b">
        <f>_xlfn.XLOOKUP(B43,Mapping!$C$2:$C$34,Mapping!$C$2:$C$34,FALSE)</f>
        <v>0</v>
      </c>
    </row>
    <row r="44">
      <c r="A44" s="6" t="str">
        <f t="shared" si="0"/>
        <v>15.2</v>
      </c>
      <c r="B44" s="6" t="str">
        <f t="shared" si="1"/>
        <v>Manufacture of footwear</v>
      </c>
      <c r="C44" s="6" t="b">
        <f>ISNUMBER(MATCH(A44,#REF!, 0))</f>
        <v>0</v>
      </c>
      <c r="D44" s="6" t="s">
        <v>104</v>
      </c>
      <c r="E44" t="b">
        <f>_xlfn.XLOOKUP(B44,Mapping!$C$2:$C$34,Mapping!$C$2:$C$34,FALSE)</f>
        <v>0</v>
      </c>
    </row>
    <row r="45">
      <c r="A45" s="6" t="str">
        <f t="shared" si="0"/>
        <v>16.1</v>
      </c>
      <c r="B45" s="6" t="str">
        <f t="shared" si="1"/>
        <v>Sawmilling and planing of wood</v>
      </c>
      <c r="C45" s="6" t="b">
        <f>ISNUMBER(MATCH(A45,#REF!, 0))</f>
        <v>0</v>
      </c>
      <c r="D45" s="6" t="s">
        <v>105</v>
      </c>
      <c r="E45" t="b">
        <f>_xlfn.XLOOKUP(B45,Mapping!$C$2:$C$34,Mapping!$C$2:$C$34,FALSE)</f>
        <v>0</v>
      </c>
    </row>
    <row r="46">
      <c r="A46" s="6" t="str">
        <f t="shared" si="0"/>
        <v>16.2</v>
      </c>
      <c r="B46" s="6" t="str">
        <f t="shared" si="1"/>
        <v>Manufacture of products of wood, cork, straw and plaiting materials</v>
      </c>
      <c r="C46" s="6" t="b">
        <f>ISNUMBER(MATCH(A46,#REF!, 0))</f>
        <v>0</v>
      </c>
      <c r="D46" s="6" t="s">
        <v>106</v>
      </c>
      <c r="E46" t="b">
        <f>_xlfn.XLOOKUP(B46,Mapping!$C$2:$C$34,Mapping!$C$2:$C$34,FALSE)</f>
        <v>0</v>
      </c>
    </row>
    <row r="47">
      <c r="A47" s="6" t="str">
        <f t="shared" si="0"/>
        <v>17.1</v>
      </c>
      <c r="B47" s="6" t="str">
        <f t="shared" si="1"/>
        <v>Manufacture of pulp, paper and paperboard</v>
      </c>
      <c r="C47" s="6" t="b">
        <f>ISNUMBER(MATCH(A47,#REF!, 0))</f>
        <v>0</v>
      </c>
      <c r="D47" s="6" t="s">
        <v>107</v>
      </c>
      <c r="E47" t="str">
        <f>_xlfn.XLOOKUP(B47,Mapping!$C$2:$C$34,Mapping!$C$2:$C$34,FALSE)</f>
        <v>Manufacture of pulp, paper and paperboard</v>
      </c>
    </row>
    <row r="48">
      <c r="A48" s="6" t="str">
        <f t="shared" si="0"/>
        <v>17.2</v>
      </c>
      <c r="B48" s="6" t="str">
        <f t="shared" si="1"/>
        <v>Manufacture of articles of paper and paperboard</v>
      </c>
      <c r="C48" s="6" t="b">
        <f>ISNUMBER(MATCH(A48,#REF!, 0))</f>
        <v>0</v>
      </c>
      <c r="D48" s="6" t="s">
        <v>108</v>
      </c>
      <c r="E48" t="b">
        <f>_xlfn.XLOOKUP(B48,Mapping!$C$2:$C$34,Mapping!$C$2:$C$34,FALSE)</f>
        <v>0</v>
      </c>
    </row>
    <row r="49">
      <c r="A49" s="6" t="str">
        <f t="shared" si="0"/>
        <v>18.1</v>
      </c>
      <c r="B49" s="6" t="str">
        <f t="shared" si="1"/>
        <v>Printing and service activities related to printing</v>
      </c>
      <c r="C49" s="6" t="b">
        <f>ISNUMBER(MATCH(A49,#REF!, 0))</f>
        <v>0</v>
      </c>
      <c r="D49" s="6" t="s">
        <v>109</v>
      </c>
      <c r="E49" t="b">
        <f>_xlfn.XLOOKUP(B49,Mapping!$C$2:$C$34,Mapping!$C$2:$C$34,FALSE)</f>
        <v>0</v>
      </c>
    </row>
    <row r="50">
      <c r="A50" s="6" t="str">
        <f t="shared" si="0"/>
        <v>18.2</v>
      </c>
      <c r="B50" s="6" t="str">
        <f t="shared" si="1"/>
        <v>Reproduction of recorded media</v>
      </c>
      <c r="C50" s="6" t="b">
        <f>ISNUMBER(MATCH(A50,#REF!, 0))</f>
        <v>0</v>
      </c>
      <c r="D50" s="6" t="s">
        <v>110</v>
      </c>
      <c r="E50" t="b">
        <f>_xlfn.XLOOKUP(B50,Mapping!$C$2:$C$34,Mapping!$C$2:$C$34,FALSE)</f>
        <v>0</v>
      </c>
    </row>
    <row r="51">
      <c r="A51" s="6" t="str">
        <f t="shared" si="0"/>
        <v>19.1</v>
      </c>
      <c r="B51" s="6" t="str">
        <f t="shared" si="1"/>
        <v>Manufacture of coke oven products</v>
      </c>
      <c r="C51" s="6" t="b">
        <f>ISNUMBER(MATCH(A51,#REF!, 0))</f>
        <v>0</v>
      </c>
      <c r="D51" s="6" t="s">
        <v>111</v>
      </c>
      <c r="E51" t="str">
        <f>_xlfn.XLOOKUP(B51,Mapping!$C$2:$C$34,Mapping!$C$2:$C$34,FALSE)</f>
        <v>Manufacture of coke oven products</v>
      </c>
    </row>
    <row r="52">
      <c r="A52" s="6" t="str">
        <f t="shared" si="0"/>
        <v>19.2</v>
      </c>
      <c r="B52" s="6" t="str">
        <f t="shared" si="1"/>
        <v>Manufacture of refined petroleum products</v>
      </c>
      <c r="C52" s="6" t="b">
        <f>ISNUMBER(MATCH(A52,#REF!, 0))</f>
        <v>0</v>
      </c>
      <c r="D52" s="6" t="s">
        <v>112</v>
      </c>
      <c r="E52" t="str">
        <f>_xlfn.XLOOKUP(B52,Mapping!$C$2:$C$34,Mapping!$C$2:$C$34,FALSE)</f>
        <v>Manufacture of refined petroleum products</v>
      </c>
    </row>
    <row r="53">
      <c r="A53" s="6" t="str">
        <f t="shared" si="0"/>
        <v>20.1</v>
      </c>
      <c r="B53" s="6" t="str">
        <f t="shared" si="1"/>
        <v>Manufacture of basic chemicals, fertilisers and nitrogen compounds, plastics and synthetic rubber in primary forms</v>
      </c>
      <c r="C53" s="6" t="b">
        <f>ISNUMBER(MATCH(A53,#REF!, 0))</f>
        <v>0</v>
      </c>
      <c r="D53" s="6" t="s">
        <v>113</v>
      </c>
      <c r="E53" t="str">
        <f>_xlfn.XLOOKUP(B53,Mapping!$C$2:$C$34,Mapping!$C$2:$C$34,FALSE)</f>
        <v>Manufacture of basic chemicals, fertilisers and nitrogen compounds, plastics and synthetic rubber in primary forms</v>
      </c>
    </row>
    <row r="54">
      <c r="A54" s="6" t="str">
        <f t="shared" si="0"/>
        <v>20.2</v>
      </c>
      <c r="B54" s="6" t="str">
        <f t="shared" si="1"/>
        <v>Manufacture of pesticides and other agrochemical products</v>
      </c>
      <c r="C54" s="6" t="b">
        <f>ISNUMBER(MATCH(A54,#REF!, 0))</f>
        <v>0</v>
      </c>
      <c r="D54" s="6" t="s">
        <v>114</v>
      </c>
      <c r="E54" t="b">
        <f>_xlfn.XLOOKUP(B54,Mapping!$C$2:$C$34,Mapping!$C$2:$C$34,FALSE)</f>
        <v>0</v>
      </c>
    </row>
    <row r="55">
      <c r="A55" s="6" t="str">
        <f t="shared" si="0"/>
        <v>20.3</v>
      </c>
      <c r="B55" s="6" t="str">
        <f t="shared" si="1"/>
        <v>Manufacture of paints, varnishes and similar coatings, printing ink and mastics</v>
      </c>
      <c r="C55" s="6" t="b">
        <f>ISNUMBER(MATCH(A55,#REF!, 0))</f>
        <v>0</v>
      </c>
      <c r="D55" s="6" t="s">
        <v>115</v>
      </c>
      <c r="E55" t="b">
        <f>_xlfn.XLOOKUP(B55,Mapping!$C$2:$C$34,Mapping!$C$2:$C$34,FALSE)</f>
        <v>0</v>
      </c>
    </row>
    <row r="56">
      <c r="A56" s="6" t="str">
        <f t="shared" si="0"/>
        <v>20.4</v>
      </c>
      <c r="B56" s="6" t="str">
        <f t="shared" si="1"/>
        <v>Manufacture of soap and detergents, cleaning and polishing preparations, perfumes and toilet preparations</v>
      </c>
      <c r="C56" s="6" t="b">
        <f>ISNUMBER(MATCH(A56,#REF!, 0))</f>
        <v>0</v>
      </c>
      <c r="D56" s="6" t="s">
        <v>116</v>
      </c>
      <c r="E56" t="b">
        <f>_xlfn.XLOOKUP(B56,Mapping!$C$2:$C$34,Mapping!$C$2:$C$34,FALSE)</f>
        <v>0</v>
      </c>
    </row>
    <row r="57">
      <c r="A57" s="6" t="str">
        <f t="shared" si="0"/>
        <v>20.5</v>
      </c>
      <c r="B57" s="6" t="str">
        <f t="shared" si="1"/>
        <v>Manufacture of other chemical products</v>
      </c>
      <c r="C57" s="6" t="b">
        <f>ISNUMBER(MATCH(A57,#REF!, 0))</f>
        <v>0</v>
      </c>
      <c r="D57" s="6" t="s">
        <v>117</v>
      </c>
      <c r="E57" t="b">
        <f>_xlfn.XLOOKUP(B57,Mapping!$C$2:$C$34,Mapping!$C$2:$C$34,FALSE)</f>
        <v>0</v>
      </c>
    </row>
    <row r="58">
      <c r="A58" s="6" t="str">
        <f t="shared" si="0"/>
        <v>20.6</v>
      </c>
      <c r="B58" s="6" t="str">
        <f t="shared" si="1"/>
        <v>Manufacture of man-made fibres</v>
      </c>
      <c r="C58" s="6" t="b">
        <f>ISNUMBER(MATCH(A58,#REF!, 0))</f>
        <v>0</v>
      </c>
      <c r="D58" s="6" t="s">
        <v>118</v>
      </c>
      <c r="E58" t="b">
        <f>_xlfn.XLOOKUP(B58,Mapping!$C$2:$C$34,Mapping!$C$2:$C$34,FALSE)</f>
        <v>0</v>
      </c>
    </row>
    <row r="59">
      <c r="A59" s="6" t="str">
        <f t="shared" si="0"/>
        <v>21.1</v>
      </c>
      <c r="B59" s="6" t="str">
        <f t="shared" si="1"/>
        <v>Manufacture of basic pharmaceutical products</v>
      </c>
      <c r="C59" s="6" t="b">
        <f>ISNUMBER(MATCH(A59,#REF!, 0))</f>
        <v>0</v>
      </c>
      <c r="D59" s="6" t="s">
        <v>119</v>
      </c>
      <c r="E59" t="b">
        <f>_xlfn.XLOOKUP(B59,Mapping!$C$2:$C$34,Mapping!$C$2:$C$34,FALSE)</f>
        <v>0</v>
      </c>
    </row>
    <row r="60">
      <c r="A60" s="6" t="str">
        <f t="shared" si="0"/>
        <v>21.2</v>
      </c>
      <c r="B60" s="6" t="str">
        <f t="shared" si="1"/>
        <v>Manufacture of pharmaceutical preparations</v>
      </c>
      <c r="C60" s="6" t="b">
        <f>ISNUMBER(MATCH(A60,#REF!, 0))</f>
        <v>0</v>
      </c>
      <c r="D60" s="6" t="s">
        <v>120</v>
      </c>
      <c r="E60" t="b">
        <f>_xlfn.XLOOKUP(B60,Mapping!$C$2:$C$34,Mapping!$C$2:$C$34,FALSE)</f>
        <v>0</v>
      </c>
    </row>
    <row r="61">
      <c r="A61" s="6" t="str">
        <f t="shared" si="0"/>
        <v>22.1</v>
      </c>
      <c r="B61" s="6" t="str">
        <f t="shared" si="1"/>
        <v>Manufacture of rubber products</v>
      </c>
      <c r="C61" s="6" t="b">
        <f>ISNUMBER(MATCH(A61,#REF!, 0))</f>
        <v>0</v>
      </c>
      <c r="D61" s="6" t="s">
        <v>121</v>
      </c>
      <c r="E61" t="b">
        <f>_xlfn.XLOOKUP(B61,Mapping!$C$2:$C$34,Mapping!$C$2:$C$34,FALSE)</f>
        <v>0</v>
      </c>
    </row>
    <row r="62">
      <c r="A62" s="6" t="str">
        <f t="shared" si="0"/>
        <v>22.2</v>
      </c>
      <c r="B62" s="6" t="str">
        <f t="shared" si="1"/>
        <v>Manufacture of plastic products</v>
      </c>
      <c r="C62" s="6" t="b">
        <f>ISNUMBER(MATCH(A62,#REF!, 0))</f>
        <v>0</v>
      </c>
      <c r="D62" s="6" t="s">
        <v>122</v>
      </c>
      <c r="E62" t="b">
        <f>_xlfn.XLOOKUP(B62,Mapping!$C$2:$C$34,Mapping!$C$2:$C$34,FALSE)</f>
        <v>0</v>
      </c>
    </row>
    <row r="63">
      <c r="A63" s="6" t="str">
        <f t="shared" si="0"/>
        <v>23.1</v>
      </c>
      <c r="B63" s="6" t="str">
        <f t="shared" si="1"/>
        <v>Manufacture of glass and glass products</v>
      </c>
      <c r="C63" s="6" t="b">
        <f>ISNUMBER(MATCH(A63,#REF!, 0))</f>
        <v>0</v>
      </c>
      <c r="D63" s="6" t="s">
        <v>123</v>
      </c>
      <c r="E63" t="str">
        <f>_xlfn.XLOOKUP(B63,Mapping!$C$2:$C$34,Mapping!$C$2:$C$34,FALSE)</f>
        <v>Manufacture of glass and glass products</v>
      </c>
    </row>
    <row r="64">
      <c r="A64" s="6" t="str">
        <f t="shared" si="0"/>
        <v>23.2</v>
      </c>
      <c r="B64" s="6" t="str">
        <f t="shared" si="1"/>
        <v>Manufacture of refractory products</v>
      </c>
      <c r="C64" s="6" t="b">
        <f>ISNUMBER(MATCH(A64,#REF!, 0))</f>
        <v>0</v>
      </c>
      <c r="D64" s="6" t="s">
        <v>124</v>
      </c>
      <c r="E64" t="str">
        <f>_xlfn.XLOOKUP(B64,Mapping!$C$2:$C$34,Mapping!$C$2:$C$34,FALSE)</f>
        <v>Manufacture of refractory products</v>
      </c>
    </row>
    <row r="65">
      <c r="A65" s="6" t="str">
        <f t="shared" si="0"/>
        <v>23.3</v>
      </c>
      <c r="B65" s="6" t="str">
        <f t="shared" si="1"/>
        <v>Manufacture of clay building materials</v>
      </c>
      <c r="C65" s="6" t="b">
        <f>ISNUMBER(MATCH(A65,#REF!, 0))</f>
        <v>0</v>
      </c>
      <c r="D65" s="6" t="s">
        <v>125</v>
      </c>
      <c r="E65" t="str">
        <f>_xlfn.XLOOKUP(B65,Mapping!$C$2:$C$34,Mapping!$C$2:$C$34,FALSE)</f>
        <v>Manufacture of clay building materials</v>
      </c>
    </row>
    <row r="66">
      <c r="A66" s="6" t="str">
        <f t="shared" ref="A66:A129" si="2">LEFT(D66,4)</f>
        <v>23.4</v>
      </c>
      <c r="B66" s="6" t="str">
        <f t="shared" si="1"/>
        <v>Manufacture of other porcelain and ceramic products</v>
      </c>
      <c r="C66" s="6" t="b">
        <f>ISNUMBER(MATCH(A66,#REF!, 0))</f>
        <v>0</v>
      </c>
      <c r="D66" s="6" t="s">
        <v>126</v>
      </c>
      <c r="E66" t="str">
        <f>_xlfn.XLOOKUP(B66,Mapping!$C$2:$C$34,Mapping!$C$2:$C$34,FALSE)</f>
        <v>Manufacture of other porcelain and ceramic products</v>
      </c>
    </row>
    <row r="67">
      <c r="A67" s="6" t="str">
        <f t="shared" si="2"/>
        <v>23.5</v>
      </c>
      <c r="B67" s="6" t="str">
        <f t="shared" ref="B67:B130" si="3">SUBSTITUTE(SUBSTITUTE(D67,A67&amp;" ",""),RIGHT(D67,5),"")</f>
        <v>Manufacture of cement, lime and plaster</v>
      </c>
      <c r="C67" s="6" t="b">
        <f>ISNUMBER(MATCH(A67,#REF!, 0))</f>
        <v>0</v>
      </c>
      <c r="D67" s="6" t="s">
        <v>127</v>
      </c>
      <c r="E67" t="str">
        <f>_xlfn.XLOOKUP(B67,Mapping!$C$2:$C$34,Mapping!$C$2:$C$34,FALSE)</f>
        <v>Manufacture of cement, lime and plaster</v>
      </c>
    </row>
    <row r="68">
      <c r="A68" s="6" t="str">
        <f t="shared" si="2"/>
        <v>23.6</v>
      </c>
      <c r="B68" s="6" t="str">
        <f t="shared" si="3"/>
        <v>Manufacture of articles of concrete, cement and plaster</v>
      </c>
      <c r="C68" s="6" t="b">
        <f>ISNUMBER(MATCH(A68,#REF!, 0))</f>
        <v>0</v>
      </c>
      <c r="D68" s="6" t="s">
        <v>128</v>
      </c>
      <c r="E68" t="str">
        <f>_xlfn.XLOOKUP(B68,Mapping!$C$2:$C$34,Mapping!$C$2:$C$34,FALSE)</f>
        <v>Manufacture of articles of concrete, cement and plaster</v>
      </c>
    </row>
    <row r="69">
      <c r="A69" s="6" t="str">
        <f t="shared" si="2"/>
        <v>23.7</v>
      </c>
      <c r="B69" s="6" t="str">
        <f t="shared" si="3"/>
        <v>Cutting, shaping and finishing of stone</v>
      </c>
      <c r="C69" s="6" t="b">
        <f>ISNUMBER(MATCH(A69,#REF!, 0))</f>
        <v>0</v>
      </c>
      <c r="D69" s="6" t="s">
        <v>129</v>
      </c>
      <c r="E69" t="b">
        <f>_xlfn.XLOOKUP(B69,Mapping!$C$2:$C$34,Mapping!$C$2:$C$34,FALSE)</f>
        <v>0</v>
      </c>
    </row>
    <row r="70">
      <c r="A70" s="6" t="str">
        <f t="shared" si="2"/>
        <v>23.9</v>
      </c>
      <c r="B70" s="6" t="str">
        <f t="shared" si="3"/>
        <v>Manufacture of abrasive products and non-metallic mineral products n.e.c.</v>
      </c>
      <c r="C70" s="6" t="b">
        <f>ISNUMBER(MATCH(A70,#REF!, 0))</f>
        <v>0</v>
      </c>
      <c r="D70" s="6" t="s">
        <v>130</v>
      </c>
      <c r="E70" t="str">
        <f>_xlfn.XLOOKUP(B70,Mapping!$C$2:$C$34,Mapping!$C$2:$C$34,FALSE)</f>
        <v>Manufacture of abrasive products and non-metallic mineral products n.e.c.</v>
      </c>
    </row>
    <row r="71">
      <c r="A71" s="6" t="str">
        <f t="shared" si="2"/>
        <v>24.1</v>
      </c>
      <c r="B71" s="6" t="str">
        <f t="shared" si="3"/>
        <v>Manufacture of basic iron and steel and of ferro-alloys</v>
      </c>
      <c r="C71" s="6" t="b">
        <f>ISNUMBER(MATCH(A71,#REF!, 0))</f>
        <v>0</v>
      </c>
      <c r="D71" s="6" t="s">
        <v>131</v>
      </c>
      <c r="E71" t="str">
        <f>_xlfn.XLOOKUP(B71,Mapping!$C$2:$C$34,Mapping!$C$2:$C$34,FALSE)</f>
        <v>Manufacture of basic iron and steel and of ferro-alloys</v>
      </c>
    </row>
    <row r="72">
      <c r="A72" s="6" t="str">
        <f t="shared" si="2"/>
        <v>24.2</v>
      </c>
      <c r="B72" s="6" t="str">
        <f t="shared" si="3"/>
        <v>Manufacture of tubes, pipes, hollow profiles and related fittings, of steel</v>
      </c>
      <c r="C72" s="6" t="b">
        <f>ISNUMBER(MATCH(A72,#REF!, 0))</f>
        <v>0</v>
      </c>
      <c r="D72" s="6" t="s">
        <v>132</v>
      </c>
      <c r="E72" t="str">
        <f>_xlfn.XLOOKUP(B72,Mapping!$C$2:$C$34,Mapping!$C$2:$C$34,FALSE)</f>
        <v>Manufacture of tubes, pipes, hollow profiles and related fittings, of steel</v>
      </c>
    </row>
    <row r="73">
      <c r="A73" s="6" t="str">
        <f t="shared" si="2"/>
        <v>24.3</v>
      </c>
      <c r="B73" s="6" t="str">
        <f t="shared" si="3"/>
        <v>Manufacture of other products of first processing of steel</v>
      </c>
      <c r="C73" s="6" t="b">
        <f>ISNUMBER(MATCH(A73,#REF!, 0))</f>
        <v>0</v>
      </c>
      <c r="D73" s="6" t="s">
        <v>133</v>
      </c>
      <c r="E73" t="str">
        <f>_xlfn.XLOOKUP(B73,Mapping!$C$2:$C$34,Mapping!$C$2:$C$34,FALSE)</f>
        <v>Manufacture of other products of first processing of steel</v>
      </c>
    </row>
    <row r="74">
      <c r="A74" s="6" t="str">
        <f t="shared" si="2"/>
        <v>24.4</v>
      </c>
      <c r="B74" s="6" t="str">
        <f t="shared" si="3"/>
        <v>Manufacture of basic precious and other non-ferrous metals</v>
      </c>
      <c r="C74" s="6" t="b">
        <f>ISNUMBER(MATCH(A74,#REF!, 0))</f>
        <v>0</v>
      </c>
      <c r="D74" s="6" t="s">
        <v>134</v>
      </c>
      <c r="E74" t="str">
        <f>_xlfn.XLOOKUP(B74,Mapping!$C$2:$C$34,Mapping!$C$2:$C$34,FALSE)</f>
        <v>Manufacture of basic precious and other non-ferrous metals</v>
      </c>
    </row>
    <row r="75">
      <c r="A75" s="6" t="str">
        <f t="shared" si="2"/>
        <v>24.5</v>
      </c>
      <c r="B75" s="6" t="str">
        <f t="shared" si="3"/>
        <v>Casting of metals</v>
      </c>
      <c r="C75" s="6" t="b">
        <f>ISNUMBER(MATCH(A75,#REF!, 0))</f>
        <v>0</v>
      </c>
      <c r="D75" s="6" t="s">
        <v>135</v>
      </c>
      <c r="E75" t="b">
        <f>_xlfn.XLOOKUP(B75,Mapping!$C$2:$C$34,Mapping!$C$2:$C$34,FALSE)</f>
        <v>0</v>
      </c>
    </row>
    <row r="76">
      <c r="A76" s="6" t="str">
        <f t="shared" si="2"/>
        <v>25.1</v>
      </c>
      <c r="B76" s="6" t="str">
        <f t="shared" si="3"/>
        <v>Manufacture of structural metal products</v>
      </c>
      <c r="C76" s="6" t="b">
        <f>ISNUMBER(MATCH(A76,#REF!, 0))</f>
        <v>0</v>
      </c>
      <c r="D76" s="6" t="s">
        <v>136</v>
      </c>
      <c r="E76" t="b">
        <f>_xlfn.XLOOKUP(B76,Mapping!$C$2:$C$34,Mapping!$C$2:$C$34,FALSE)</f>
        <v>0</v>
      </c>
    </row>
    <row r="77">
      <c r="A77" s="6" t="str">
        <f t="shared" si="2"/>
        <v>25.2</v>
      </c>
      <c r="B77" s="6" t="str">
        <f t="shared" si="3"/>
        <v>Manufacture of tanks, reservoirs and containers of metal</v>
      </c>
      <c r="C77" s="6" t="b">
        <f>ISNUMBER(MATCH(A77,#REF!, 0))</f>
        <v>0</v>
      </c>
      <c r="D77" s="6" t="s">
        <v>137</v>
      </c>
      <c r="E77" t="b">
        <f>_xlfn.XLOOKUP(B77,Mapping!$C$2:$C$34,Mapping!$C$2:$C$34,FALSE)</f>
        <v>0</v>
      </c>
    </row>
    <row r="78">
      <c r="A78" s="6" t="str">
        <f t="shared" si="2"/>
        <v>25.3</v>
      </c>
      <c r="B78" s="6" t="str">
        <f t="shared" si="3"/>
        <v>Manufacture of steam generators, except central heating hot water boilers</v>
      </c>
      <c r="C78" s="6" t="b">
        <f>ISNUMBER(MATCH(A78,#REF!, 0))</f>
        <v>0</v>
      </c>
      <c r="D78" s="6" t="s">
        <v>138</v>
      </c>
      <c r="E78" t="b">
        <f>_xlfn.XLOOKUP(B78,Mapping!$C$2:$C$34,Mapping!$C$2:$C$34,FALSE)</f>
        <v>0</v>
      </c>
    </row>
    <row r="79">
      <c r="A79" s="6" t="str">
        <f t="shared" si="2"/>
        <v>25.4</v>
      </c>
      <c r="B79" s="6" t="str">
        <f t="shared" si="3"/>
        <v>Manufacture of weapons and ammunition</v>
      </c>
      <c r="C79" s="6" t="b">
        <f>ISNUMBER(MATCH(A79,#REF!, 0))</f>
        <v>0</v>
      </c>
      <c r="D79" s="6" t="s">
        <v>139</v>
      </c>
      <c r="E79" t="b">
        <f>_xlfn.XLOOKUP(B79,Mapping!$C$2:$C$34,Mapping!$C$2:$C$34,FALSE)</f>
        <v>0</v>
      </c>
    </row>
    <row r="80">
      <c r="A80" s="6" t="str">
        <f t="shared" si="2"/>
        <v>25.5</v>
      </c>
      <c r="B80" s="6" t="str">
        <f t="shared" si="3"/>
        <v>Forging, pressing, stamping and roll-forming of metal; powder metallurgy</v>
      </c>
      <c r="C80" s="6" t="b">
        <f>ISNUMBER(MATCH(A80,#REF!, 0))</f>
        <v>0</v>
      </c>
      <c r="D80" s="6" t="s">
        <v>140</v>
      </c>
      <c r="E80" t="b">
        <f>_xlfn.XLOOKUP(B80,Mapping!$C$2:$C$34,Mapping!$C$2:$C$34,FALSE)</f>
        <v>0</v>
      </c>
    </row>
    <row r="81">
      <c r="A81" s="6" t="str">
        <f t="shared" si="2"/>
        <v>25.6</v>
      </c>
      <c r="B81" s="6" t="str">
        <f t="shared" si="3"/>
        <v>Treatment and coating of metals; machining</v>
      </c>
      <c r="C81" s="6" t="b">
        <f>ISNUMBER(MATCH(A81,#REF!, 0))</f>
        <v>0</v>
      </c>
      <c r="D81" s="6" t="s">
        <v>141</v>
      </c>
      <c r="E81" t="b">
        <f>_xlfn.XLOOKUP(B81,Mapping!$C$2:$C$34,Mapping!$C$2:$C$34,FALSE)</f>
        <v>0</v>
      </c>
    </row>
    <row r="82">
      <c r="A82" s="6" t="str">
        <f t="shared" si="2"/>
        <v>25.7</v>
      </c>
      <c r="B82" s="6" t="str">
        <f t="shared" si="3"/>
        <v>Manufacture of cutlery, tools and general hardware</v>
      </c>
      <c r="C82" s="6" t="b">
        <f>ISNUMBER(MATCH(A82,#REF!, 0))</f>
        <v>0</v>
      </c>
      <c r="D82" s="6" t="s">
        <v>142</v>
      </c>
      <c r="E82" t="b">
        <f>_xlfn.XLOOKUP(B82,Mapping!$C$2:$C$34,Mapping!$C$2:$C$34,FALSE)</f>
        <v>0</v>
      </c>
    </row>
    <row r="83">
      <c r="A83" s="6" t="str">
        <f t="shared" si="2"/>
        <v>25.9</v>
      </c>
      <c r="B83" s="6" t="str">
        <f t="shared" si="3"/>
        <v>Manufacture of other fabricated metal products</v>
      </c>
      <c r="C83" s="6" t="b">
        <f>ISNUMBER(MATCH(A83,#REF!, 0))</f>
        <v>0</v>
      </c>
      <c r="D83" s="6" t="s">
        <v>143</v>
      </c>
      <c r="E83" t="b">
        <f>_xlfn.XLOOKUP(B83,Mapping!$C$2:$C$34,Mapping!$C$2:$C$34,FALSE)</f>
        <v>0</v>
      </c>
    </row>
    <row r="84">
      <c r="A84" s="6" t="str">
        <f t="shared" si="2"/>
        <v>26.1</v>
      </c>
      <c r="B84" s="6" t="str">
        <f t="shared" si="3"/>
        <v>Manufacture of electronic components and boards</v>
      </c>
      <c r="C84" s="6" t="b">
        <f>ISNUMBER(MATCH(A84,#REF!, 0))</f>
        <v>0</v>
      </c>
      <c r="D84" s="6" t="s">
        <v>144</v>
      </c>
      <c r="E84" t="b">
        <f>_xlfn.XLOOKUP(B84,Mapping!$C$2:$C$34,Mapping!$C$2:$C$34,FALSE)</f>
        <v>0</v>
      </c>
    </row>
    <row r="85">
      <c r="A85" s="6" t="str">
        <f t="shared" si="2"/>
        <v>26.2</v>
      </c>
      <c r="B85" s="6" t="str">
        <f t="shared" si="3"/>
        <v>Manufacture of computers and peripheral equipment</v>
      </c>
      <c r="C85" s="6" t="b">
        <f>ISNUMBER(MATCH(A85,#REF!, 0))</f>
        <v>0</v>
      </c>
      <c r="D85" s="6" t="s">
        <v>145</v>
      </c>
      <c r="E85" t="b">
        <f>_xlfn.XLOOKUP(B85,Mapping!$C$2:$C$34,Mapping!$C$2:$C$34,FALSE)</f>
        <v>0</v>
      </c>
    </row>
    <row r="86">
      <c r="A86" s="6" t="str">
        <f t="shared" si="2"/>
        <v>26.3</v>
      </c>
      <c r="B86" s="6" t="str">
        <f t="shared" si="3"/>
        <v>Manufacture of communication equipment</v>
      </c>
      <c r="C86" s="6" t="b">
        <f>ISNUMBER(MATCH(A86,#REF!, 0))</f>
        <v>0</v>
      </c>
      <c r="D86" s="6" t="s">
        <v>146</v>
      </c>
      <c r="E86" t="b">
        <f>_xlfn.XLOOKUP(B86,Mapping!$C$2:$C$34,Mapping!$C$2:$C$34,FALSE)</f>
        <v>0</v>
      </c>
    </row>
    <row r="87">
      <c r="A87" s="6" t="str">
        <f t="shared" si="2"/>
        <v>26.4</v>
      </c>
      <c r="B87" s="6" t="str">
        <f t="shared" si="3"/>
        <v>Manufacture of consumer electronics</v>
      </c>
      <c r="C87" s="6" t="b">
        <f>ISNUMBER(MATCH(A87,#REF!, 0))</f>
        <v>0</v>
      </c>
      <c r="D87" s="6" t="s">
        <v>147</v>
      </c>
      <c r="E87" t="b">
        <f>_xlfn.XLOOKUP(B87,Mapping!$C$2:$C$34,Mapping!$C$2:$C$34,FALSE)</f>
        <v>0</v>
      </c>
    </row>
    <row r="88">
      <c r="A88" s="6" t="str">
        <f t="shared" si="2"/>
        <v>26.5</v>
      </c>
      <c r="B88" s="6" t="str">
        <f t="shared" si="3"/>
        <v>Manufacture of instruments and appliances for measuring, testing and navigation; watches and clocks</v>
      </c>
      <c r="C88" s="6" t="b">
        <f>ISNUMBER(MATCH(A88,#REF!, 0))</f>
        <v>0</v>
      </c>
      <c r="D88" s="6" t="s">
        <v>148</v>
      </c>
      <c r="E88" t="b">
        <f>_xlfn.XLOOKUP(B88,Mapping!$C$2:$C$34,Mapping!$C$2:$C$34,FALSE)</f>
        <v>0</v>
      </c>
    </row>
    <row r="89">
      <c r="A89" s="6" t="str">
        <f t="shared" si="2"/>
        <v>26.6</v>
      </c>
      <c r="B89" s="6" t="str">
        <f t="shared" si="3"/>
        <v>Manufacture of irradiation, electromedical and electrotherapeutic equipment</v>
      </c>
      <c r="C89" s="6" t="b">
        <f>ISNUMBER(MATCH(A89,#REF!, 0))</f>
        <v>0</v>
      </c>
      <c r="D89" s="6" t="s">
        <v>149</v>
      </c>
      <c r="E89" t="b">
        <f>_xlfn.XLOOKUP(B89,Mapping!$C$2:$C$34,Mapping!$C$2:$C$34,FALSE)</f>
        <v>0</v>
      </c>
    </row>
    <row r="90">
      <c r="A90" s="6" t="str">
        <f t="shared" si="2"/>
        <v>26.7</v>
      </c>
      <c r="B90" s="6" t="str">
        <f t="shared" si="3"/>
        <v>Manufacture of optical instruments and photographic equipment</v>
      </c>
      <c r="C90" s="6" t="b">
        <f>ISNUMBER(MATCH(A90,#REF!, 0))</f>
        <v>0</v>
      </c>
      <c r="D90" s="6" t="s">
        <v>150</v>
      </c>
      <c r="E90" t="b">
        <f>_xlfn.XLOOKUP(B90,Mapping!$C$2:$C$34,Mapping!$C$2:$C$34,FALSE)</f>
        <v>0</v>
      </c>
    </row>
    <row r="91">
      <c r="A91" s="6" t="str">
        <f t="shared" si="2"/>
        <v>26.8</v>
      </c>
      <c r="B91" s="6" t="str">
        <f t="shared" si="3"/>
        <v>Manufacture of magnetic and optical media</v>
      </c>
      <c r="C91" s="6" t="b">
        <f>ISNUMBER(MATCH(A91,#REF!, 0))</f>
        <v>0</v>
      </c>
      <c r="D91" s="6" t="s">
        <v>151</v>
      </c>
      <c r="E91" t="b">
        <f>_xlfn.XLOOKUP(B91,Mapping!$C$2:$C$34,Mapping!$C$2:$C$34,FALSE)</f>
        <v>0</v>
      </c>
    </row>
    <row r="92">
      <c r="A92" s="6" t="str">
        <f t="shared" si="2"/>
        <v>27.1</v>
      </c>
      <c r="B92" s="6" t="str">
        <f t="shared" si="3"/>
        <v>Manufacture of electric motors, generators, transformers and electricity distribution and control apparatus</v>
      </c>
      <c r="C92" s="6" t="b">
        <f>ISNUMBER(MATCH(A92,#REF!, 0))</f>
        <v>0</v>
      </c>
      <c r="D92" s="6" t="s">
        <v>152</v>
      </c>
      <c r="E92" t="b">
        <f>_xlfn.XLOOKUP(B92,Mapping!$C$2:$C$34,Mapping!$C$2:$C$34,FALSE)</f>
        <v>0</v>
      </c>
    </row>
    <row r="93">
      <c r="A93" s="6" t="str">
        <f t="shared" si="2"/>
        <v>27.2</v>
      </c>
      <c r="B93" s="6" t="str">
        <f t="shared" si="3"/>
        <v>Manufacture of batteries and accumulators</v>
      </c>
      <c r="C93" s="6" t="b">
        <f>ISNUMBER(MATCH(A93,#REF!, 0))</f>
        <v>0</v>
      </c>
      <c r="D93" s="6" t="s">
        <v>153</v>
      </c>
      <c r="E93" t="b">
        <f>_xlfn.XLOOKUP(B93,Mapping!$C$2:$C$34,Mapping!$C$2:$C$34,FALSE)</f>
        <v>0</v>
      </c>
    </row>
    <row r="94">
      <c r="A94" s="6" t="str">
        <f t="shared" si="2"/>
        <v>27.3</v>
      </c>
      <c r="B94" s="6" t="str">
        <f t="shared" si="3"/>
        <v>Manufacture of wiring and wiring devices</v>
      </c>
      <c r="C94" s="6" t="b">
        <f>ISNUMBER(MATCH(A94,#REF!, 0))</f>
        <v>0</v>
      </c>
      <c r="D94" s="6" t="s">
        <v>154</v>
      </c>
      <c r="E94" t="b">
        <f>_xlfn.XLOOKUP(B94,Mapping!$C$2:$C$34,Mapping!$C$2:$C$34,FALSE)</f>
        <v>0</v>
      </c>
    </row>
    <row r="95">
      <c r="A95" s="6" t="str">
        <f t="shared" si="2"/>
        <v>27.4</v>
      </c>
      <c r="B95" s="6" t="str">
        <f t="shared" si="3"/>
        <v>Manufacture of electric lighting equipment</v>
      </c>
      <c r="C95" s="6" t="b">
        <f>ISNUMBER(MATCH(A95,#REF!, 0))</f>
        <v>0</v>
      </c>
      <c r="D95" s="6" t="s">
        <v>155</v>
      </c>
      <c r="E95" t="b">
        <f>_xlfn.XLOOKUP(B95,Mapping!$C$2:$C$34,Mapping!$C$2:$C$34,FALSE)</f>
        <v>0</v>
      </c>
    </row>
    <row r="96">
      <c r="A96" s="6" t="str">
        <f t="shared" si="2"/>
        <v>27.5</v>
      </c>
      <c r="B96" s="6" t="str">
        <f t="shared" si="3"/>
        <v>Manufacture of domestic appliances</v>
      </c>
      <c r="C96" s="6" t="b">
        <f>ISNUMBER(MATCH(A96,#REF!, 0))</f>
        <v>0</v>
      </c>
      <c r="D96" s="6" t="s">
        <v>156</v>
      </c>
      <c r="E96" t="b">
        <f>_xlfn.XLOOKUP(B96,Mapping!$C$2:$C$34,Mapping!$C$2:$C$34,FALSE)</f>
        <v>0</v>
      </c>
    </row>
    <row r="97">
      <c r="A97" s="6" t="str">
        <f t="shared" si="2"/>
        <v>27.9</v>
      </c>
      <c r="B97" s="6" t="str">
        <f t="shared" si="3"/>
        <v>Manufacture of other electrical equipment</v>
      </c>
      <c r="C97" s="6" t="b">
        <f>ISNUMBER(MATCH(A97,#REF!, 0))</f>
        <v>0</v>
      </c>
      <c r="D97" s="6" t="s">
        <v>157</v>
      </c>
      <c r="E97" t="b">
        <f>_xlfn.XLOOKUP(B97,Mapping!$C$2:$C$34,Mapping!$C$2:$C$34,FALSE)</f>
        <v>0</v>
      </c>
    </row>
    <row r="98">
      <c r="A98" s="6" t="str">
        <f t="shared" si="2"/>
        <v>28.1</v>
      </c>
      <c r="B98" s="6" t="str">
        <f t="shared" si="3"/>
        <v>Manufacture of general-purpose machinery</v>
      </c>
      <c r="C98" s="6" t="b">
        <f>ISNUMBER(MATCH(A98,#REF!, 0))</f>
        <v>0</v>
      </c>
      <c r="D98" s="6" t="s">
        <v>158</v>
      </c>
      <c r="E98" t="b">
        <f>_xlfn.XLOOKUP(B98,Mapping!$C$2:$C$34,Mapping!$C$2:$C$34,FALSE)</f>
        <v>0</v>
      </c>
    </row>
    <row r="99">
      <c r="A99" s="6" t="str">
        <f t="shared" si="2"/>
        <v>28.2</v>
      </c>
      <c r="B99" s="6" t="str">
        <f t="shared" si="3"/>
        <v>Manufacture of other general-purpose machinery</v>
      </c>
      <c r="C99" s="6" t="b">
        <f>ISNUMBER(MATCH(A99,#REF!, 0))</f>
        <v>0</v>
      </c>
      <c r="D99" s="6" t="s">
        <v>159</v>
      </c>
      <c r="E99" t="b">
        <f>_xlfn.XLOOKUP(B99,Mapping!$C$2:$C$34,Mapping!$C$2:$C$34,FALSE)</f>
        <v>0</v>
      </c>
    </row>
    <row r="100">
      <c r="A100" s="6" t="str">
        <f t="shared" si="2"/>
        <v>28.3</v>
      </c>
      <c r="B100" s="6" t="str">
        <f t="shared" si="3"/>
        <v>Manufacture of agricultural and forestry machinery</v>
      </c>
      <c r="C100" s="6" t="b">
        <f>ISNUMBER(MATCH(A100,#REF!, 0))</f>
        <v>0</v>
      </c>
      <c r="D100" s="6" t="s">
        <v>160</v>
      </c>
      <c r="E100" t="b">
        <f>_xlfn.XLOOKUP(B100,Mapping!$C$2:$C$34,Mapping!$C$2:$C$34,FALSE)</f>
        <v>0</v>
      </c>
    </row>
    <row r="101">
      <c r="A101" s="6" t="str">
        <f t="shared" si="2"/>
        <v>28.4</v>
      </c>
      <c r="B101" s="6" t="str">
        <f t="shared" si="3"/>
        <v>Manufacture of metal forming machinery and machine tools</v>
      </c>
      <c r="C101" s="6" t="b">
        <f>ISNUMBER(MATCH(A101,#REF!, 0))</f>
        <v>0</v>
      </c>
      <c r="D101" s="6" t="s">
        <v>161</v>
      </c>
      <c r="E101" t="b">
        <f>_xlfn.XLOOKUP(B101,Mapping!$C$2:$C$34,Mapping!$C$2:$C$34,FALSE)</f>
        <v>0</v>
      </c>
    </row>
    <row r="102">
      <c r="A102" s="6" t="str">
        <f t="shared" si="2"/>
        <v>28.9</v>
      </c>
      <c r="B102" s="6" t="str">
        <f t="shared" si="3"/>
        <v>Manufacture of other special-purpose machinery</v>
      </c>
      <c r="C102" s="6" t="b">
        <f>ISNUMBER(MATCH(A102,#REF!, 0))</f>
        <v>0</v>
      </c>
      <c r="D102" s="6" t="s">
        <v>162</v>
      </c>
      <c r="E102" t="b">
        <f>_xlfn.XLOOKUP(B102,Mapping!$C$2:$C$34,Mapping!$C$2:$C$34,FALSE)</f>
        <v>0</v>
      </c>
    </row>
    <row r="103">
      <c r="A103" s="6" t="str">
        <f t="shared" si="2"/>
        <v>29.1</v>
      </c>
      <c r="B103" s="6" t="str">
        <f t="shared" si="3"/>
        <v>Manufacture of motor vehicles</v>
      </c>
      <c r="C103" s="6" t="b">
        <f>ISNUMBER(MATCH(A103,#REF!, 0))</f>
        <v>0</v>
      </c>
      <c r="D103" s="6" t="s">
        <v>163</v>
      </c>
      <c r="E103" t="b">
        <f>_xlfn.XLOOKUP(B103,Mapping!$C$2:$C$34,Mapping!$C$2:$C$34,FALSE)</f>
        <v>0</v>
      </c>
    </row>
    <row r="104">
      <c r="A104" s="6" t="str">
        <f t="shared" si="2"/>
        <v>29.2</v>
      </c>
      <c r="B104" s="6" t="str">
        <f t="shared" si="3"/>
        <v>Manufacture of bodies (coachwork) for motor vehicles; manufacture of trailers and semi-trailers</v>
      </c>
      <c r="C104" s="6" t="b">
        <f>ISNUMBER(MATCH(A104,#REF!, 0))</f>
        <v>0</v>
      </c>
      <c r="D104" s="6" t="s">
        <v>164</v>
      </c>
      <c r="E104" t="b">
        <f>_xlfn.XLOOKUP(B104,Mapping!$C$2:$C$34,Mapping!$C$2:$C$34,FALSE)</f>
        <v>0</v>
      </c>
    </row>
    <row r="105">
      <c r="A105" s="6" t="str">
        <f t="shared" si="2"/>
        <v>29.3</v>
      </c>
      <c r="B105" s="6" t="str">
        <f t="shared" si="3"/>
        <v>Manufacture of parts and accessories for motor vehicles</v>
      </c>
      <c r="C105" s="6" t="b">
        <f>ISNUMBER(MATCH(A105,#REF!, 0))</f>
        <v>0</v>
      </c>
      <c r="D105" s="6" t="s">
        <v>165</v>
      </c>
      <c r="E105" t="b">
        <f>_xlfn.XLOOKUP(B105,Mapping!$C$2:$C$34,Mapping!$C$2:$C$34,FALSE)</f>
        <v>0</v>
      </c>
    </row>
    <row r="106">
      <c r="A106" s="6" t="str">
        <f t="shared" si="2"/>
        <v>30.1</v>
      </c>
      <c r="B106" s="6" t="str">
        <f t="shared" si="3"/>
        <v>Building of ships and boats</v>
      </c>
      <c r="C106" s="6" t="b">
        <f>ISNUMBER(MATCH(A106,#REF!, 0))</f>
        <v>0</v>
      </c>
      <c r="D106" s="6" t="s">
        <v>166</v>
      </c>
      <c r="E106" t="b">
        <f>_xlfn.XLOOKUP(B106,Mapping!$C$2:$C$34,Mapping!$C$2:$C$34,FALSE)</f>
        <v>0</v>
      </c>
    </row>
    <row r="107">
      <c r="A107" s="6" t="str">
        <f t="shared" si="2"/>
        <v>30.2</v>
      </c>
      <c r="B107" s="6" t="str">
        <f t="shared" si="3"/>
        <v>Manufacture of railway locomotives and rolling stock</v>
      </c>
      <c r="C107" s="6" t="b">
        <f>ISNUMBER(MATCH(A107,#REF!, 0))</f>
        <v>0</v>
      </c>
      <c r="D107" s="6" t="s">
        <v>167</v>
      </c>
      <c r="E107" t="b">
        <f>_xlfn.XLOOKUP(B107,Mapping!$C$2:$C$34,Mapping!$C$2:$C$34,FALSE)</f>
        <v>0</v>
      </c>
    </row>
    <row r="108">
      <c r="A108" s="6" t="str">
        <f t="shared" si="2"/>
        <v>30.3</v>
      </c>
      <c r="B108" s="6" t="str">
        <f t="shared" si="3"/>
        <v>Manufacture of air and spacecraft and related machinery</v>
      </c>
      <c r="C108" s="6" t="b">
        <f>ISNUMBER(MATCH(A108,#REF!, 0))</f>
        <v>0</v>
      </c>
      <c r="D108" s="6" t="s">
        <v>168</v>
      </c>
      <c r="E108" t="b">
        <f>_xlfn.XLOOKUP(B108,Mapping!$C$2:$C$34,Mapping!$C$2:$C$34,FALSE)</f>
        <v>0</v>
      </c>
    </row>
    <row r="109">
      <c r="A109" s="6" t="str">
        <f t="shared" si="2"/>
        <v>30.4</v>
      </c>
      <c r="B109" s="6" t="str">
        <f t="shared" si="3"/>
        <v>Manufacture of military fighting vehicles</v>
      </c>
      <c r="C109" s="6" t="b">
        <f>ISNUMBER(MATCH(A109,#REF!, 0))</f>
        <v>0</v>
      </c>
      <c r="D109" s="6" t="s">
        <v>169</v>
      </c>
      <c r="E109" t="b">
        <f>_xlfn.XLOOKUP(B109,Mapping!$C$2:$C$34,Mapping!$C$2:$C$34,FALSE)</f>
        <v>0</v>
      </c>
    </row>
    <row r="110">
      <c r="A110" s="6" t="str">
        <f t="shared" si="2"/>
        <v>30.9</v>
      </c>
      <c r="B110" s="6" t="str">
        <f t="shared" si="3"/>
        <v>Manufacture of transport equipment n.e.c.</v>
      </c>
      <c r="C110" s="6" t="b">
        <f>ISNUMBER(MATCH(A110,#REF!, 0))</f>
        <v>0</v>
      </c>
      <c r="D110" s="6" t="s">
        <v>170</v>
      </c>
      <c r="E110" t="b">
        <f>_xlfn.XLOOKUP(B110,Mapping!$C$2:$C$34,Mapping!$C$2:$C$34,FALSE)</f>
        <v>0</v>
      </c>
    </row>
    <row r="111">
      <c r="A111" s="6" t="str">
        <f t="shared" si="2"/>
        <v>31.0</v>
      </c>
      <c r="B111" s="6" t="str">
        <f t="shared" si="3"/>
        <v>Manufacture of furniture</v>
      </c>
      <c r="C111" s="6" t="b">
        <f>ISNUMBER(MATCH(A111,#REF!, 0))</f>
        <v>0</v>
      </c>
      <c r="D111" s="6" t="s">
        <v>171</v>
      </c>
      <c r="E111" t="b">
        <f>_xlfn.XLOOKUP(B111,Mapping!$C$2:$C$34,Mapping!$C$2:$C$34,FALSE)</f>
        <v>0</v>
      </c>
    </row>
    <row r="112">
      <c r="A112" s="6" t="str">
        <f t="shared" si="2"/>
        <v>32.1</v>
      </c>
      <c r="B112" s="6" t="str">
        <f t="shared" si="3"/>
        <v>Manufacture of jewellery, bijouterie and related articles</v>
      </c>
      <c r="C112" s="6" t="b">
        <f>ISNUMBER(MATCH(A112,#REF!, 0))</f>
        <v>0</v>
      </c>
      <c r="D112" s="6" t="s">
        <v>172</v>
      </c>
      <c r="E112" t="b">
        <f>_xlfn.XLOOKUP(B112,Mapping!$C$2:$C$34,Mapping!$C$2:$C$34,FALSE)</f>
        <v>0</v>
      </c>
    </row>
    <row r="113">
      <c r="A113" s="6" t="str">
        <f t="shared" si="2"/>
        <v>32.2</v>
      </c>
      <c r="B113" s="6" t="str">
        <f t="shared" si="3"/>
        <v>Manufacture of musical instruments</v>
      </c>
      <c r="C113" s="6" t="b">
        <f>ISNUMBER(MATCH(A113,#REF!, 0))</f>
        <v>0</v>
      </c>
      <c r="D113" s="6" t="s">
        <v>173</v>
      </c>
      <c r="E113" t="b">
        <f>_xlfn.XLOOKUP(B113,Mapping!$C$2:$C$34,Mapping!$C$2:$C$34,FALSE)</f>
        <v>0</v>
      </c>
    </row>
    <row r="114">
      <c r="A114" s="6" t="str">
        <f t="shared" si="2"/>
        <v>32.3</v>
      </c>
      <c r="B114" s="6" t="str">
        <f t="shared" si="3"/>
        <v>Manufacture of sports goods</v>
      </c>
      <c r="C114" s="6" t="b">
        <f>ISNUMBER(MATCH(A114,#REF!, 0))</f>
        <v>0</v>
      </c>
      <c r="D114" s="6" t="s">
        <v>174</v>
      </c>
      <c r="E114" t="b">
        <f>_xlfn.XLOOKUP(B114,Mapping!$C$2:$C$34,Mapping!$C$2:$C$34,FALSE)</f>
        <v>0</v>
      </c>
    </row>
    <row r="115">
      <c r="A115" s="6" t="str">
        <f t="shared" si="2"/>
        <v>32.4</v>
      </c>
      <c r="B115" s="6" t="str">
        <f t="shared" si="3"/>
        <v>Manufacture of games and toys</v>
      </c>
      <c r="C115" s="6" t="b">
        <f>ISNUMBER(MATCH(A115,#REF!, 0))</f>
        <v>0</v>
      </c>
      <c r="D115" s="6" t="s">
        <v>175</v>
      </c>
      <c r="E115" t="b">
        <f>_xlfn.XLOOKUP(B115,Mapping!$C$2:$C$34,Mapping!$C$2:$C$34,FALSE)</f>
        <v>0</v>
      </c>
    </row>
    <row r="116">
      <c r="A116" s="6" t="str">
        <f t="shared" si="2"/>
        <v>32.5</v>
      </c>
      <c r="B116" s="6" t="str">
        <f t="shared" si="3"/>
        <v>Manufacture of medical and dental instruments and supplies</v>
      </c>
      <c r="C116" s="6" t="b">
        <f>ISNUMBER(MATCH(A116,#REF!, 0))</f>
        <v>0</v>
      </c>
      <c r="D116" s="6" t="s">
        <v>176</v>
      </c>
      <c r="E116" t="b">
        <f>_xlfn.XLOOKUP(B116,Mapping!$C$2:$C$34,Mapping!$C$2:$C$34,FALSE)</f>
        <v>0</v>
      </c>
    </row>
    <row r="117">
      <c r="A117" s="6" t="str">
        <f t="shared" si="2"/>
        <v>32.9</v>
      </c>
      <c r="B117" s="6" t="str">
        <f t="shared" si="3"/>
        <v>Manufacturing n.e.c.</v>
      </c>
      <c r="C117" s="6" t="b">
        <f>ISNUMBER(MATCH(A117,#REF!, 0))</f>
        <v>0</v>
      </c>
      <c r="D117" s="6" t="s">
        <v>177</v>
      </c>
      <c r="E117" t="b">
        <f>_xlfn.XLOOKUP(B117,Mapping!$C$2:$C$34,Mapping!$C$2:$C$34,FALSE)</f>
        <v>0</v>
      </c>
    </row>
    <row r="118">
      <c r="A118" s="6" t="str">
        <f t="shared" si="2"/>
        <v>33.1</v>
      </c>
      <c r="B118" s="6" t="str">
        <f t="shared" si="3"/>
        <v>Repair of fabricated metal products, machinery and equipment</v>
      </c>
      <c r="C118" s="6" t="b">
        <f>ISNUMBER(MATCH(A118,#REF!, 0))</f>
        <v>0</v>
      </c>
      <c r="D118" s="6" t="s">
        <v>178</v>
      </c>
      <c r="E118" t="b">
        <f>_xlfn.XLOOKUP(B118,Mapping!$C$2:$C$34,Mapping!$C$2:$C$34,FALSE)</f>
        <v>0</v>
      </c>
    </row>
    <row r="119">
      <c r="A119" s="6" t="str">
        <f t="shared" si="2"/>
        <v>33.2</v>
      </c>
      <c r="B119" s="6" t="str">
        <f t="shared" si="3"/>
        <v>Installation of industrial machinery and equipment</v>
      </c>
      <c r="C119" s="6" t="b">
        <f>ISNUMBER(MATCH(A119,#REF!, 0))</f>
        <v>0</v>
      </c>
      <c r="D119" s="6" t="s">
        <v>179</v>
      </c>
      <c r="E119" t="b">
        <f>_xlfn.XLOOKUP(B119,Mapping!$C$2:$C$34,Mapping!$C$2:$C$34,FALSE)</f>
        <v>0</v>
      </c>
    </row>
    <row r="120">
      <c r="A120" s="6" t="str">
        <f t="shared" si="2"/>
        <v>35.1</v>
      </c>
      <c r="B120" s="6" t="str">
        <f t="shared" si="3"/>
        <v>Electric power generation, transmission and distribution</v>
      </c>
      <c r="C120" s="6" t="b">
        <f>ISNUMBER(MATCH(A120,#REF!, 0))</f>
        <v>0</v>
      </c>
      <c r="D120" s="6" t="s">
        <v>180</v>
      </c>
      <c r="E120" t="b">
        <f>_xlfn.XLOOKUP(B120,Mapping!$C$2:$C$34,Mapping!$C$2:$C$34,FALSE)</f>
        <v>0</v>
      </c>
    </row>
    <row r="121">
      <c r="A121" s="6" t="str">
        <f t="shared" si="2"/>
        <v>35.2</v>
      </c>
      <c r="B121" s="6" t="str">
        <f t="shared" si="3"/>
        <v>Manufacture of gas; distribution of gaseous fuels through mains</v>
      </c>
      <c r="C121" s="6" t="b">
        <f>ISNUMBER(MATCH(A121,#REF!, 0))</f>
        <v>0</v>
      </c>
      <c r="D121" s="6" t="s">
        <v>181</v>
      </c>
      <c r="E121" t="b">
        <f>_xlfn.XLOOKUP(B121,Mapping!$C$2:$C$34,Mapping!$C$2:$C$34,FALSE)</f>
        <v>0</v>
      </c>
    </row>
    <row r="122">
      <c r="A122" s="6" t="str">
        <f t="shared" si="2"/>
        <v>35.3</v>
      </c>
      <c r="B122" s="6" t="str">
        <f t="shared" si="3"/>
        <v>Steam and air conditioning supply</v>
      </c>
      <c r="C122" s="6" t="b">
        <f>ISNUMBER(MATCH(A122,#REF!, 0))</f>
        <v>0</v>
      </c>
      <c r="D122" s="6" t="s">
        <v>182</v>
      </c>
      <c r="E122" t="b">
        <f>_xlfn.XLOOKUP(B122,Mapping!$C$2:$C$34,Mapping!$C$2:$C$34,FALSE)</f>
        <v>0</v>
      </c>
    </row>
    <row r="123">
      <c r="A123" s="6" t="str">
        <f t="shared" si="2"/>
        <v>36.0</v>
      </c>
      <c r="B123" s="6" t="str">
        <f t="shared" si="3"/>
        <v>Water collection, treatment and supply</v>
      </c>
      <c r="C123" s="6" t="b">
        <f>ISNUMBER(MATCH(A123,#REF!, 0))</f>
        <v>0</v>
      </c>
      <c r="D123" s="6" t="s">
        <v>183</v>
      </c>
      <c r="E123" t="b">
        <f>_xlfn.XLOOKUP(B123,Mapping!$C$2:$C$34,Mapping!$C$2:$C$34,FALSE)</f>
        <v>0</v>
      </c>
    </row>
    <row r="124">
      <c r="A124" s="6" t="str">
        <f t="shared" si="2"/>
        <v>37.0</v>
      </c>
      <c r="B124" s="6" t="str">
        <f t="shared" si="3"/>
        <v>Sewerage</v>
      </c>
      <c r="C124" s="6" t="b">
        <f>ISNUMBER(MATCH(A124,#REF!, 0))</f>
        <v>0</v>
      </c>
      <c r="D124" s="6" t="s">
        <v>184</v>
      </c>
      <c r="E124" t="b">
        <f>_xlfn.XLOOKUP(B124,Mapping!$C$2:$C$34,Mapping!$C$2:$C$34,FALSE)</f>
        <v>0</v>
      </c>
    </row>
    <row r="125">
      <c r="A125" s="6" t="str">
        <f t="shared" si="2"/>
        <v>38.1</v>
      </c>
      <c r="B125" s="6" t="str">
        <f t="shared" si="3"/>
        <v>Waste collection</v>
      </c>
      <c r="C125" s="6" t="b">
        <f>ISNUMBER(MATCH(A125,#REF!, 0))</f>
        <v>0</v>
      </c>
      <c r="D125" s="6" t="s">
        <v>185</v>
      </c>
      <c r="E125" t="b">
        <f>_xlfn.XLOOKUP(B125,Mapping!$C$2:$C$34,Mapping!$C$2:$C$34,FALSE)</f>
        <v>0</v>
      </c>
    </row>
    <row r="126">
      <c r="A126" s="6" t="str">
        <f t="shared" si="2"/>
        <v>38.2</v>
      </c>
      <c r="B126" s="6" t="str">
        <f t="shared" si="3"/>
        <v>Waste treatment and disposal</v>
      </c>
      <c r="C126" s="6" t="b">
        <f>ISNUMBER(MATCH(A126,#REF!, 0))</f>
        <v>0</v>
      </c>
      <c r="D126" s="6" t="s">
        <v>186</v>
      </c>
      <c r="E126" t="b">
        <f>_xlfn.XLOOKUP(B126,Mapping!$C$2:$C$34,Mapping!$C$2:$C$34,FALSE)</f>
        <v>0</v>
      </c>
    </row>
    <row r="127">
      <c r="A127" s="6" t="str">
        <f t="shared" si="2"/>
        <v>38.3</v>
      </c>
      <c r="B127" s="6" t="str">
        <f t="shared" si="3"/>
        <v>Materials recovery</v>
      </c>
      <c r="C127" s="6" t="b">
        <f>ISNUMBER(MATCH(A127,#REF!, 0))</f>
        <v>0</v>
      </c>
      <c r="D127" s="6" t="s">
        <v>187</v>
      </c>
      <c r="E127" t="b">
        <f>_xlfn.XLOOKUP(B127,Mapping!$C$2:$C$34,Mapping!$C$2:$C$34,FALSE)</f>
        <v>0</v>
      </c>
    </row>
    <row r="128">
      <c r="A128" s="6" t="str">
        <f t="shared" si="2"/>
        <v>39.0</v>
      </c>
      <c r="B128" s="6" t="str">
        <f t="shared" si="3"/>
        <v>Remediation activities and other waste management services</v>
      </c>
      <c r="C128" s="6" t="b">
        <f>ISNUMBER(MATCH(A128,#REF!, 0))</f>
        <v>0</v>
      </c>
      <c r="D128" s="6" t="s">
        <v>188</v>
      </c>
      <c r="E128" t="str">
        <f>_xlfn.XLOOKUP(B128,Mapping!$C$2:$C$34,Mapping!$C$2:$C$34,FALSE)</f>
        <v>Remediation activities and other waste management services</v>
      </c>
    </row>
    <row r="129">
      <c r="A129" s="6" t="str">
        <f t="shared" si="2"/>
        <v>41.1</v>
      </c>
      <c r="B129" s="6" t="str">
        <f t="shared" si="3"/>
        <v>Development of building projects</v>
      </c>
      <c r="C129" s="6" t="b">
        <f>ISNUMBER(MATCH(A129,#REF!, 0))</f>
        <v>0</v>
      </c>
      <c r="D129" s="6" t="s">
        <v>189</v>
      </c>
      <c r="E129" t="b">
        <f>_xlfn.XLOOKUP(B129,Mapping!$C$2:$C$34,Mapping!$C$2:$C$34,FALSE)</f>
        <v>0</v>
      </c>
    </row>
    <row r="130">
      <c r="A130" s="6" t="str">
        <f t="shared" ref="A130:A193" si="4">LEFT(D130,4)</f>
        <v>41.2</v>
      </c>
      <c r="B130" s="6" t="str">
        <f t="shared" si="3"/>
        <v>Construction of residential and non-residential buildings</v>
      </c>
      <c r="C130" s="6" t="b">
        <f>ISNUMBER(MATCH(A130,#REF!, 0))</f>
        <v>0</v>
      </c>
      <c r="D130" s="6" t="s">
        <v>190</v>
      </c>
      <c r="E130" t="b">
        <f>_xlfn.XLOOKUP(B130,Mapping!$C$2:$C$34,Mapping!$C$2:$C$34,FALSE)</f>
        <v>0</v>
      </c>
    </row>
    <row r="131">
      <c r="A131" s="6" t="str">
        <f t="shared" si="4"/>
        <v>42.1</v>
      </c>
      <c r="B131" s="6" t="str">
        <f t="shared" ref="B131:B194" si="5">SUBSTITUTE(SUBSTITUTE(D131,A131&amp;" ",""),RIGHT(D131,5),"")</f>
        <v>Construction of roads and railways</v>
      </c>
      <c r="C131" s="6" t="b">
        <f>ISNUMBER(MATCH(A131,#REF!, 0))</f>
        <v>0</v>
      </c>
      <c r="D131" s="6" t="s">
        <v>191</v>
      </c>
      <c r="E131" t="b">
        <f>_xlfn.XLOOKUP(B131,Mapping!$C$2:$C$34,Mapping!$C$2:$C$34,FALSE)</f>
        <v>0</v>
      </c>
    </row>
    <row r="132">
      <c r="A132" s="6" t="str">
        <f t="shared" si="4"/>
        <v>42.2</v>
      </c>
      <c r="B132" s="6" t="str">
        <f t="shared" si="5"/>
        <v>Construction of utility projects</v>
      </c>
      <c r="C132" s="6" t="b">
        <f>ISNUMBER(MATCH(A132,#REF!, 0))</f>
        <v>0</v>
      </c>
      <c r="D132" s="6" t="s">
        <v>192</v>
      </c>
      <c r="E132" t="b">
        <f>_xlfn.XLOOKUP(B132,Mapping!$C$2:$C$34,Mapping!$C$2:$C$34,FALSE)</f>
        <v>0</v>
      </c>
    </row>
    <row r="133">
      <c r="A133" s="6" t="str">
        <f t="shared" si="4"/>
        <v>42.9</v>
      </c>
      <c r="B133" s="6" t="str">
        <f t="shared" si="5"/>
        <v>Construction of other civil engineering projects</v>
      </c>
      <c r="C133" s="6" t="b">
        <f>ISNUMBER(MATCH(A133,#REF!, 0))</f>
        <v>0</v>
      </c>
      <c r="D133" s="6" t="s">
        <v>193</v>
      </c>
      <c r="E133" t="b">
        <f>_xlfn.XLOOKUP(B133,Mapping!$C$2:$C$34,Mapping!$C$2:$C$34,FALSE)</f>
        <v>0</v>
      </c>
    </row>
    <row r="134">
      <c r="A134" s="6" t="str">
        <f t="shared" si="4"/>
        <v>43.1</v>
      </c>
      <c r="B134" s="6" t="str">
        <f t="shared" si="5"/>
        <v>Demolition and site preparation</v>
      </c>
      <c r="C134" s="6" t="b">
        <f>ISNUMBER(MATCH(A134,#REF!, 0))</f>
        <v>0</v>
      </c>
      <c r="D134" s="6" t="s">
        <v>194</v>
      </c>
      <c r="E134" t="b">
        <f>_xlfn.XLOOKUP(B134,Mapping!$C$2:$C$34,Mapping!$C$2:$C$34,FALSE)</f>
        <v>0</v>
      </c>
    </row>
    <row r="135">
      <c r="A135" s="6" t="str">
        <f t="shared" si="4"/>
        <v>43.2</v>
      </c>
      <c r="B135" s="6" t="str">
        <f t="shared" si="5"/>
        <v>Electrical, plumbing and other construction installation activities</v>
      </c>
      <c r="C135" s="6" t="b">
        <f>ISNUMBER(MATCH(A135,#REF!, 0))</f>
        <v>0</v>
      </c>
      <c r="D135" s="6" t="s">
        <v>195</v>
      </c>
      <c r="E135" t="b">
        <f>_xlfn.XLOOKUP(B135,Mapping!$C$2:$C$34,Mapping!$C$2:$C$34,FALSE)</f>
        <v>0</v>
      </c>
    </row>
    <row r="136">
      <c r="A136" s="6" t="str">
        <f t="shared" si="4"/>
        <v>43.3</v>
      </c>
      <c r="B136" s="6" t="str">
        <f t="shared" si="5"/>
        <v>Building completion and finishing</v>
      </c>
      <c r="C136" s="6" t="b">
        <f>ISNUMBER(MATCH(A136,#REF!, 0))</f>
        <v>0</v>
      </c>
      <c r="D136" s="6" t="s">
        <v>196</v>
      </c>
      <c r="E136" t="b">
        <f>_xlfn.XLOOKUP(B136,Mapping!$C$2:$C$34,Mapping!$C$2:$C$34,FALSE)</f>
        <v>0</v>
      </c>
    </row>
    <row r="137">
      <c r="A137" s="6" t="str">
        <f t="shared" si="4"/>
        <v>43.9</v>
      </c>
      <c r="B137" s="6" t="str">
        <f t="shared" si="5"/>
        <v>Other specialised construction activities</v>
      </c>
      <c r="C137" s="6" t="b">
        <f>ISNUMBER(MATCH(A137,#REF!, 0))</f>
        <v>0</v>
      </c>
      <c r="D137" s="6" t="s">
        <v>197</v>
      </c>
      <c r="E137" t="b">
        <f>_xlfn.XLOOKUP(B137,Mapping!$C$2:$C$34,Mapping!$C$2:$C$34,FALSE)</f>
        <v>0</v>
      </c>
    </row>
    <row r="138">
      <c r="A138" s="6" t="str">
        <f t="shared" si="4"/>
        <v>45.1</v>
      </c>
      <c r="B138" s="6" t="str">
        <f t="shared" si="5"/>
        <v>Sale of motor vehicles</v>
      </c>
      <c r="C138" s="6" t="b">
        <f>ISNUMBER(MATCH(A138,#REF!, 0))</f>
        <v>0</v>
      </c>
      <c r="D138" s="6" t="s">
        <v>198</v>
      </c>
      <c r="E138" t="b">
        <f>_xlfn.XLOOKUP(B138,Mapping!$C$2:$C$34,Mapping!$C$2:$C$34,FALSE)</f>
        <v>0</v>
      </c>
    </row>
    <row r="139">
      <c r="A139" s="6" t="str">
        <f t="shared" si="4"/>
        <v>45.2</v>
      </c>
      <c r="B139" s="6" t="str">
        <f t="shared" si="5"/>
        <v>Maintenance and repair of motor vehicles</v>
      </c>
      <c r="C139" s="6" t="b">
        <f>ISNUMBER(MATCH(A139,#REF!, 0))</f>
        <v>0</v>
      </c>
      <c r="D139" s="6" t="s">
        <v>199</v>
      </c>
      <c r="E139" t="b">
        <f>_xlfn.XLOOKUP(B139,Mapping!$C$2:$C$34,Mapping!$C$2:$C$34,FALSE)</f>
        <v>0</v>
      </c>
    </row>
    <row r="140">
      <c r="A140" s="6" t="str">
        <f t="shared" si="4"/>
        <v>45.3</v>
      </c>
      <c r="B140" s="6" t="str">
        <f t="shared" si="5"/>
        <v>Sale of motor vehicle parts and accessories</v>
      </c>
      <c r="C140" s="6" t="b">
        <f>ISNUMBER(MATCH(A140,#REF!, 0))</f>
        <v>0</v>
      </c>
      <c r="D140" s="6" t="s">
        <v>200</v>
      </c>
      <c r="E140" t="b">
        <f>_xlfn.XLOOKUP(B140,Mapping!$C$2:$C$34,Mapping!$C$2:$C$34,FALSE)</f>
        <v>0</v>
      </c>
    </row>
    <row r="141">
      <c r="A141" s="6" t="str">
        <f t="shared" si="4"/>
        <v>45.4</v>
      </c>
      <c r="B141" s="6" t="str">
        <f t="shared" si="5"/>
        <v>Sale, maintenance and repair of motorcycles and related parts and accessories</v>
      </c>
      <c r="C141" s="6" t="b">
        <f>ISNUMBER(MATCH(A141,#REF!, 0))</f>
        <v>0</v>
      </c>
      <c r="D141" s="6" t="s">
        <v>201</v>
      </c>
      <c r="E141" t="b">
        <f>_xlfn.XLOOKUP(B141,Mapping!$C$2:$C$34,Mapping!$C$2:$C$34,FALSE)</f>
        <v>0</v>
      </c>
    </row>
    <row r="142">
      <c r="A142" s="6" t="str">
        <f t="shared" si="4"/>
        <v>46.1</v>
      </c>
      <c r="B142" s="6" t="str">
        <f t="shared" si="5"/>
        <v>Wholesale on a fee or contract basis</v>
      </c>
      <c r="C142" s="6" t="b">
        <f>ISNUMBER(MATCH(A142,#REF!, 0))</f>
        <v>0</v>
      </c>
      <c r="D142" s="6" t="s">
        <v>202</v>
      </c>
      <c r="E142" t="b">
        <f>_xlfn.XLOOKUP(B142,Mapping!$C$2:$C$34,Mapping!$C$2:$C$34,FALSE)</f>
        <v>0</v>
      </c>
    </row>
    <row r="143">
      <c r="A143" s="6" t="str">
        <f t="shared" si="4"/>
        <v>46.2</v>
      </c>
      <c r="B143" s="6" t="str">
        <f t="shared" si="5"/>
        <v>Wholesale of agricultural raw materials and live animals</v>
      </c>
      <c r="C143" s="6" t="b">
        <f>ISNUMBER(MATCH(A143,#REF!, 0))</f>
        <v>0</v>
      </c>
      <c r="D143" s="6" t="s">
        <v>203</v>
      </c>
      <c r="E143" t="b">
        <f>_xlfn.XLOOKUP(B143,Mapping!$C$2:$C$34,Mapping!$C$2:$C$34,FALSE)</f>
        <v>0</v>
      </c>
    </row>
    <row r="144">
      <c r="A144" s="6" t="str">
        <f t="shared" si="4"/>
        <v>46.3</v>
      </c>
      <c r="B144" s="6" t="str">
        <f t="shared" si="5"/>
        <v>Wholesale of food, beverages and tobacco</v>
      </c>
      <c r="C144" s="6" t="b">
        <f>ISNUMBER(MATCH(A144,#REF!, 0))</f>
        <v>0</v>
      </c>
      <c r="D144" s="6" t="s">
        <v>204</v>
      </c>
      <c r="E144" t="b">
        <f>_xlfn.XLOOKUP(B144,Mapping!$C$2:$C$34,Mapping!$C$2:$C$34,FALSE)</f>
        <v>0</v>
      </c>
    </row>
    <row r="145">
      <c r="A145" s="6" t="str">
        <f t="shared" si="4"/>
        <v>46.4</v>
      </c>
      <c r="B145" s="6" t="str">
        <f t="shared" si="5"/>
        <v>Wholesale of household goods</v>
      </c>
      <c r="C145" s="6" t="b">
        <f>ISNUMBER(MATCH(A145,#REF!, 0))</f>
        <v>0</v>
      </c>
      <c r="D145" s="6" t="s">
        <v>205</v>
      </c>
      <c r="E145" t="b">
        <f>_xlfn.XLOOKUP(B145,Mapping!$C$2:$C$34,Mapping!$C$2:$C$34,FALSE)</f>
        <v>0</v>
      </c>
    </row>
    <row r="146">
      <c r="A146" s="6" t="str">
        <f t="shared" si="4"/>
        <v>46.5</v>
      </c>
      <c r="B146" s="6" t="str">
        <f t="shared" si="5"/>
        <v>Wholesale of information and communication equipment</v>
      </c>
      <c r="C146" s="6" t="b">
        <f>ISNUMBER(MATCH(A146,#REF!, 0))</f>
        <v>0</v>
      </c>
      <c r="D146" s="6" t="s">
        <v>206</v>
      </c>
      <c r="E146" t="b">
        <f>_xlfn.XLOOKUP(B146,Mapping!$C$2:$C$34,Mapping!$C$2:$C$34,FALSE)</f>
        <v>0</v>
      </c>
    </row>
    <row r="147">
      <c r="A147" s="6" t="str">
        <f t="shared" si="4"/>
        <v>46.6</v>
      </c>
      <c r="B147" s="6" t="str">
        <f t="shared" si="5"/>
        <v>Wholesale of other machinery, equipment and supplies</v>
      </c>
      <c r="C147" s="6" t="b">
        <f>ISNUMBER(MATCH(A147,#REF!, 0))</f>
        <v>0</v>
      </c>
      <c r="D147" s="6" t="s">
        <v>207</v>
      </c>
      <c r="E147" t="b">
        <f>_xlfn.XLOOKUP(B147,Mapping!$C$2:$C$34,Mapping!$C$2:$C$34,FALSE)</f>
        <v>0</v>
      </c>
    </row>
    <row r="148">
      <c r="A148" s="6" t="str">
        <f t="shared" si="4"/>
        <v>46.7</v>
      </c>
      <c r="B148" s="6" t="str">
        <f t="shared" si="5"/>
        <v>Other specialised wholesale</v>
      </c>
      <c r="C148" s="6" t="b">
        <f>ISNUMBER(MATCH(A148,#REF!, 0))</f>
        <v>0</v>
      </c>
      <c r="D148" s="6" t="s">
        <v>208</v>
      </c>
      <c r="E148" t="b">
        <f>_xlfn.XLOOKUP(B148,Mapping!$C$2:$C$34,Mapping!$C$2:$C$34,FALSE)</f>
        <v>0</v>
      </c>
    </row>
    <row r="149">
      <c r="A149" s="6" t="str">
        <f t="shared" si="4"/>
        <v>46.9</v>
      </c>
      <c r="B149" s="6" t="str">
        <f t="shared" si="5"/>
        <v>Non-specialised wholesale trade</v>
      </c>
      <c r="C149" s="6" t="b">
        <f>ISNUMBER(MATCH(A149,#REF!, 0))</f>
        <v>0</v>
      </c>
      <c r="D149" s="6" t="s">
        <v>209</v>
      </c>
      <c r="E149" t="b">
        <f>_xlfn.XLOOKUP(B149,Mapping!$C$2:$C$34,Mapping!$C$2:$C$34,FALSE)</f>
        <v>0</v>
      </c>
    </row>
    <row r="150">
      <c r="A150" s="6" t="str">
        <f t="shared" si="4"/>
        <v>47.1</v>
      </c>
      <c r="B150" s="6" t="str">
        <f t="shared" si="5"/>
        <v>Retail sale in non-specialised stores</v>
      </c>
      <c r="C150" s="6" t="b">
        <f>ISNUMBER(MATCH(A150,#REF!, 0))</f>
        <v>0</v>
      </c>
      <c r="D150" s="6" t="s">
        <v>210</v>
      </c>
      <c r="E150" t="b">
        <f>_xlfn.XLOOKUP(B150,Mapping!$C$2:$C$34,Mapping!$C$2:$C$34,FALSE)</f>
        <v>0</v>
      </c>
    </row>
    <row r="151">
      <c r="A151" s="6" t="str">
        <f t="shared" si="4"/>
        <v>47.2</v>
      </c>
      <c r="B151" s="6" t="str">
        <f t="shared" si="5"/>
        <v>Retail sale of food, beverages and tobacco in specialised stores</v>
      </c>
      <c r="C151" s="6" t="b">
        <f>ISNUMBER(MATCH(A151,#REF!, 0))</f>
        <v>0</v>
      </c>
      <c r="D151" s="6" t="s">
        <v>211</v>
      </c>
      <c r="E151" t="b">
        <f>_xlfn.XLOOKUP(B151,Mapping!$C$2:$C$34,Mapping!$C$2:$C$34,FALSE)</f>
        <v>0</v>
      </c>
    </row>
    <row r="152">
      <c r="A152" s="6" t="str">
        <f t="shared" si="4"/>
        <v>47.3</v>
      </c>
      <c r="B152" s="6" t="str">
        <f t="shared" si="5"/>
        <v>Retail sale of automotive fuel in specialised stores</v>
      </c>
      <c r="C152" s="6" t="b">
        <f>ISNUMBER(MATCH(A152,#REF!, 0))</f>
        <v>0</v>
      </c>
      <c r="D152" s="6" t="s">
        <v>212</v>
      </c>
      <c r="E152" t="b">
        <f>_xlfn.XLOOKUP(B152,Mapping!$C$2:$C$34,Mapping!$C$2:$C$34,FALSE)</f>
        <v>0</v>
      </c>
    </row>
    <row r="153">
      <c r="A153" s="6" t="str">
        <f t="shared" si="4"/>
        <v>47.4</v>
      </c>
      <c r="B153" s="6" t="str">
        <f t="shared" si="5"/>
        <v>Retail sale of information and communication equipment in specialised stores</v>
      </c>
      <c r="C153" s="6" t="b">
        <f>ISNUMBER(MATCH(A153,#REF!, 0))</f>
        <v>0</v>
      </c>
      <c r="D153" s="6" t="s">
        <v>213</v>
      </c>
      <c r="E153" t="b">
        <f>_xlfn.XLOOKUP(B153,Mapping!$C$2:$C$34,Mapping!$C$2:$C$34,FALSE)</f>
        <v>0</v>
      </c>
    </row>
    <row r="154">
      <c r="A154" s="6" t="str">
        <f t="shared" si="4"/>
        <v>47.5</v>
      </c>
      <c r="B154" s="6" t="str">
        <f t="shared" si="5"/>
        <v>Retail sale of other household equipment in specialised stores</v>
      </c>
      <c r="C154" s="6" t="b">
        <f>ISNUMBER(MATCH(A154,#REF!, 0))</f>
        <v>0</v>
      </c>
      <c r="D154" s="6" t="s">
        <v>214</v>
      </c>
      <c r="E154" t="b">
        <f>_xlfn.XLOOKUP(B154,Mapping!$C$2:$C$34,Mapping!$C$2:$C$34,FALSE)</f>
        <v>0</v>
      </c>
    </row>
    <row r="155">
      <c r="A155" s="6" t="str">
        <f t="shared" si="4"/>
        <v>47.6</v>
      </c>
      <c r="B155" s="6" t="str">
        <f t="shared" si="5"/>
        <v>Retail sale of cultural and recreation goods in specialised stores</v>
      </c>
      <c r="C155" s="6" t="b">
        <f>ISNUMBER(MATCH(A155,#REF!, 0))</f>
        <v>0</v>
      </c>
      <c r="D155" s="6" t="s">
        <v>215</v>
      </c>
      <c r="E155" t="b">
        <f>_xlfn.XLOOKUP(B155,Mapping!$C$2:$C$34,Mapping!$C$2:$C$34,FALSE)</f>
        <v>0</v>
      </c>
    </row>
    <row r="156">
      <c r="A156" s="6" t="str">
        <f t="shared" si="4"/>
        <v>47.7</v>
      </c>
      <c r="B156" s="6" t="str">
        <f t="shared" si="5"/>
        <v>Retail sale of other goods in specialised stores</v>
      </c>
      <c r="C156" s="6" t="b">
        <f>ISNUMBER(MATCH(A156,#REF!, 0))</f>
        <v>0</v>
      </c>
      <c r="D156" s="6" t="s">
        <v>216</v>
      </c>
      <c r="E156" t="b">
        <f>_xlfn.XLOOKUP(B156,Mapping!$C$2:$C$34,Mapping!$C$2:$C$34,FALSE)</f>
        <v>0</v>
      </c>
    </row>
    <row r="157">
      <c r="A157" s="6" t="str">
        <f t="shared" si="4"/>
        <v>47.8</v>
      </c>
      <c r="B157" s="6" t="str">
        <f t="shared" si="5"/>
        <v>Retail sale via stalls and markets</v>
      </c>
      <c r="C157" s="6" t="b">
        <f>ISNUMBER(MATCH(A157,#REF!, 0))</f>
        <v>0</v>
      </c>
      <c r="D157" s="6" t="s">
        <v>217</v>
      </c>
      <c r="E157" t="b">
        <f>_xlfn.XLOOKUP(B157,Mapping!$C$2:$C$34,Mapping!$C$2:$C$34,FALSE)</f>
        <v>0</v>
      </c>
    </row>
    <row r="158">
      <c r="A158" s="6" t="str">
        <f t="shared" si="4"/>
        <v>47.9</v>
      </c>
      <c r="B158" s="6" t="str">
        <f t="shared" si="5"/>
        <v>Retail trade not in stores, stalls or markets</v>
      </c>
      <c r="C158" s="6" t="b">
        <f>ISNUMBER(MATCH(A158,#REF!, 0))</f>
        <v>0</v>
      </c>
      <c r="D158" s="6" t="s">
        <v>218</v>
      </c>
      <c r="E158" t="b">
        <f>_xlfn.XLOOKUP(B158,Mapping!$C$2:$C$34,Mapping!$C$2:$C$34,FALSE)</f>
        <v>0</v>
      </c>
    </row>
    <row r="159">
      <c r="A159" s="6" t="str">
        <f t="shared" si="4"/>
        <v>49.1</v>
      </c>
      <c r="B159" s="6" t="str">
        <f t="shared" si="5"/>
        <v>Passenger rail transport, interurban</v>
      </c>
      <c r="C159" s="6" t="b">
        <f>ISNUMBER(MATCH(A159,#REF!, 0))</f>
        <v>0</v>
      </c>
      <c r="D159" s="6" t="s">
        <v>219</v>
      </c>
      <c r="E159" t="b">
        <f>_xlfn.XLOOKUP(B159,Mapping!$C$2:$C$34,Mapping!$C$2:$C$34,FALSE)</f>
        <v>0</v>
      </c>
    </row>
    <row r="160">
      <c r="A160" s="6" t="str">
        <f t="shared" si="4"/>
        <v>49.2</v>
      </c>
      <c r="B160" s="6" t="str">
        <f t="shared" si="5"/>
        <v>Freight rail transport</v>
      </c>
      <c r="C160" s="6" t="b">
        <f>ISNUMBER(MATCH(A160,#REF!, 0))</f>
        <v>0</v>
      </c>
      <c r="D160" s="6" t="s">
        <v>220</v>
      </c>
      <c r="E160" t="b">
        <f>_xlfn.XLOOKUP(B160,Mapping!$C$2:$C$34,Mapping!$C$2:$C$34,FALSE)</f>
        <v>0</v>
      </c>
    </row>
    <row r="161">
      <c r="A161" s="6" t="str">
        <f t="shared" si="4"/>
        <v>49.3</v>
      </c>
      <c r="B161" s="6" t="str">
        <f t="shared" si="5"/>
        <v>Other passenger land transport</v>
      </c>
      <c r="C161" s="6" t="b">
        <f>ISNUMBER(MATCH(A161,#REF!, 0))</f>
        <v>0</v>
      </c>
      <c r="D161" s="6" t="s">
        <v>221</v>
      </c>
      <c r="E161" t="b">
        <f>_xlfn.XLOOKUP(B161,Mapping!$C$2:$C$34,Mapping!$C$2:$C$34,FALSE)</f>
        <v>0</v>
      </c>
    </row>
    <row r="162">
      <c r="A162" s="6" t="str">
        <f t="shared" si="4"/>
        <v>49.4</v>
      </c>
      <c r="B162" s="6" t="str">
        <f t="shared" si="5"/>
        <v>Freight transport by road and removal services</v>
      </c>
      <c r="C162" s="6" t="b">
        <f>ISNUMBER(MATCH(A162,#REF!, 0))</f>
        <v>0</v>
      </c>
      <c r="D162" s="6" t="s">
        <v>222</v>
      </c>
      <c r="E162" t="b">
        <f>_xlfn.XLOOKUP(B162,Mapping!$C$2:$C$34,Mapping!$C$2:$C$34,FALSE)</f>
        <v>0</v>
      </c>
    </row>
    <row r="163">
      <c r="A163" s="6" t="str">
        <f t="shared" si="4"/>
        <v>49.5</v>
      </c>
      <c r="B163" s="6" t="str">
        <f t="shared" si="5"/>
        <v>Transport via pipeline</v>
      </c>
      <c r="C163" s="6" t="b">
        <f>ISNUMBER(MATCH(A163,#REF!, 0))</f>
        <v>0</v>
      </c>
      <c r="D163" s="6" t="s">
        <v>223</v>
      </c>
      <c r="E163" t="b">
        <f>_xlfn.XLOOKUP(B163,Mapping!$C$2:$C$34,Mapping!$C$2:$C$34,FALSE)</f>
        <v>0</v>
      </c>
    </row>
    <row r="164">
      <c r="A164" s="6" t="str">
        <f t="shared" si="4"/>
        <v>50.1</v>
      </c>
      <c r="B164" s="6" t="str">
        <f t="shared" si="5"/>
        <v>Sea and coastal passenger water transport</v>
      </c>
      <c r="C164" s="6" t="b">
        <f>ISNUMBER(MATCH(A164,#REF!, 0))</f>
        <v>0</v>
      </c>
      <c r="D164" s="6" t="s">
        <v>224</v>
      </c>
      <c r="E164" t="str">
        <f>_xlfn.XLOOKUP(B164,Mapping!$C$2:$C$34,Mapping!$C$2:$C$34,FALSE)</f>
        <v>Sea and coastal passenger water transport</v>
      </c>
    </row>
    <row r="165">
      <c r="A165" s="6" t="str">
        <f t="shared" si="4"/>
        <v>50.2</v>
      </c>
      <c r="B165" s="6" t="str">
        <f t="shared" si="5"/>
        <v>Sea and coastal freight water transport</v>
      </c>
      <c r="C165" s="6" t="b">
        <f>ISNUMBER(MATCH(A165,#REF!, 0))</f>
        <v>0</v>
      </c>
      <c r="D165" s="6" t="s">
        <v>225</v>
      </c>
      <c r="E165" t="str">
        <f>_xlfn.XLOOKUP(B165,Mapping!$C$2:$C$34,Mapping!$C$2:$C$34,FALSE)</f>
        <v>Sea and coastal freight water transport</v>
      </c>
    </row>
    <row r="166">
      <c r="A166" s="6" t="str">
        <f t="shared" si="4"/>
        <v>50.3</v>
      </c>
      <c r="B166" s="6" t="str">
        <f t="shared" si="5"/>
        <v>Inland passenger water transport</v>
      </c>
      <c r="C166" s="6" t="b">
        <f>ISNUMBER(MATCH(A166,#REF!, 0))</f>
        <v>0</v>
      </c>
      <c r="D166" s="6" t="s">
        <v>226</v>
      </c>
      <c r="E166" t="b">
        <f>_xlfn.XLOOKUP(B166,Mapping!$C$2:$C$34,Mapping!$C$2:$C$34,FALSE)</f>
        <v>0</v>
      </c>
    </row>
    <row r="167">
      <c r="A167" s="6" t="str">
        <f t="shared" si="4"/>
        <v>50.4</v>
      </c>
      <c r="B167" s="6" t="str">
        <f t="shared" si="5"/>
        <v>Inland freight water transport</v>
      </c>
      <c r="C167" s="6" t="b">
        <f>ISNUMBER(MATCH(A167,#REF!, 0))</f>
        <v>0</v>
      </c>
      <c r="D167" s="6" t="s">
        <v>227</v>
      </c>
      <c r="E167" t="b">
        <f>_xlfn.XLOOKUP(B167,Mapping!$C$2:$C$34,Mapping!$C$2:$C$34,FALSE)</f>
        <v>0</v>
      </c>
    </row>
    <row r="168">
      <c r="A168" s="6" t="str">
        <f t="shared" si="4"/>
        <v>51.1</v>
      </c>
      <c r="B168" s="6" t="str">
        <f t="shared" si="5"/>
        <v>Passenger air transport</v>
      </c>
      <c r="C168" s="6" t="b">
        <f>ISNUMBER(MATCH(A168,#REF!, 0))</f>
        <v>0</v>
      </c>
      <c r="D168" s="6" t="s">
        <v>228</v>
      </c>
      <c r="E168" t="str">
        <f>_xlfn.XLOOKUP(B168,Mapping!$C$2:$C$34,Mapping!$C$2:$C$34,FALSE)</f>
        <v>Passenger air transport</v>
      </c>
    </row>
    <row r="169">
      <c r="A169" s="6" t="str">
        <f t="shared" si="4"/>
        <v>51.2</v>
      </c>
      <c r="B169" s="6" t="str">
        <f t="shared" si="5"/>
        <v>Freight air transport and space transport</v>
      </c>
      <c r="C169" s="6" t="b">
        <f>ISNUMBER(MATCH(A169,#REF!, 0))</f>
        <v>0</v>
      </c>
      <c r="D169" s="6" t="s">
        <v>229</v>
      </c>
      <c r="E169" t="str">
        <f>_xlfn.XLOOKUP(B169,Mapping!$C$2:$C$34,Mapping!$C$2:$C$34,FALSE)</f>
        <v>Freight air transport and space transport</v>
      </c>
    </row>
    <row r="170">
      <c r="A170" s="6" t="str">
        <f t="shared" si="4"/>
        <v>52.1</v>
      </c>
      <c r="B170" s="6" t="str">
        <f t="shared" si="5"/>
        <v>Warehousing and storage</v>
      </c>
      <c r="C170" s="6" t="b">
        <f>ISNUMBER(MATCH(A170,#REF!, 0))</f>
        <v>0</v>
      </c>
      <c r="D170" s="6" t="s">
        <v>230</v>
      </c>
      <c r="E170" t="b">
        <f>_xlfn.XLOOKUP(B170,Mapping!$C$2:$C$34,Mapping!$C$2:$C$34,FALSE)</f>
        <v>0</v>
      </c>
    </row>
    <row r="171">
      <c r="A171" s="6" t="str">
        <f t="shared" si="4"/>
        <v>52.2</v>
      </c>
      <c r="B171" s="6" t="str">
        <f t="shared" si="5"/>
        <v>Support activities for transportation</v>
      </c>
      <c r="C171" s="6" t="b">
        <f>ISNUMBER(MATCH(A171,#REF!, 0))</f>
        <v>0</v>
      </c>
      <c r="D171" s="6" t="s">
        <v>231</v>
      </c>
      <c r="E171" t="b">
        <f>_xlfn.XLOOKUP(B171,Mapping!$C$2:$C$34,Mapping!$C$2:$C$34,FALSE)</f>
        <v>0</v>
      </c>
    </row>
    <row r="172">
      <c r="A172" s="6" t="str">
        <f t="shared" si="4"/>
        <v>53.1</v>
      </c>
      <c r="B172" s="6" t="str">
        <f t="shared" si="5"/>
        <v>Postal activities under universal service obligation</v>
      </c>
      <c r="C172" s="6" t="b">
        <f>ISNUMBER(MATCH(A172,#REF!, 0))</f>
        <v>0</v>
      </c>
      <c r="D172" s="6" t="s">
        <v>232</v>
      </c>
      <c r="E172" t="b">
        <f>_xlfn.XLOOKUP(B172,Mapping!$C$2:$C$34,Mapping!$C$2:$C$34,FALSE)</f>
        <v>0</v>
      </c>
    </row>
    <row r="173">
      <c r="A173" s="6" t="str">
        <f t="shared" si="4"/>
        <v>53.2</v>
      </c>
      <c r="B173" s="6" t="str">
        <f t="shared" si="5"/>
        <v>Other postal and courier activities</v>
      </c>
      <c r="C173" s="6" t="b">
        <f>ISNUMBER(MATCH(A173,#REF!, 0))</f>
        <v>0</v>
      </c>
      <c r="D173" s="6" t="s">
        <v>233</v>
      </c>
      <c r="E173" t="b">
        <f>_xlfn.XLOOKUP(B173,Mapping!$C$2:$C$34,Mapping!$C$2:$C$34,FALSE)</f>
        <v>0</v>
      </c>
    </row>
    <row r="174">
      <c r="A174" s="6" t="str">
        <f t="shared" si="4"/>
        <v>55.1</v>
      </c>
      <c r="B174" s="6" t="str">
        <f t="shared" si="5"/>
        <v>Hotels and similar accommodation</v>
      </c>
      <c r="C174" s="6" t="b">
        <f>ISNUMBER(MATCH(A174,#REF!, 0))</f>
        <v>0</v>
      </c>
      <c r="D174" s="6" t="s">
        <v>234</v>
      </c>
      <c r="E174" t="b">
        <f>_xlfn.XLOOKUP(B174,Mapping!$C$2:$C$34,Mapping!$C$2:$C$34,FALSE)</f>
        <v>0</v>
      </c>
    </row>
    <row r="175">
      <c r="A175" s="6" t="str">
        <f t="shared" si="4"/>
        <v>55.2</v>
      </c>
      <c r="B175" s="6" t="str">
        <f t="shared" si="5"/>
        <v>Holiday and other short-stay accommodation</v>
      </c>
      <c r="C175" s="6" t="b">
        <f>ISNUMBER(MATCH(A175,#REF!, 0))</f>
        <v>0</v>
      </c>
      <c r="D175" s="6" t="s">
        <v>235</v>
      </c>
      <c r="E175" t="b">
        <f>_xlfn.XLOOKUP(B175,Mapping!$C$2:$C$34,Mapping!$C$2:$C$34,FALSE)</f>
        <v>0</v>
      </c>
    </row>
    <row r="176">
      <c r="A176" s="6" t="str">
        <f t="shared" si="4"/>
        <v>55.3</v>
      </c>
      <c r="B176" s="6" t="str">
        <f t="shared" si="5"/>
        <v>Camping grounds, recreational vehicle parks and trailer parks</v>
      </c>
      <c r="C176" s="6" t="b">
        <f>ISNUMBER(MATCH(A176,#REF!, 0))</f>
        <v>0</v>
      </c>
      <c r="D176" s="6" t="s">
        <v>236</v>
      </c>
      <c r="E176" t="b">
        <f>_xlfn.XLOOKUP(B176,Mapping!$C$2:$C$34,Mapping!$C$2:$C$34,FALSE)</f>
        <v>0</v>
      </c>
    </row>
    <row r="177">
      <c r="A177" s="6" t="str">
        <f t="shared" si="4"/>
        <v>55.9</v>
      </c>
      <c r="B177" s="6" t="str">
        <f t="shared" si="5"/>
        <v>Other accommodation</v>
      </c>
      <c r="C177" s="6" t="b">
        <f>ISNUMBER(MATCH(A177,#REF!, 0))</f>
        <v>0</v>
      </c>
      <c r="D177" s="6" t="s">
        <v>237</v>
      </c>
      <c r="E177" t="b">
        <f>_xlfn.XLOOKUP(B177,Mapping!$C$2:$C$34,Mapping!$C$2:$C$34,FALSE)</f>
        <v>0</v>
      </c>
    </row>
    <row r="178">
      <c r="A178" s="6" t="str">
        <f t="shared" si="4"/>
        <v>56.1</v>
      </c>
      <c r="B178" s="6" t="str">
        <f t="shared" si="5"/>
        <v>Restaurants and mobile food service activities</v>
      </c>
      <c r="C178" s="6" t="b">
        <f>ISNUMBER(MATCH(A178,#REF!, 0))</f>
        <v>0</v>
      </c>
      <c r="D178" s="6" t="s">
        <v>238</v>
      </c>
      <c r="E178" t="b">
        <f>_xlfn.XLOOKUP(B178,Mapping!$C$2:$C$34,Mapping!$C$2:$C$34,FALSE)</f>
        <v>0</v>
      </c>
    </row>
    <row r="179">
      <c r="A179" s="6" t="str">
        <f t="shared" si="4"/>
        <v>56.2</v>
      </c>
      <c r="B179" s="6" t="str">
        <f t="shared" si="5"/>
        <v>Event catering and other food service activities</v>
      </c>
      <c r="C179" s="6" t="b">
        <f>ISNUMBER(MATCH(A179,#REF!, 0))</f>
        <v>0</v>
      </c>
      <c r="D179" s="6" t="s">
        <v>239</v>
      </c>
      <c r="E179" t="b">
        <f>_xlfn.XLOOKUP(B179,Mapping!$C$2:$C$34,Mapping!$C$2:$C$34,FALSE)</f>
        <v>0</v>
      </c>
    </row>
    <row r="180">
      <c r="A180" s="6" t="str">
        <f t="shared" si="4"/>
        <v>56.3</v>
      </c>
      <c r="B180" s="6" t="str">
        <f t="shared" si="5"/>
        <v>Beverage serving activities</v>
      </c>
      <c r="C180" s="6" t="b">
        <f>ISNUMBER(MATCH(A180,#REF!, 0))</f>
        <v>0</v>
      </c>
      <c r="D180" s="6" t="s">
        <v>240</v>
      </c>
      <c r="E180" t="b">
        <f>_xlfn.XLOOKUP(B180,Mapping!$C$2:$C$34,Mapping!$C$2:$C$34,FALSE)</f>
        <v>0</v>
      </c>
    </row>
    <row r="181">
      <c r="A181" s="6" t="str">
        <f t="shared" si="4"/>
        <v>58.1</v>
      </c>
      <c r="B181" s="6" t="str">
        <f t="shared" si="5"/>
        <v>Publishing of books, periodicals and other publishing activities</v>
      </c>
      <c r="C181" s="6" t="b">
        <f>ISNUMBER(MATCH(A181,#REF!, 0))</f>
        <v>0</v>
      </c>
      <c r="D181" s="6" t="s">
        <v>241</v>
      </c>
      <c r="E181" t="b">
        <f>_xlfn.XLOOKUP(B181,Mapping!$C$2:$C$34,Mapping!$C$2:$C$34,FALSE)</f>
        <v>0</v>
      </c>
    </row>
    <row r="182">
      <c r="A182" s="6" t="str">
        <f t="shared" si="4"/>
        <v>58.2</v>
      </c>
      <c r="B182" s="6" t="str">
        <f t="shared" si="5"/>
        <v>Software publishing</v>
      </c>
      <c r="C182" s="6" t="b">
        <f>ISNUMBER(MATCH(A182,#REF!, 0))</f>
        <v>0</v>
      </c>
      <c r="D182" s="6" t="s">
        <v>242</v>
      </c>
      <c r="E182" t="b">
        <f>_xlfn.XLOOKUP(B182,Mapping!$C$2:$C$34,Mapping!$C$2:$C$34,FALSE)</f>
        <v>0</v>
      </c>
    </row>
    <row r="183">
      <c r="A183" s="6" t="str">
        <f t="shared" si="4"/>
        <v>59.1</v>
      </c>
      <c r="B183" s="6" t="str">
        <f t="shared" si="5"/>
        <v>Motion picture, video and television programme activities</v>
      </c>
      <c r="C183" s="6" t="b">
        <f>ISNUMBER(MATCH(A183,#REF!, 0))</f>
        <v>0</v>
      </c>
      <c r="D183" s="6" t="s">
        <v>243</v>
      </c>
      <c r="E183" t="b">
        <f>_xlfn.XLOOKUP(B183,Mapping!$C$2:$C$34,Mapping!$C$2:$C$34,FALSE)</f>
        <v>0</v>
      </c>
    </row>
    <row r="184">
      <c r="A184" s="6" t="str">
        <f t="shared" si="4"/>
        <v>59.2</v>
      </c>
      <c r="B184" s="6" t="str">
        <f t="shared" si="5"/>
        <v>Sound recording and music publishing activities</v>
      </c>
      <c r="C184" s="6" t="b">
        <f>ISNUMBER(MATCH(A184,#REF!, 0))</f>
        <v>0</v>
      </c>
      <c r="D184" s="6" t="s">
        <v>244</v>
      </c>
      <c r="E184" t="b">
        <f>_xlfn.XLOOKUP(B184,Mapping!$C$2:$C$34,Mapping!$C$2:$C$34,FALSE)</f>
        <v>0</v>
      </c>
    </row>
    <row r="185">
      <c r="A185" s="6" t="str">
        <f t="shared" si="4"/>
        <v>60.1</v>
      </c>
      <c r="B185" s="6" t="str">
        <f t="shared" si="5"/>
        <v>Radio broadcasting</v>
      </c>
      <c r="C185" s="6" t="b">
        <f>ISNUMBER(MATCH(A185,#REF!, 0))</f>
        <v>0</v>
      </c>
      <c r="D185" s="6" t="s">
        <v>245</v>
      </c>
      <c r="E185" t="b">
        <f>_xlfn.XLOOKUP(B185,Mapping!$C$2:$C$34,Mapping!$C$2:$C$34,FALSE)</f>
        <v>0</v>
      </c>
    </row>
    <row r="186">
      <c r="A186" s="6" t="str">
        <f t="shared" si="4"/>
        <v>60.2</v>
      </c>
      <c r="B186" s="6" t="str">
        <f t="shared" si="5"/>
        <v>Television programming and broadcasting activities</v>
      </c>
      <c r="C186" s="6" t="b">
        <f>ISNUMBER(MATCH(A186,#REF!, 0))</f>
        <v>0</v>
      </c>
      <c r="D186" s="6" t="s">
        <v>246</v>
      </c>
      <c r="E186" t="b">
        <f>_xlfn.XLOOKUP(B186,Mapping!$C$2:$C$34,Mapping!$C$2:$C$34,FALSE)</f>
        <v>0</v>
      </c>
    </row>
    <row r="187">
      <c r="A187" s="6" t="str">
        <f t="shared" si="4"/>
        <v>61.1</v>
      </c>
      <c r="B187" s="6" t="str">
        <f t="shared" si="5"/>
        <v>Wired telecommunications activities</v>
      </c>
      <c r="C187" s="6" t="b">
        <f>ISNUMBER(MATCH(A187,#REF!, 0))</f>
        <v>0</v>
      </c>
      <c r="D187" s="6" t="s">
        <v>247</v>
      </c>
      <c r="E187" t="b">
        <f>_xlfn.XLOOKUP(B187,Mapping!$C$2:$C$34,Mapping!$C$2:$C$34,FALSE)</f>
        <v>0</v>
      </c>
    </row>
    <row r="188">
      <c r="A188" s="6" t="str">
        <f t="shared" si="4"/>
        <v>61.2</v>
      </c>
      <c r="B188" s="6" t="str">
        <f t="shared" si="5"/>
        <v>Wireless telecommunications activities</v>
      </c>
      <c r="C188" s="6" t="b">
        <f>ISNUMBER(MATCH(A188,#REF!, 0))</f>
        <v>0</v>
      </c>
      <c r="D188" s="6" t="s">
        <v>248</v>
      </c>
      <c r="E188" t="b">
        <f>_xlfn.XLOOKUP(B188,Mapping!$C$2:$C$34,Mapping!$C$2:$C$34,FALSE)</f>
        <v>0</v>
      </c>
    </row>
    <row r="189">
      <c r="A189" s="6" t="str">
        <f t="shared" si="4"/>
        <v>61.3</v>
      </c>
      <c r="B189" s="6" t="str">
        <f t="shared" si="5"/>
        <v>Satellite telecommunications activities</v>
      </c>
      <c r="C189" s="6" t="b">
        <f>ISNUMBER(MATCH(A189,#REF!, 0))</f>
        <v>0</v>
      </c>
      <c r="D189" s="6" t="s">
        <v>249</v>
      </c>
      <c r="E189" t="b">
        <f>_xlfn.XLOOKUP(B189,Mapping!$C$2:$C$34,Mapping!$C$2:$C$34,FALSE)</f>
        <v>0</v>
      </c>
    </row>
    <row r="190">
      <c r="A190" s="6" t="str">
        <f t="shared" si="4"/>
        <v>61.9</v>
      </c>
      <c r="B190" s="6" t="str">
        <f t="shared" si="5"/>
        <v>Other telecommunications activities</v>
      </c>
      <c r="C190" s="6" t="b">
        <f>ISNUMBER(MATCH(A190,#REF!, 0))</f>
        <v>0</v>
      </c>
      <c r="D190" s="6" t="s">
        <v>250</v>
      </c>
      <c r="E190" t="b">
        <f>_xlfn.XLOOKUP(B190,Mapping!$C$2:$C$34,Mapping!$C$2:$C$34,FALSE)</f>
        <v>0</v>
      </c>
    </row>
    <row r="191">
      <c r="A191" s="6" t="str">
        <f t="shared" si="4"/>
        <v>62.0</v>
      </c>
      <c r="B191" s="6" t="str">
        <f t="shared" si="5"/>
        <v>Computer programming, consultancy and related activities</v>
      </c>
      <c r="C191" s="6" t="b">
        <f>ISNUMBER(MATCH(A191,#REF!, 0))</f>
        <v>0</v>
      </c>
      <c r="D191" s="6" t="s">
        <v>251</v>
      </c>
      <c r="E191" t="b">
        <f>_xlfn.XLOOKUP(B191,Mapping!$C$2:$C$34,Mapping!$C$2:$C$34,FALSE)</f>
        <v>0</v>
      </c>
    </row>
    <row r="192">
      <c r="A192" s="6" t="str">
        <f t="shared" si="4"/>
        <v>63.1</v>
      </c>
      <c r="B192" s="6" t="str">
        <f t="shared" si="5"/>
        <v>Data processing, hosting and related activities; web portals</v>
      </c>
      <c r="C192" s="6" t="b">
        <f>ISNUMBER(MATCH(A192,#REF!, 0))</f>
        <v>0</v>
      </c>
      <c r="D192" s="6" t="s">
        <v>252</v>
      </c>
      <c r="E192" t="b">
        <f>_xlfn.XLOOKUP(B192,Mapping!$C$2:$C$34,Mapping!$C$2:$C$34,FALSE)</f>
        <v>0</v>
      </c>
    </row>
    <row r="193">
      <c r="A193" s="6" t="str">
        <f t="shared" si="4"/>
        <v>63.9</v>
      </c>
      <c r="B193" s="6" t="str">
        <f t="shared" si="5"/>
        <v>Other information service activities</v>
      </c>
      <c r="C193" s="6" t="b">
        <f>ISNUMBER(MATCH(A193,#REF!, 0))</f>
        <v>0</v>
      </c>
      <c r="D193" s="6" t="s">
        <v>253</v>
      </c>
      <c r="E193" t="b">
        <f>_xlfn.XLOOKUP(B193,Mapping!$C$2:$C$34,Mapping!$C$2:$C$34,FALSE)</f>
        <v>0</v>
      </c>
    </row>
    <row r="194">
      <c r="A194" s="6" t="str">
        <f t="shared" ref="A194:A257" si="6">LEFT(D194,4)</f>
        <v>64.1</v>
      </c>
      <c r="B194" s="6" t="str">
        <f t="shared" si="5"/>
        <v>Monetary intermediation</v>
      </c>
      <c r="C194" s="6" t="b">
        <f>ISNUMBER(MATCH(A194,#REF!, 0))</f>
        <v>0</v>
      </c>
      <c r="D194" s="6" t="s">
        <v>254</v>
      </c>
      <c r="E194" t="b">
        <f>_xlfn.XLOOKUP(B194,Mapping!$C$2:$C$34,Mapping!$C$2:$C$34,FALSE)</f>
        <v>0</v>
      </c>
    </row>
    <row r="195">
      <c r="A195" s="6" t="str">
        <f t="shared" si="6"/>
        <v>64.2</v>
      </c>
      <c r="B195" s="6" t="str">
        <f t="shared" ref="B195:B258" si="7">SUBSTITUTE(SUBSTITUTE(D195,A195&amp;" ",""),RIGHT(D195,5),"")</f>
        <v>Activities of holding companies</v>
      </c>
      <c r="C195" s="6" t="b">
        <f>ISNUMBER(MATCH(A195,#REF!, 0))</f>
        <v>0</v>
      </c>
      <c r="D195" s="6" t="s">
        <v>255</v>
      </c>
      <c r="E195" t="b">
        <f>_xlfn.XLOOKUP(B195,Mapping!$C$2:$C$34,Mapping!$C$2:$C$34,FALSE)</f>
        <v>0</v>
      </c>
    </row>
    <row r="196">
      <c r="A196" s="6" t="str">
        <f t="shared" si="6"/>
        <v>64.3</v>
      </c>
      <c r="B196" s="6" t="str">
        <f t="shared" si="7"/>
        <v>Trusts, funds and similar financial entities</v>
      </c>
      <c r="C196" s="6" t="b">
        <f>ISNUMBER(MATCH(A196,#REF!, 0))</f>
        <v>0</v>
      </c>
      <c r="D196" s="6" t="s">
        <v>256</v>
      </c>
      <c r="E196" t="b">
        <f>_xlfn.XLOOKUP(B196,Mapping!$C$2:$C$34,Mapping!$C$2:$C$34,FALSE)</f>
        <v>0</v>
      </c>
    </row>
    <row r="197">
      <c r="A197" s="6" t="str">
        <f t="shared" si="6"/>
        <v>64.9</v>
      </c>
      <c r="B197" s="6" t="str">
        <f t="shared" si="7"/>
        <v>Other financial service activities, except insurance and pension funding</v>
      </c>
      <c r="C197" s="6" t="b">
        <f>ISNUMBER(MATCH(A197,#REF!, 0))</f>
        <v>0</v>
      </c>
      <c r="D197" s="6" t="s">
        <v>257</v>
      </c>
      <c r="E197" t="b">
        <f>_xlfn.XLOOKUP(B197,Mapping!$C$2:$C$34,Mapping!$C$2:$C$34,FALSE)</f>
        <v>0</v>
      </c>
    </row>
    <row r="198">
      <c r="A198" s="6" t="str">
        <f t="shared" si="6"/>
        <v>65.1</v>
      </c>
      <c r="B198" s="6" t="str">
        <f t="shared" si="7"/>
        <v>Insurance</v>
      </c>
      <c r="C198" s="6" t="b">
        <f>ISNUMBER(MATCH(A198,#REF!, 0))</f>
        <v>0</v>
      </c>
      <c r="D198" s="6" t="s">
        <v>258</v>
      </c>
      <c r="E198" t="b">
        <f>_xlfn.XLOOKUP(B198,Mapping!$C$2:$C$34,Mapping!$C$2:$C$34,FALSE)</f>
        <v>0</v>
      </c>
    </row>
    <row r="199">
      <c r="A199" s="6" t="str">
        <f t="shared" si="6"/>
        <v>65.2</v>
      </c>
      <c r="B199" s="6" t="str">
        <f t="shared" si="7"/>
        <v>Reinsurance</v>
      </c>
      <c r="C199" s="6" t="b">
        <f>ISNUMBER(MATCH(A199,#REF!, 0))</f>
        <v>0</v>
      </c>
      <c r="D199" s="6" t="s">
        <v>259</v>
      </c>
      <c r="E199" t="b">
        <f>_xlfn.XLOOKUP(B199,Mapping!$C$2:$C$34,Mapping!$C$2:$C$34,FALSE)</f>
        <v>0</v>
      </c>
    </row>
    <row r="200">
      <c r="A200" s="6" t="str">
        <f t="shared" si="6"/>
        <v>65.3</v>
      </c>
      <c r="B200" s="6" t="str">
        <f t="shared" si="7"/>
        <v>Pension funding</v>
      </c>
      <c r="C200" s="6" t="b">
        <f>ISNUMBER(MATCH(A200,#REF!, 0))</f>
        <v>0</v>
      </c>
      <c r="D200" s="6" t="s">
        <v>260</v>
      </c>
      <c r="E200" t="b">
        <f>_xlfn.XLOOKUP(B200,Mapping!$C$2:$C$34,Mapping!$C$2:$C$34,FALSE)</f>
        <v>0</v>
      </c>
    </row>
    <row r="201">
      <c r="A201" s="6" t="str">
        <f t="shared" si="6"/>
        <v>66.1</v>
      </c>
      <c r="B201" s="6" t="str">
        <f t="shared" si="7"/>
        <v>Activities auxiliary to financial services, except insurance and pension funding</v>
      </c>
      <c r="C201" s="6" t="b">
        <f>ISNUMBER(MATCH(A201,#REF!, 0))</f>
        <v>0</v>
      </c>
      <c r="D201" s="6" t="s">
        <v>261</v>
      </c>
      <c r="E201" t="b">
        <f>_xlfn.XLOOKUP(B201,Mapping!$C$2:$C$34,Mapping!$C$2:$C$34,FALSE)</f>
        <v>0</v>
      </c>
    </row>
    <row r="202">
      <c r="A202" s="6" t="str">
        <f t="shared" si="6"/>
        <v>66.2</v>
      </c>
      <c r="B202" s="6" t="str">
        <f t="shared" si="7"/>
        <v>Activities auxiliary to insurance and pension funding</v>
      </c>
      <c r="C202" s="6" t="b">
        <f>ISNUMBER(MATCH(A202,#REF!, 0))</f>
        <v>0</v>
      </c>
      <c r="D202" s="6" t="s">
        <v>262</v>
      </c>
      <c r="E202" t="b">
        <f>_xlfn.XLOOKUP(B202,Mapping!$C$2:$C$34,Mapping!$C$2:$C$34,FALSE)</f>
        <v>0</v>
      </c>
    </row>
    <row r="203">
      <c r="A203" s="6" t="str">
        <f t="shared" si="6"/>
        <v>66.3</v>
      </c>
      <c r="B203" s="6" t="str">
        <f t="shared" si="7"/>
        <v>Fund management activities</v>
      </c>
      <c r="C203" s="6" t="b">
        <f>ISNUMBER(MATCH(A203,#REF!, 0))</f>
        <v>0</v>
      </c>
      <c r="D203" s="6" t="s">
        <v>263</v>
      </c>
      <c r="E203" t="b">
        <f>_xlfn.XLOOKUP(B203,Mapping!$C$2:$C$34,Mapping!$C$2:$C$34,FALSE)</f>
        <v>0</v>
      </c>
    </row>
    <row r="204">
      <c r="A204" s="6" t="str">
        <f t="shared" si="6"/>
        <v>68.1</v>
      </c>
      <c r="B204" s="6" t="str">
        <f t="shared" si="7"/>
        <v>Buying and selling of own real estate</v>
      </c>
      <c r="C204" s="6" t="b">
        <f>ISNUMBER(MATCH(A204,#REF!, 0))</f>
        <v>0</v>
      </c>
      <c r="D204" s="6" t="s">
        <v>264</v>
      </c>
      <c r="E204" t="b">
        <f>_xlfn.XLOOKUP(B204,Mapping!$C$2:$C$34,Mapping!$C$2:$C$34,FALSE)</f>
        <v>0</v>
      </c>
    </row>
    <row r="205">
      <c r="A205" s="6" t="str">
        <f t="shared" si="6"/>
        <v>68.2</v>
      </c>
      <c r="B205" s="6" t="str">
        <f t="shared" si="7"/>
        <v>Rental and operating of own or leased real estate</v>
      </c>
      <c r="C205" s="6" t="b">
        <f>ISNUMBER(MATCH(A205,#REF!, 0))</f>
        <v>0</v>
      </c>
      <c r="D205" s="6" t="s">
        <v>265</v>
      </c>
      <c r="E205" t="b">
        <f>_xlfn.XLOOKUP(B205,Mapping!$C$2:$C$34,Mapping!$C$2:$C$34,FALSE)</f>
        <v>0</v>
      </c>
    </row>
    <row r="206">
      <c r="A206" s="6" t="str">
        <f t="shared" si="6"/>
        <v>68.3</v>
      </c>
      <c r="B206" s="6" t="str">
        <f t="shared" si="7"/>
        <v>Real estate activities on a fee or contract basis</v>
      </c>
      <c r="C206" s="6" t="b">
        <f>ISNUMBER(MATCH(A206,#REF!, 0))</f>
        <v>0</v>
      </c>
      <c r="D206" s="6" t="s">
        <v>266</v>
      </c>
      <c r="E206" t="b">
        <f>_xlfn.XLOOKUP(B206,Mapping!$C$2:$C$34,Mapping!$C$2:$C$34,FALSE)</f>
        <v>0</v>
      </c>
    </row>
    <row r="207">
      <c r="A207" s="6" t="str">
        <f t="shared" si="6"/>
        <v>69.1</v>
      </c>
      <c r="B207" s="6" t="str">
        <f t="shared" si="7"/>
        <v>Legal activities</v>
      </c>
      <c r="C207" s="6" t="b">
        <f>ISNUMBER(MATCH(A207,#REF!, 0))</f>
        <v>0</v>
      </c>
      <c r="D207" s="6" t="s">
        <v>267</v>
      </c>
      <c r="E207" t="b">
        <f>_xlfn.XLOOKUP(B207,Mapping!$C$2:$C$34,Mapping!$C$2:$C$34,FALSE)</f>
        <v>0</v>
      </c>
    </row>
    <row r="208">
      <c r="A208" s="6" t="str">
        <f t="shared" si="6"/>
        <v>69.2</v>
      </c>
      <c r="B208" s="6" t="str">
        <f t="shared" si="7"/>
        <v>Accounting, bookkeeping and auditing activities; tax consultancy</v>
      </c>
      <c r="C208" s="6" t="b">
        <f>ISNUMBER(MATCH(A208,#REF!, 0))</f>
        <v>0</v>
      </c>
      <c r="D208" s="6" t="s">
        <v>268</v>
      </c>
      <c r="E208" t="b">
        <f>_xlfn.XLOOKUP(B208,Mapping!$C$2:$C$34,Mapping!$C$2:$C$34,FALSE)</f>
        <v>0</v>
      </c>
    </row>
    <row r="209">
      <c r="A209" s="6" t="str">
        <f t="shared" si="6"/>
        <v>70.1</v>
      </c>
      <c r="B209" s="6" t="str">
        <f t="shared" si="7"/>
        <v>Activities of head offices</v>
      </c>
      <c r="C209" s="6" t="b">
        <f>ISNUMBER(MATCH(A209,#REF!, 0))</f>
        <v>0</v>
      </c>
      <c r="D209" s="6" t="s">
        <v>269</v>
      </c>
      <c r="E209" t="b">
        <f>_xlfn.XLOOKUP(B209,Mapping!$C$2:$C$34,Mapping!$C$2:$C$34,FALSE)</f>
        <v>0</v>
      </c>
    </row>
    <row r="210">
      <c r="A210" s="6" t="str">
        <f t="shared" si="6"/>
        <v>70.2</v>
      </c>
      <c r="B210" s="6" t="str">
        <f t="shared" si="7"/>
        <v>Management consultancy activities</v>
      </c>
      <c r="C210" s="6" t="b">
        <f>ISNUMBER(MATCH(A210,#REF!, 0))</f>
        <v>0</v>
      </c>
      <c r="D210" s="6" t="s">
        <v>270</v>
      </c>
      <c r="E210" t="b">
        <f>_xlfn.XLOOKUP(B210,Mapping!$C$2:$C$34,Mapping!$C$2:$C$34,FALSE)</f>
        <v>0</v>
      </c>
    </row>
    <row r="211">
      <c r="A211" s="6" t="str">
        <f t="shared" si="6"/>
        <v>71.1</v>
      </c>
      <c r="B211" s="6" t="str">
        <f t="shared" si="7"/>
        <v>Architectural and engineering activities and related technical consultancy</v>
      </c>
      <c r="C211" s="6" t="b">
        <f>ISNUMBER(MATCH(A211,#REF!, 0))</f>
        <v>0</v>
      </c>
      <c r="D211" s="6" t="s">
        <v>271</v>
      </c>
      <c r="E211" t="b">
        <f>_xlfn.XLOOKUP(B211,Mapping!$C$2:$C$34,Mapping!$C$2:$C$34,FALSE)</f>
        <v>0</v>
      </c>
    </row>
    <row r="212">
      <c r="A212" s="6" t="str">
        <f t="shared" si="6"/>
        <v>71.2</v>
      </c>
      <c r="B212" s="6" t="str">
        <f t="shared" si="7"/>
        <v>Technical testing and analysis</v>
      </c>
      <c r="C212" s="6" t="b">
        <f>ISNUMBER(MATCH(A212,#REF!, 0))</f>
        <v>0</v>
      </c>
      <c r="D212" s="6" t="s">
        <v>272</v>
      </c>
      <c r="E212" t="b">
        <f>_xlfn.XLOOKUP(B212,Mapping!$C$2:$C$34,Mapping!$C$2:$C$34,FALSE)</f>
        <v>0</v>
      </c>
    </row>
    <row r="213">
      <c r="A213" s="6" t="str">
        <f t="shared" si="6"/>
        <v>72.1</v>
      </c>
      <c r="B213" s="6" t="str">
        <f t="shared" si="7"/>
        <v>Research and experimental development on natural sciences and engineering</v>
      </c>
      <c r="C213" s="6" t="b">
        <f>ISNUMBER(MATCH(A213,#REF!, 0))</f>
        <v>0</v>
      </c>
      <c r="D213" s="6" t="s">
        <v>273</v>
      </c>
      <c r="E213" t="b">
        <f>_xlfn.XLOOKUP(B213,Mapping!$C$2:$C$34,Mapping!$C$2:$C$34,FALSE)</f>
        <v>0</v>
      </c>
    </row>
    <row r="214">
      <c r="A214" s="6" t="str">
        <f t="shared" si="6"/>
        <v>72.2</v>
      </c>
      <c r="B214" s="6" t="str">
        <f t="shared" si="7"/>
        <v>Research and experimental development on social sciences and humanities</v>
      </c>
      <c r="C214" s="6" t="b">
        <f>ISNUMBER(MATCH(A214,#REF!, 0))</f>
        <v>0</v>
      </c>
      <c r="D214" s="6" t="s">
        <v>274</v>
      </c>
      <c r="E214" t="b">
        <f>_xlfn.XLOOKUP(B214,Mapping!$C$2:$C$34,Mapping!$C$2:$C$34,FALSE)</f>
        <v>0</v>
      </c>
    </row>
    <row r="215">
      <c r="A215" s="6" t="str">
        <f t="shared" si="6"/>
        <v>73.1</v>
      </c>
      <c r="B215" s="6" t="str">
        <f t="shared" si="7"/>
        <v>Advertising</v>
      </c>
      <c r="C215" s="6" t="b">
        <f>ISNUMBER(MATCH(A215,#REF!, 0))</f>
        <v>0</v>
      </c>
      <c r="D215" s="6" t="s">
        <v>275</v>
      </c>
      <c r="E215" t="b">
        <f>_xlfn.XLOOKUP(B215,Mapping!$C$2:$C$34,Mapping!$C$2:$C$34,FALSE)</f>
        <v>0</v>
      </c>
    </row>
    <row r="216">
      <c r="A216" s="6" t="str">
        <f t="shared" si="6"/>
        <v>73.2</v>
      </c>
      <c r="B216" s="6" t="str">
        <f t="shared" si="7"/>
        <v>Market research and public opinion polling</v>
      </c>
      <c r="C216" s="6" t="b">
        <f>ISNUMBER(MATCH(A216,#REF!, 0))</f>
        <v>0</v>
      </c>
      <c r="D216" s="6" t="s">
        <v>276</v>
      </c>
      <c r="E216" t="b">
        <f>_xlfn.XLOOKUP(B216,Mapping!$C$2:$C$34,Mapping!$C$2:$C$34,FALSE)</f>
        <v>0</v>
      </c>
    </row>
    <row r="217">
      <c r="A217" s="6" t="str">
        <f t="shared" si="6"/>
        <v>74.1</v>
      </c>
      <c r="B217" s="6" t="str">
        <f t="shared" si="7"/>
        <v>Specialised design activities</v>
      </c>
      <c r="C217" s="6" t="b">
        <f>ISNUMBER(MATCH(A217,#REF!, 0))</f>
        <v>0</v>
      </c>
      <c r="D217" s="6" t="s">
        <v>277</v>
      </c>
      <c r="E217" t="b">
        <f>_xlfn.XLOOKUP(B217,Mapping!$C$2:$C$34,Mapping!$C$2:$C$34,FALSE)</f>
        <v>0</v>
      </c>
    </row>
    <row r="218">
      <c r="A218" s="6" t="str">
        <f t="shared" si="6"/>
        <v>74.2</v>
      </c>
      <c r="B218" s="6" t="str">
        <f t="shared" si="7"/>
        <v>Photographic activities</v>
      </c>
      <c r="C218" s="6" t="b">
        <f>ISNUMBER(MATCH(A218,#REF!, 0))</f>
        <v>0</v>
      </c>
      <c r="D218" s="6" t="s">
        <v>278</v>
      </c>
      <c r="E218" t="b">
        <f>_xlfn.XLOOKUP(B218,Mapping!$C$2:$C$34,Mapping!$C$2:$C$34,FALSE)</f>
        <v>0</v>
      </c>
    </row>
    <row r="219">
      <c r="A219" s="6" t="str">
        <f t="shared" si="6"/>
        <v>74.3</v>
      </c>
      <c r="B219" s="6" t="str">
        <f t="shared" si="7"/>
        <v>Translation and interpretation activities</v>
      </c>
      <c r="C219" s="6" t="b">
        <f>ISNUMBER(MATCH(A219,#REF!, 0))</f>
        <v>0</v>
      </c>
      <c r="D219" s="6" t="s">
        <v>279</v>
      </c>
      <c r="E219" t="b">
        <f>_xlfn.XLOOKUP(B219,Mapping!$C$2:$C$34,Mapping!$C$2:$C$34,FALSE)</f>
        <v>0</v>
      </c>
    </row>
    <row r="220">
      <c r="A220" s="6" t="str">
        <f t="shared" si="6"/>
        <v>74.9</v>
      </c>
      <c r="B220" s="6" t="str">
        <f t="shared" si="7"/>
        <v>Other professional, scientific and technical activities n.e.c.</v>
      </c>
      <c r="C220" s="6" t="b">
        <f>ISNUMBER(MATCH(A220,#REF!, 0))</f>
        <v>0</v>
      </c>
      <c r="D220" s="6" t="s">
        <v>280</v>
      </c>
      <c r="E220" t="b">
        <f>_xlfn.XLOOKUP(B220,Mapping!$C$2:$C$34,Mapping!$C$2:$C$34,FALSE)</f>
        <v>0</v>
      </c>
    </row>
    <row r="221">
      <c r="A221" s="6" t="str">
        <f t="shared" si="6"/>
        <v>75.0</v>
      </c>
      <c r="B221" s="6" t="str">
        <f t="shared" si="7"/>
        <v>Veterinary activities</v>
      </c>
      <c r="C221" s="6" t="b">
        <f>ISNUMBER(MATCH(A221,#REF!, 0))</f>
        <v>0</v>
      </c>
      <c r="D221" s="6" t="s">
        <v>281</v>
      </c>
      <c r="E221" t="b">
        <f>_xlfn.XLOOKUP(B221,Mapping!$C$2:$C$34,Mapping!$C$2:$C$34,FALSE)</f>
        <v>0</v>
      </c>
    </row>
    <row r="222">
      <c r="A222" s="6" t="str">
        <f t="shared" si="6"/>
        <v>77.1</v>
      </c>
      <c r="B222" s="6" t="str">
        <f t="shared" si="7"/>
        <v>Rental and leasing of motor vehicles</v>
      </c>
      <c r="C222" s="6" t="b">
        <f>ISNUMBER(MATCH(A222,#REF!, 0))</f>
        <v>0</v>
      </c>
      <c r="D222" s="6" t="s">
        <v>282</v>
      </c>
      <c r="E222" t="b">
        <f>_xlfn.XLOOKUP(B222,Mapping!$C$2:$C$34,Mapping!$C$2:$C$34,FALSE)</f>
        <v>0</v>
      </c>
    </row>
    <row r="223">
      <c r="A223" s="6" t="str">
        <f t="shared" si="6"/>
        <v>77.2</v>
      </c>
      <c r="B223" s="6" t="str">
        <f t="shared" si="7"/>
        <v>Rental and leasing of personal and household goods</v>
      </c>
      <c r="C223" s="6" t="b">
        <f>ISNUMBER(MATCH(A223,#REF!, 0))</f>
        <v>0</v>
      </c>
      <c r="D223" s="6" t="s">
        <v>283</v>
      </c>
      <c r="E223" t="b">
        <f>_xlfn.XLOOKUP(B223,Mapping!$C$2:$C$34,Mapping!$C$2:$C$34,FALSE)</f>
        <v>0</v>
      </c>
    </row>
    <row r="224">
      <c r="A224" s="6" t="str">
        <f t="shared" si="6"/>
        <v>77.3</v>
      </c>
      <c r="B224" s="6" t="str">
        <f t="shared" si="7"/>
        <v>Rental and leasing of other machinery, equipment and tangible goods</v>
      </c>
      <c r="C224" s="6" t="b">
        <f>ISNUMBER(MATCH(A224,#REF!, 0))</f>
        <v>0</v>
      </c>
      <c r="D224" s="6" t="s">
        <v>284</v>
      </c>
      <c r="E224" t="b">
        <f>_xlfn.XLOOKUP(B224,Mapping!$C$2:$C$34,Mapping!$C$2:$C$34,FALSE)</f>
        <v>0</v>
      </c>
    </row>
    <row r="225">
      <c r="A225" s="6" t="str">
        <f t="shared" si="6"/>
        <v>77.4</v>
      </c>
      <c r="B225" s="6" t="str">
        <f t="shared" si="7"/>
        <v>Leasing of intellectual property and similar products, except copyrighted works</v>
      </c>
      <c r="C225" s="6" t="b">
        <f>ISNUMBER(MATCH(A225,#REF!, 0))</f>
        <v>0</v>
      </c>
      <c r="D225" s="6" t="s">
        <v>285</v>
      </c>
      <c r="E225" t="b">
        <f>_xlfn.XLOOKUP(B225,Mapping!$C$2:$C$34,Mapping!$C$2:$C$34,FALSE)</f>
        <v>0</v>
      </c>
    </row>
    <row r="226">
      <c r="A226" s="6" t="str">
        <f t="shared" si="6"/>
        <v>78.1</v>
      </c>
      <c r="B226" s="6" t="str">
        <f t="shared" si="7"/>
        <v>Activities of employment placement agencies</v>
      </c>
      <c r="C226" s="6" t="b">
        <f>ISNUMBER(MATCH(A226,#REF!, 0))</f>
        <v>0</v>
      </c>
      <c r="D226" s="6" t="s">
        <v>286</v>
      </c>
      <c r="E226" t="b">
        <f>_xlfn.XLOOKUP(B226,Mapping!$C$2:$C$34,Mapping!$C$2:$C$34,FALSE)</f>
        <v>0</v>
      </c>
    </row>
    <row r="227">
      <c r="A227" s="6" t="str">
        <f t="shared" si="6"/>
        <v>78.2</v>
      </c>
      <c r="B227" s="6" t="str">
        <f t="shared" si="7"/>
        <v>Temporary employment agency activities</v>
      </c>
      <c r="C227" s="6" t="b">
        <f>ISNUMBER(MATCH(A227,#REF!, 0))</f>
        <v>0</v>
      </c>
      <c r="D227" s="6" t="s">
        <v>287</v>
      </c>
      <c r="E227" t="b">
        <f>_xlfn.XLOOKUP(B227,Mapping!$C$2:$C$34,Mapping!$C$2:$C$34,FALSE)</f>
        <v>0</v>
      </c>
    </row>
    <row r="228">
      <c r="A228" s="6" t="str">
        <f t="shared" si="6"/>
        <v>78.3</v>
      </c>
      <c r="B228" s="6" t="str">
        <f t="shared" si="7"/>
        <v>Other human resources provision</v>
      </c>
      <c r="C228" s="6" t="b">
        <f>ISNUMBER(MATCH(A228,#REF!, 0))</f>
        <v>0</v>
      </c>
      <c r="D228" s="6" t="s">
        <v>288</v>
      </c>
      <c r="E228" t="b">
        <f>_xlfn.XLOOKUP(B228,Mapping!$C$2:$C$34,Mapping!$C$2:$C$34,FALSE)</f>
        <v>0</v>
      </c>
    </row>
    <row r="229">
      <c r="A229" s="6" t="str">
        <f t="shared" si="6"/>
        <v>79.1</v>
      </c>
      <c r="B229" s="6" t="str">
        <f t="shared" si="7"/>
        <v>Travel agency and tour operator activities</v>
      </c>
      <c r="C229" s="6" t="b">
        <f>ISNUMBER(MATCH(A229,#REF!, 0))</f>
        <v>0</v>
      </c>
      <c r="D229" s="6" t="s">
        <v>289</v>
      </c>
      <c r="E229" t="b">
        <f>_xlfn.XLOOKUP(B229,Mapping!$C$2:$C$34,Mapping!$C$2:$C$34,FALSE)</f>
        <v>0</v>
      </c>
    </row>
    <row r="230">
      <c r="A230" s="6" t="str">
        <f t="shared" si="6"/>
        <v>79.9</v>
      </c>
      <c r="B230" s="6" t="str">
        <f t="shared" si="7"/>
        <v>Other reservation service and related activities</v>
      </c>
      <c r="C230" s="6" t="b">
        <f>ISNUMBER(MATCH(A230,#REF!, 0))</f>
        <v>0</v>
      </c>
      <c r="D230" s="6" t="s">
        <v>290</v>
      </c>
      <c r="E230" t="b">
        <f>_xlfn.XLOOKUP(B230,Mapping!$C$2:$C$34,Mapping!$C$2:$C$34,FALSE)</f>
        <v>0</v>
      </c>
    </row>
    <row r="231">
      <c r="A231" s="6" t="str">
        <f t="shared" si="6"/>
        <v>80.1</v>
      </c>
      <c r="B231" s="6" t="str">
        <f t="shared" si="7"/>
        <v>Private security activities</v>
      </c>
      <c r="C231" s="6" t="b">
        <f>ISNUMBER(MATCH(A231,#REF!, 0))</f>
        <v>0</v>
      </c>
      <c r="D231" s="6" t="s">
        <v>291</v>
      </c>
      <c r="E231" t="b">
        <f>_xlfn.XLOOKUP(B231,Mapping!$C$2:$C$34,Mapping!$C$2:$C$34,FALSE)</f>
        <v>0</v>
      </c>
    </row>
    <row r="232">
      <c r="A232" s="6" t="str">
        <f t="shared" si="6"/>
        <v>80.2</v>
      </c>
      <c r="B232" s="6" t="str">
        <f t="shared" si="7"/>
        <v>Security systems service activities</v>
      </c>
      <c r="C232" s="6" t="b">
        <f>ISNUMBER(MATCH(A232,#REF!, 0))</f>
        <v>0</v>
      </c>
      <c r="D232" s="6" t="s">
        <v>292</v>
      </c>
      <c r="E232" t="b">
        <f>_xlfn.XLOOKUP(B232,Mapping!$C$2:$C$34,Mapping!$C$2:$C$34,FALSE)</f>
        <v>0</v>
      </c>
    </row>
    <row r="233">
      <c r="A233" s="6" t="str">
        <f t="shared" si="6"/>
        <v>80.3</v>
      </c>
      <c r="B233" s="6" t="str">
        <f t="shared" si="7"/>
        <v>Investigation activities</v>
      </c>
      <c r="C233" s="6" t="b">
        <f>ISNUMBER(MATCH(A233,#REF!, 0))</f>
        <v>0</v>
      </c>
      <c r="D233" s="6" t="s">
        <v>293</v>
      </c>
      <c r="E233" t="b">
        <f>_xlfn.XLOOKUP(B233,Mapping!$C$2:$C$34,Mapping!$C$2:$C$34,FALSE)</f>
        <v>0</v>
      </c>
    </row>
    <row r="234">
      <c r="A234" s="6" t="str">
        <f t="shared" si="6"/>
        <v>81.1</v>
      </c>
      <c r="B234" s="6" t="str">
        <f t="shared" si="7"/>
        <v>Combined facilities support activities</v>
      </c>
      <c r="C234" s="6" t="b">
        <f>ISNUMBER(MATCH(A234,#REF!, 0))</f>
        <v>0</v>
      </c>
      <c r="D234" s="6" t="s">
        <v>294</v>
      </c>
      <c r="E234" t="b">
        <f>_xlfn.XLOOKUP(B234,Mapping!$C$2:$C$34,Mapping!$C$2:$C$34,FALSE)</f>
        <v>0</v>
      </c>
    </row>
    <row r="235">
      <c r="A235" s="6" t="str">
        <f t="shared" si="6"/>
        <v>81.2</v>
      </c>
      <c r="B235" s="6" t="str">
        <f t="shared" si="7"/>
        <v>Cleaning activities</v>
      </c>
      <c r="C235" s="6" t="b">
        <f>ISNUMBER(MATCH(A235,#REF!, 0))</f>
        <v>0</v>
      </c>
      <c r="D235" s="6" t="s">
        <v>295</v>
      </c>
      <c r="E235" t="b">
        <f>_xlfn.XLOOKUP(B235,Mapping!$C$2:$C$34,Mapping!$C$2:$C$34,FALSE)</f>
        <v>0</v>
      </c>
    </row>
    <row r="236">
      <c r="A236" s="6" t="str">
        <f t="shared" si="6"/>
        <v>81.3</v>
      </c>
      <c r="B236" s="6" t="str">
        <f t="shared" si="7"/>
        <v>Landscape service activities</v>
      </c>
      <c r="C236" s="6" t="b">
        <f>ISNUMBER(MATCH(A236,#REF!, 0))</f>
        <v>0</v>
      </c>
      <c r="D236" s="6" t="s">
        <v>296</v>
      </c>
      <c r="E236" t="b">
        <f>_xlfn.XLOOKUP(B236,Mapping!$C$2:$C$34,Mapping!$C$2:$C$34,FALSE)</f>
        <v>0</v>
      </c>
    </row>
    <row r="237">
      <c r="A237" s="6" t="str">
        <f t="shared" si="6"/>
        <v>82.1</v>
      </c>
      <c r="B237" s="6" t="str">
        <f t="shared" si="7"/>
        <v>Office administrative and support activities</v>
      </c>
      <c r="C237" s="6" t="b">
        <f>ISNUMBER(MATCH(A237,#REF!, 0))</f>
        <v>0</v>
      </c>
      <c r="D237" s="6" t="s">
        <v>297</v>
      </c>
      <c r="E237" t="b">
        <f>_xlfn.XLOOKUP(B237,Mapping!$C$2:$C$34,Mapping!$C$2:$C$34,FALSE)</f>
        <v>0</v>
      </c>
    </row>
    <row r="238">
      <c r="A238" s="6" t="str">
        <f t="shared" si="6"/>
        <v>82.2</v>
      </c>
      <c r="B238" s="6" t="str">
        <f t="shared" si="7"/>
        <v>Activities of call centres</v>
      </c>
      <c r="C238" s="6" t="b">
        <f>ISNUMBER(MATCH(A238,#REF!, 0))</f>
        <v>0</v>
      </c>
      <c r="D238" s="6" t="s">
        <v>298</v>
      </c>
      <c r="E238" t="b">
        <f>_xlfn.XLOOKUP(B238,Mapping!$C$2:$C$34,Mapping!$C$2:$C$34,FALSE)</f>
        <v>0</v>
      </c>
    </row>
    <row r="239">
      <c r="A239" s="6" t="str">
        <f t="shared" si="6"/>
        <v>82.3</v>
      </c>
      <c r="B239" s="6" t="str">
        <f t="shared" si="7"/>
        <v>Organisation of conventions and trade shows</v>
      </c>
      <c r="C239" s="6" t="b">
        <f>ISNUMBER(MATCH(A239,#REF!, 0))</f>
        <v>0</v>
      </c>
      <c r="D239" s="6" t="s">
        <v>299</v>
      </c>
      <c r="E239" t="b">
        <f>_xlfn.XLOOKUP(B239,Mapping!$C$2:$C$34,Mapping!$C$2:$C$34,FALSE)</f>
        <v>0</v>
      </c>
    </row>
    <row r="240">
      <c r="A240" s="6" t="str">
        <f t="shared" si="6"/>
        <v>82.9</v>
      </c>
      <c r="B240" s="6" t="str">
        <f t="shared" si="7"/>
        <v>Business support service activities n.e.c.</v>
      </c>
      <c r="C240" s="6" t="b">
        <f>ISNUMBER(MATCH(A240,#REF!, 0))</f>
        <v>0</v>
      </c>
      <c r="D240" s="6" t="s">
        <v>300</v>
      </c>
      <c r="E240" t="b">
        <f>_xlfn.XLOOKUP(B240,Mapping!$C$2:$C$34,Mapping!$C$2:$C$34,FALSE)</f>
        <v>0</v>
      </c>
    </row>
    <row r="241">
      <c r="A241" s="6" t="str">
        <f t="shared" si="6"/>
        <v>84.1</v>
      </c>
      <c r="B241" s="6" t="str">
        <f t="shared" si="7"/>
        <v>Administration of the State and the economic and social policy of the community</v>
      </c>
      <c r="C241" s="6" t="b">
        <f>ISNUMBER(MATCH(A241,#REF!, 0))</f>
        <v>0</v>
      </c>
      <c r="D241" s="6" t="s">
        <v>301</v>
      </c>
      <c r="E241" t="b">
        <f>_xlfn.XLOOKUP(B241,Mapping!$C$2:$C$34,Mapping!$C$2:$C$34,FALSE)</f>
        <v>0</v>
      </c>
    </row>
    <row r="242">
      <c r="A242" s="6" t="str">
        <f t="shared" si="6"/>
        <v>84.2</v>
      </c>
      <c r="B242" s="6" t="str">
        <f t="shared" si="7"/>
        <v>Provision of services to the community as a whole</v>
      </c>
      <c r="C242" s="6" t="b">
        <f>ISNUMBER(MATCH(A242,#REF!, 0))</f>
        <v>0</v>
      </c>
      <c r="D242" s="6" t="s">
        <v>302</v>
      </c>
      <c r="E242" t="b">
        <f>_xlfn.XLOOKUP(B242,Mapping!$C$2:$C$34,Mapping!$C$2:$C$34,FALSE)</f>
        <v>0</v>
      </c>
    </row>
    <row r="243">
      <c r="A243" s="6" t="str">
        <f t="shared" si="6"/>
        <v>84.3</v>
      </c>
      <c r="B243" s="6" t="str">
        <f t="shared" si="7"/>
        <v>Compulsory social security activities</v>
      </c>
      <c r="C243" s="6" t="b">
        <f>ISNUMBER(MATCH(A243,#REF!, 0))</f>
        <v>0</v>
      </c>
      <c r="D243" s="6" t="s">
        <v>303</v>
      </c>
      <c r="E243" t="b">
        <f>_xlfn.XLOOKUP(B243,Mapping!$C$2:$C$34,Mapping!$C$2:$C$34,FALSE)</f>
        <v>0</v>
      </c>
    </row>
    <row r="244">
      <c r="A244" s="6" t="str">
        <f t="shared" si="6"/>
        <v>85.1</v>
      </c>
      <c r="B244" s="6" t="str">
        <f t="shared" si="7"/>
        <v>Pre-primary education</v>
      </c>
      <c r="C244" s="6" t="b">
        <f>ISNUMBER(MATCH(A244,#REF!, 0))</f>
        <v>0</v>
      </c>
      <c r="D244" s="6" t="s">
        <v>304</v>
      </c>
      <c r="E244" t="b">
        <f>_xlfn.XLOOKUP(B244,Mapping!$C$2:$C$34,Mapping!$C$2:$C$34,FALSE)</f>
        <v>0</v>
      </c>
    </row>
    <row r="245">
      <c r="A245" s="6" t="str">
        <f t="shared" si="6"/>
        <v>85.2</v>
      </c>
      <c r="B245" s="6" t="str">
        <f t="shared" si="7"/>
        <v>Primary education</v>
      </c>
      <c r="C245" s="6" t="b">
        <f>ISNUMBER(MATCH(A245,#REF!, 0))</f>
        <v>0</v>
      </c>
      <c r="D245" s="6" t="s">
        <v>305</v>
      </c>
      <c r="E245" t="b">
        <f>_xlfn.XLOOKUP(B245,Mapping!$C$2:$C$34,Mapping!$C$2:$C$34,FALSE)</f>
        <v>0</v>
      </c>
    </row>
    <row r="246">
      <c r="A246" s="6" t="str">
        <f t="shared" si="6"/>
        <v>85.3</v>
      </c>
      <c r="B246" s="6" t="str">
        <f t="shared" si="7"/>
        <v>Secondary education</v>
      </c>
      <c r="C246" s="6" t="b">
        <f>ISNUMBER(MATCH(A246,#REF!, 0))</f>
        <v>0</v>
      </c>
      <c r="D246" s="6" t="s">
        <v>306</v>
      </c>
      <c r="E246" t="b">
        <f>_xlfn.XLOOKUP(B246,Mapping!$C$2:$C$34,Mapping!$C$2:$C$34,FALSE)</f>
        <v>0</v>
      </c>
    </row>
    <row r="247">
      <c r="A247" s="6" t="str">
        <f t="shared" si="6"/>
        <v>85.4</v>
      </c>
      <c r="B247" s="6" t="str">
        <f t="shared" si="7"/>
        <v>Higher education</v>
      </c>
      <c r="C247" s="6" t="b">
        <f>ISNUMBER(MATCH(A247,#REF!, 0))</f>
        <v>0</v>
      </c>
      <c r="D247" s="6" t="s">
        <v>307</v>
      </c>
      <c r="E247" t="b">
        <f>_xlfn.XLOOKUP(B247,Mapping!$C$2:$C$34,Mapping!$C$2:$C$34,FALSE)</f>
        <v>0</v>
      </c>
    </row>
    <row r="248">
      <c r="A248" s="6" t="str">
        <f t="shared" si="6"/>
        <v>85.5</v>
      </c>
      <c r="B248" s="6" t="str">
        <f t="shared" si="7"/>
        <v>Other education</v>
      </c>
      <c r="C248" s="6" t="b">
        <f>ISNUMBER(MATCH(A248,#REF!, 0))</f>
        <v>0</v>
      </c>
      <c r="D248" s="6" t="s">
        <v>308</v>
      </c>
      <c r="E248" t="b">
        <f>_xlfn.XLOOKUP(B248,Mapping!$C$2:$C$34,Mapping!$C$2:$C$34,FALSE)</f>
        <v>0</v>
      </c>
    </row>
    <row r="249">
      <c r="A249" s="6" t="str">
        <f t="shared" si="6"/>
        <v>85.6</v>
      </c>
      <c r="B249" s="6" t="str">
        <f t="shared" si="7"/>
        <v>Educational support activities</v>
      </c>
      <c r="C249" s="6" t="b">
        <f>ISNUMBER(MATCH(A249,#REF!, 0))</f>
        <v>0</v>
      </c>
      <c r="D249" s="6" t="s">
        <v>309</v>
      </c>
      <c r="E249" t="b">
        <f>_xlfn.XLOOKUP(B249,Mapping!$C$2:$C$34,Mapping!$C$2:$C$34,FALSE)</f>
        <v>0</v>
      </c>
    </row>
    <row r="250">
      <c r="A250" s="6" t="str">
        <f t="shared" si="6"/>
        <v>86.1</v>
      </c>
      <c r="B250" s="6" t="str">
        <f t="shared" si="7"/>
        <v>Hospital activities</v>
      </c>
      <c r="C250" s="6" t="b">
        <f>ISNUMBER(MATCH(A250,#REF!, 0))</f>
        <v>0</v>
      </c>
      <c r="D250" s="6" t="s">
        <v>310</v>
      </c>
      <c r="E250" t="b">
        <f>_xlfn.XLOOKUP(B250,Mapping!$C$2:$C$34,Mapping!$C$2:$C$34,FALSE)</f>
        <v>0</v>
      </c>
    </row>
    <row r="251">
      <c r="A251" s="6" t="str">
        <f t="shared" si="6"/>
        <v>86.2</v>
      </c>
      <c r="B251" s="6" t="str">
        <f t="shared" si="7"/>
        <v>Medical and dental practice activities</v>
      </c>
      <c r="C251" s="6" t="b">
        <f>ISNUMBER(MATCH(A251,#REF!, 0))</f>
        <v>0</v>
      </c>
      <c r="D251" s="6" t="s">
        <v>311</v>
      </c>
      <c r="E251" t="b">
        <f>_xlfn.XLOOKUP(B251,Mapping!$C$2:$C$34,Mapping!$C$2:$C$34,FALSE)</f>
        <v>0</v>
      </c>
    </row>
    <row r="252">
      <c r="A252" s="6" t="str">
        <f t="shared" si="6"/>
        <v>86.9</v>
      </c>
      <c r="B252" s="6" t="str">
        <f t="shared" si="7"/>
        <v>Other human health activities</v>
      </c>
      <c r="C252" s="6" t="b">
        <f>ISNUMBER(MATCH(A252,#REF!, 0))</f>
        <v>0</v>
      </c>
      <c r="D252" s="6" t="s">
        <v>312</v>
      </c>
      <c r="E252" t="b">
        <f>_xlfn.XLOOKUP(B252,Mapping!$C$2:$C$34,Mapping!$C$2:$C$34,FALSE)</f>
        <v>0</v>
      </c>
    </row>
    <row r="253">
      <c r="A253" s="6" t="str">
        <f t="shared" si="6"/>
        <v>87.1</v>
      </c>
      <c r="B253" s="6" t="str">
        <f t="shared" si="7"/>
        <v>Residential nursing care activities</v>
      </c>
      <c r="C253" s="6" t="b">
        <f>ISNUMBER(MATCH(A253,#REF!, 0))</f>
        <v>0</v>
      </c>
      <c r="D253" s="6" t="s">
        <v>313</v>
      </c>
      <c r="E253" t="b">
        <f>_xlfn.XLOOKUP(B253,Mapping!$C$2:$C$34,Mapping!$C$2:$C$34,FALSE)</f>
        <v>0</v>
      </c>
    </row>
    <row r="254">
      <c r="A254" s="6" t="str">
        <f t="shared" si="6"/>
        <v>87.2</v>
      </c>
      <c r="B254" s="6" t="str">
        <f t="shared" si="7"/>
        <v>Residential care activities for mental retardation, mental health and substance abuse</v>
      </c>
      <c r="C254" s="6" t="b">
        <f>ISNUMBER(MATCH(A254,#REF!, 0))</f>
        <v>0</v>
      </c>
      <c r="D254" s="6" t="s">
        <v>314</v>
      </c>
      <c r="E254" t="b">
        <f>_xlfn.XLOOKUP(B254,Mapping!$C$2:$C$34,Mapping!$C$2:$C$34,FALSE)</f>
        <v>0</v>
      </c>
    </row>
    <row r="255">
      <c r="A255" s="6" t="str">
        <f t="shared" si="6"/>
        <v>87.3</v>
      </c>
      <c r="B255" s="6" t="str">
        <f t="shared" si="7"/>
        <v>Residential care activities for the elderly and disabled</v>
      </c>
      <c r="C255" s="6" t="b">
        <f>ISNUMBER(MATCH(A255,#REF!, 0))</f>
        <v>0</v>
      </c>
      <c r="D255" s="6" t="s">
        <v>315</v>
      </c>
      <c r="E255" t="b">
        <f>_xlfn.XLOOKUP(B255,Mapping!$C$2:$C$34,Mapping!$C$2:$C$34,FALSE)</f>
        <v>0</v>
      </c>
    </row>
    <row r="256">
      <c r="A256" s="6" t="str">
        <f t="shared" si="6"/>
        <v>87.9</v>
      </c>
      <c r="B256" s="6" t="str">
        <f t="shared" si="7"/>
        <v>Other residential care activities</v>
      </c>
      <c r="C256" s="6" t="b">
        <f>ISNUMBER(MATCH(A256,#REF!, 0))</f>
        <v>0</v>
      </c>
      <c r="D256" s="6" t="s">
        <v>316</v>
      </c>
      <c r="E256" t="b">
        <f>_xlfn.XLOOKUP(B256,Mapping!$C$2:$C$34,Mapping!$C$2:$C$34,FALSE)</f>
        <v>0</v>
      </c>
    </row>
    <row r="257">
      <c r="A257" s="6" t="str">
        <f t="shared" si="6"/>
        <v>88.1</v>
      </c>
      <c r="B257" s="6" t="str">
        <f t="shared" si="7"/>
        <v>Social work activities without accommodation for the elderly and disabled</v>
      </c>
      <c r="C257" s="6" t="b">
        <f>ISNUMBER(MATCH(A257,#REF!, 0))</f>
        <v>0</v>
      </c>
      <c r="D257" s="6" t="s">
        <v>317</v>
      </c>
      <c r="E257" t="b">
        <f>_xlfn.XLOOKUP(B257,Mapping!$C$2:$C$34,Mapping!$C$2:$C$34,FALSE)</f>
        <v>0</v>
      </c>
    </row>
    <row r="258">
      <c r="A258" s="6" t="str">
        <f t="shared" ref="A258:A273" si="8">LEFT(D258,4)</f>
        <v>88.9</v>
      </c>
      <c r="B258" s="6" t="str">
        <f t="shared" si="7"/>
        <v>Other social work activities without accommodation</v>
      </c>
      <c r="C258" s="6" t="b">
        <f>ISNUMBER(MATCH(A258,#REF!, 0))</f>
        <v>0</v>
      </c>
      <c r="D258" s="6" t="s">
        <v>318</v>
      </c>
      <c r="E258" t="b">
        <f>_xlfn.XLOOKUP(B258,Mapping!$C$2:$C$34,Mapping!$C$2:$C$34,FALSE)</f>
        <v>0</v>
      </c>
    </row>
    <row r="259">
      <c r="A259" s="6" t="str">
        <f t="shared" si="8"/>
        <v>90.0</v>
      </c>
      <c r="B259" s="6" t="str">
        <f t="shared" ref="B259:B273" si="9">SUBSTITUTE(SUBSTITUTE(D259,A259&amp;" ",""),RIGHT(D259,5),"")</f>
        <v>Creative, arts and entertainment activities</v>
      </c>
      <c r="C259" s="6" t="b">
        <f>ISNUMBER(MATCH(A259,#REF!, 0))</f>
        <v>0</v>
      </c>
      <c r="D259" s="6" t="s">
        <v>319</v>
      </c>
      <c r="E259" t="b">
        <f>_xlfn.XLOOKUP(B259,Mapping!$C$2:$C$34,Mapping!$C$2:$C$34,FALSE)</f>
        <v>0</v>
      </c>
    </row>
    <row r="260">
      <c r="A260" s="6" t="str">
        <f t="shared" si="8"/>
        <v>91.0</v>
      </c>
      <c r="B260" s="6" t="str">
        <f t="shared" si="9"/>
        <v>Libraries, archives, museums and other cultural activities</v>
      </c>
      <c r="C260" s="6" t="b">
        <f>ISNUMBER(MATCH(A260,#REF!, 0))</f>
        <v>0</v>
      </c>
      <c r="D260" s="6" t="s">
        <v>320</v>
      </c>
      <c r="E260" t="b">
        <f>_xlfn.XLOOKUP(B260,Mapping!$C$2:$C$34,Mapping!$C$2:$C$34,FALSE)</f>
        <v>0</v>
      </c>
    </row>
    <row r="261">
      <c r="A261" s="6" t="str">
        <f t="shared" si="8"/>
        <v>92.0</v>
      </c>
      <c r="B261" s="6" t="str">
        <f t="shared" si="9"/>
        <v>Gambling and betting activities</v>
      </c>
      <c r="C261" s="6" t="b">
        <f>ISNUMBER(MATCH(A261,#REF!, 0))</f>
        <v>0</v>
      </c>
      <c r="D261" s="6" t="s">
        <v>321</v>
      </c>
      <c r="E261" t="b">
        <f>_xlfn.XLOOKUP(B261,Mapping!$C$2:$C$34,Mapping!$C$2:$C$34,FALSE)</f>
        <v>0</v>
      </c>
    </row>
    <row r="262">
      <c r="A262" s="6" t="str">
        <f t="shared" si="8"/>
        <v>93.1</v>
      </c>
      <c r="B262" s="6" t="str">
        <f t="shared" si="9"/>
        <v>Sports activities</v>
      </c>
      <c r="C262" s="6" t="b">
        <f>ISNUMBER(MATCH(A262,#REF!, 0))</f>
        <v>0</v>
      </c>
      <c r="D262" s="6" t="s">
        <v>322</v>
      </c>
      <c r="E262" t="b">
        <f>_xlfn.XLOOKUP(B262,Mapping!$C$2:$C$34,Mapping!$C$2:$C$34,FALSE)</f>
        <v>0</v>
      </c>
    </row>
    <row r="263">
      <c r="A263" s="6" t="str">
        <f t="shared" si="8"/>
        <v>93.2</v>
      </c>
      <c r="B263" s="6" t="str">
        <f t="shared" si="9"/>
        <v>Amusement and recreation activities</v>
      </c>
      <c r="C263" s="6" t="b">
        <f>ISNUMBER(MATCH(A263,#REF!, 0))</f>
        <v>0</v>
      </c>
      <c r="D263" s="6" t="s">
        <v>323</v>
      </c>
      <c r="E263" t="b">
        <f>_xlfn.XLOOKUP(B263,Mapping!$C$2:$C$34,Mapping!$C$2:$C$34,FALSE)</f>
        <v>0</v>
      </c>
    </row>
    <row r="264">
      <c r="A264" s="6" t="str">
        <f t="shared" si="8"/>
        <v>94.1</v>
      </c>
      <c r="B264" s="6" t="str">
        <f t="shared" si="9"/>
        <v>Activities of business, employers and professional membership organisations</v>
      </c>
      <c r="C264" s="6" t="b">
        <f>ISNUMBER(MATCH(A264,#REF!, 0))</f>
        <v>0</v>
      </c>
      <c r="D264" s="6" t="s">
        <v>324</v>
      </c>
      <c r="E264" t="b">
        <f>_xlfn.XLOOKUP(B264,Mapping!$C$2:$C$34,Mapping!$C$2:$C$34,FALSE)</f>
        <v>0</v>
      </c>
    </row>
    <row r="265">
      <c r="A265" s="6" t="str">
        <f t="shared" si="8"/>
        <v>94.2</v>
      </c>
      <c r="B265" s="6" t="str">
        <f t="shared" si="9"/>
        <v>Activities of trade unions</v>
      </c>
      <c r="C265" s="6" t="b">
        <f>ISNUMBER(MATCH(A265,#REF!, 0))</f>
        <v>0</v>
      </c>
      <c r="D265" s="6" t="s">
        <v>325</v>
      </c>
      <c r="E265" t="b">
        <f>_xlfn.XLOOKUP(B265,Mapping!$C$2:$C$34,Mapping!$C$2:$C$34,FALSE)</f>
        <v>0</v>
      </c>
    </row>
    <row r="266">
      <c r="A266" s="6" t="str">
        <f t="shared" si="8"/>
        <v>94.9</v>
      </c>
      <c r="B266" s="6" t="str">
        <f t="shared" si="9"/>
        <v>Activities of other membership organisations</v>
      </c>
      <c r="C266" s="6" t="b">
        <f>ISNUMBER(MATCH(A266,#REF!, 0))</f>
        <v>0</v>
      </c>
      <c r="D266" s="6" t="s">
        <v>326</v>
      </c>
      <c r="E266" t="b">
        <f>_xlfn.XLOOKUP(B266,Mapping!$C$2:$C$34,Mapping!$C$2:$C$34,FALSE)</f>
        <v>0</v>
      </c>
    </row>
    <row r="267">
      <c r="A267" s="6" t="str">
        <f t="shared" si="8"/>
        <v>95.1</v>
      </c>
      <c r="B267" s="6" t="str">
        <f t="shared" si="9"/>
        <v>Repair of computers and communication equipment</v>
      </c>
      <c r="C267" s="6" t="b">
        <f>ISNUMBER(MATCH(A267,#REF!, 0))</f>
        <v>0</v>
      </c>
      <c r="D267" s="6" t="s">
        <v>327</v>
      </c>
      <c r="E267" t="b">
        <f>_xlfn.XLOOKUP(B267,Mapping!$C$2:$C$34,Mapping!$C$2:$C$34,FALSE)</f>
        <v>0</v>
      </c>
    </row>
    <row r="268">
      <c r="A268" s="6" t="str">
        <f t="shared" si="8"/>
        <v>95.2</v>
      </c>
      <c r="B268" s="6" t="str">
        <f t="shared" si="9"/>
        <v>Repair of personal and household goods</v>
      </c>
      <c r="C268" s="6" t="b">
        <f>ISNUMBER(MATCH(A268,#REF!, 0))</f>
        <v>0</v>
      </c>
      <c r="D268" s="6" t="s">
        <v>328</v>
      </c>
      <c r="E268" t="b">
        <f>_xlfn.XLOOKUP(B268,Mapping!$C$2:$C$34,Mapping!$C$2:$C$34,FALSE)</f>
        <v>0</v>
      </c>
    </row>
    <row r="269">
      <c r="A269" s="6" t="str">
        <f t="shared" si="8"/>
        <v>96.0</v>
      </c>
      <c r="B269" s="6" t="str">
        <f t="shared" si="9"/>
        <v>Other personal service activities</v>
      </c>
      <c r="C269" s="6" t="b">
        <f>ISNUMBER(MATCH(A269,#REF!, 0))</f>
        <v>0</v>
      </c>
      <c r="D269" s="6" t="s">
        <v>329</v>
      </c>
      <c r="E269" t="b">
        <f>_xlfn.XLOOKUP(B269,Mapping!$C$2:$C$34,Mapping!$C$2:$C$34,FALSE)</f>
        <v>0</v>
      </c>
    </row>
    <row r="270">
      <c r="A270" s="6" t="str">
        <f t="shared" si="8"/>
        <v>97.0</v>
      </c>
      <c r="B270" s="6" t="str">
        <f t="shared" si="9"/>
        <v>Activities of households as employers of domestic personnel</v>
      </c>
      <c r="C270" s="6" t="b">
        <f>ISNUMBER(MATCH(A270,#REF!, 0))</f>
        <v>0</v>
      </c>
      <c r="D270" s="6" t="s">
        <v>330</v>
      </c>
      <c r="E270" t="b">
        <f>_xlfn.XLOOKUP(B270,Mapping!$C$2:$C$34,Mapping!$C$2:$C$34,FALSE)</f>
        <v>0</v>
      </c>
    </row>
    <row r="271">
      <c r="A271" s="6" t="str">
        <f t="shared" si="8"/>
        <v>98.1</v>
      </c>
      <c r="B271" s="6" t="str">
        <f t="shared" si="9"/>
        <v>Undifferentiated goods-producing activities of private households for own use</v>
      </c>
      <c r="C271" s="6" t="b">
        <f>ISNUMBER(MATCH(A271,#REF!, 0))</f>
        <v>0</v>
      </c>
      <c r="D271" s="6" t="s">
        <v>331</v>
      </c>
      <c r="E271" t="b">
        <f>_xlfn.XLOOKUP(B271,Mapping!$C$2:$C$34,Mapping!$C$2:$C$34,FALSE)</f>
        <v>0</v>
      </c>
    </row>
    <row r="272">
      <c r="A272" s="6" t="str">
        <f t="shared" si="8"/>
        <v>98.2</v>
      </c>
      <c r="B272" s="6" t="str">
        <f t="shared" si="9"/>
        <v>Undifferentiated service-producing activities of private households for own use</v>
      </c>
      <c r="C272" s="6" t="b">
        <f>ISNUMBER(MATCH(A272,#REF!, 0))</f>
        <v>0</v>
      </c>
      <c r="D272" s="6" t="s">
        <v>332</v>
      </c>
      <c r="E272" t="b">
        <f>_xlfn.XLOOKUP(B272,Mapping!$C$2:$C$34,Mapping!$C$2:$C$34,FALSE)</f>
        <v>0</v>
      </c>
    </row>
    <row r="273">
      <c r="A273" s="6" t="str">
        <f t="shared" si="8"/>
        <v>99.0</v>
      </c>
      <c r="B273" s="6" t="str">
        <f t="shared" si="9"/>
        <v>Activities of extraterritorial organisations and bodies</v>
      </c>
      <c r="C273" s="6" t="b">
        <f>ISNUMBER(MATCH(A273,#REF!, 0))</f>
        <v>0</v>
      </c>
      <c r="D273" s="6" t="s">
        <v>333</v>
      </c>
      <c r="E273" t="b">
        <f>_xlfn.XLOOKUP(B273,Mapping!$C$2:$C$34,Mapping!$C$2:$C$34,FALSE)</f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9.71" hidden="0" customWidth="1"/>
    <col min="3" max="3" width="115.71" hidden="0" customWidth="1"/>
    <col min="4" max="4" width="13.71" hidden="0" customWidth="1"/>
    <col min="5" max="5" width="120.71" hidden="0" customWidth="1"/>
    <col min="6" max="6" width="19.71" hidden="0" customWidth="1"/>
    <col min="7" max="7" width="29.71" hidden="0" customWidth="1"/>
    <col min="8" max="8" width="17.71" hidden="0" customWidth="1"/>
    <col min="9" max="9" width="56.71" hidden="0" customWidth="1"/>
    <col min="10" max="10" width="30.71" hidden="0" customWidth="1"/>
    <col min="11" max="11" width="166.71" hidden="0" customWidth="1"/>
    <col min="12" max="12" width="20.71" hidden="0" customWidth="1"/>
    <col min="13" max="13" width="18.71" hidden="0" customWidth="1"/>
    <col min="14" max="14" width="216.71" hidden="0" customWidth="1"/>
  </cols>
  <sheetData>
    <row r="1">
      <c r="A1" s="9" t="s">
        <v>3798</v>
      </c>
      <c r="B1" s="9" t="s">
        <v>3799</v>
      </c>
      <c r="C1" s="9" t="s">
        <v>3800</v>
      </c>
      <c r="D1" s="9" t="s">
        <v>3801</v>
      </c>
      <c r="E1" s="9" t="s">
        <v>3802</v>
      </c>
      <c r="F1" s="9" t="s">
        <v>3803</v>
      </c>
      <c r="G1" s="9" t="s">
        <v>3804</v>
      </c>
      <c r="H1" s="9" t="s">
        <v>3805</v>
      </c>
      <c r="I1" s="9" t="s">
        <v>3806</v>
      </c>
      <c r="J1" s="9" t="s">
        <v>3807</v>
      </c>
      <c r="K1" s="9" t="s">
        <v>3808</v>
      </c>
      <c r="L1" s="9" t="s">
        <v>3809</v>
      </c>
      <c r="M1" s="9" t="s">
        <v>3810</v>
      </c>
      <c r="N1" s="9" t="s">
        <v>3811</v>
      </c>
    </row>
    <row r="2">
      <c r="A2" t="n">
        <v>3</v>
      </c>
      <c r="B2" t="s">
        <v>3812</v>
      </c>
      <c r="C2" t="s">
        <v>3813</v>
      </c>
      <c r="D2" t="s">
        <v>3812</v>
      </c>
      <c r="E2" t="s">
        <v>3813</v>
      </c>
      <c r="F2" t="n">
        <v>1</v>
      </c>
      <c r="G2" t="s">
        <v>3814</v>
      </c>
      <c r="H2" t="s">
        <v>3815</v>
      </c>
      <c r="I2" t="s">
        <v>3816</v>
      </c>
      <c r="J2" t="s">
        <v>3817</v>
      </c>
      <c r="K2" t="s">
        <v>3818</v>
      </c>
      <c r="L2" t="n">
        <v>1</v>
      </c>
      <c r="M2" t="s">
        <v>3819</v>
      </c>
      <c r="N2" t="s">
        <v>3820</v>
      </c>
    </row>
    <row r="3">
      <c r="A3" t="n">
        <v>3</v>
      </c>
      <c r="B3" t="s">
        <v>3812</v>
      </c>
      <c r="C3" t="s">
        <v>3813</v>
      </c>
      <c r="D3" t="s">
        <v>3812</v>
      </c>
      <c r="E3" t="s">
        <v>3813</v>
      </c>
      <c r="F3" t="n">
        <v>1</v>
      </c>
      <c r="G3" t="s">
        <v>3814</v>
      </c>
      <c r="H3" t="s">
        <v>3821</v>
      </c>
      <c r="I3" t="s">
        <v>3822</v>
      </c>
      <c r="J3" t="s">
        <v>3817</v>
      </c>
      <c r="K3" t="s">
        <v>3818</v>
      </c>
      <c r="L3" t="n">
        <v>1</v>
      </c>
      <c r="M3" t="s">
        <v>3819</v>
      </c>
      <c r="N3" t="s">
        <v>3820</v>
      </c>
    </row>
    <row r="4">
      <c r="A4" t="n">
        <v>3</v>
      </c>
      <c r="B4" t="s">
        <v>3823</v>
      </c>
      <c r="C4" t="s">
        <v>3824</v>
      </c>
      <c r="D4" t="s">
        <v>3823</v>
      </c>
      <c r="E4" t="s">
        <v>3824</v>
      </c>
      <c r="F4" t="n">
        <v>1</v>
      </c>
      <c r="G4" t="s">
        <v>3825</v>
      </c>
      <c r="H4" t="s">
        <v>3826</v>
      </c>
      <c r="I4" t="s">
        <v>3827</v>
      </c>
      <c r="J4" t="s">
        <v>3826</v>
      </c>
      <c r="K4" t="s">
        <v>3827</v>
      </c>
      <c r="L4" t="n">
        <v>1</v>
      </c>
      <c r="M4" t="s">
        <v>3828</v>
      </c>
      <c r="N4" t="s">
        <v>3829</v>
      </c>
    </row>
    <row r="5">
      <c r="A5" t="n">
        <v>3</v>
      </c>
      <c r="B5" t="s">
        <v>3830</v>
      </c>
      <c r="C5" t="s">
        <v>3831</v>
      </c>
      <c r="D5" t="s">
        <v>3830</v>
      </c>
      <c r="E5" t="s">
        <v>3831</v>
      </c>
      <c r="F5" t="n">
        <v>1</v>
      </c>
      <c r="G5" t="s">
        <v>3825</v>
      </c>
      <c r="H5" t="s">
        <v>3832</v>
      </c>
      <c r="I5" t="s">
        <v>3833</v>
      </c>
      <c r="J5" t="s">
        <v>3832</v>
      </c>
      <c r="K5" t="s">
        <v>3833</v>
      </c>
      <c r="L5" t="n">
        <v>1</v>
      </c>
      <c r="M5" t="s">
        <v>3828</v>
      </c>
      <c r="N5" t="s">
        <v>3829</v>
      </c>
    </row>
    <row r="6">
      <c r="A6" t="n">
        <v>3</v>
      </c>
      <c r="B6" t="s">
        <v>3834</v>
      </c>
      <c r="C6" t="s">
        <v>3835</v>
      </c>
      <c r="D6" t="s">
        <v>3834</v>
      </c>
      <c r="E6" t="s">
        <v>3835</v>
      </c>
      <c r="F6" t="n">
        <v>1</v>
      </c>
      <c r="G6" t="s">
        <v>3814</v>
      </c>
      <c r="H6" t="s">
        <v>3836</v>
      </c>
      <c r="I6" t="s">
        <v>3837</v>
      </c>
      <c r="J6" t="s">
        <v>3838</v>
      </c>
      <c r="K6" t="s">
        <v>3839</v>
      </c>
      <c r="L6" t="n">
        <v>1</v>
      </c>
      <c r="M6" t="s">
        <v>3819</v>
      </c>
      <c r="N6" t="s">
        <v>3820</v>
      </c>
    </row>
    <row r="7">
      <c r="A7" t="n">
        <v>3</v>
      </c>
      <c r="B7" t="s">
        <v>3834</v>
      </c>
      <c r="C7" t="s">
        <v>3835</v>
      </c>
      <c r="D7" t="s">
        <v>3834</v>
      </c>
      <c r="E7" t="s">
        <v>3835</v>
      </c>
      <c r="F7" t="n">
        <v>1</v>
      </c>
      <c r="G7" t="s">
        <v>3814</v>
      </c>
      <c r="H7" t="s">
        <v>3840</v>
      </c>
      <c r="I7" t="s">
        <v>3841</v>
      </c>
      <c r="J7" t="s">
        <v>3838</v>
      </c>
      <c r="K7" t="s">
        <v>3839</v>
      </c>
      <c r="L7" t="n">
        <v>1</v>
      </c>
      <c r="M7" t="s">
        <v>3819</v>
      </c>
      <c r="N7" t="s">
        <v>3820</v>
      </c>
    </row>
    <row r="8">
      <c r="A8" t="n">
        <v>3</v>
      </c>
      <c r="B8" t="s">
        <v>3834</v>
      </c>
      <c r="C8" t="s">
        <v>3835</v>
      </c>
      <c r="D8" t="s">
        <v>3834</v>
      </c>
      <c r="E8" t="s">
        <v>3835</v>
      </c>
      <c r="F8" t="n">
        <v>1</v>
      </c>
      <c r="G8" t="s">
        <v>3814</v>
      </c>
      <c r="H8" t="s">
        <v>3842</v>
      </c>
      <c r="I8" t="s">
        <v>3843</v>
      </c>
      <c r="J8" t="s">
        <v>3838</v>
      </c>
      <c r="K8" t="s">
        <v>3839</v>
      </c>
      <c r="L8" t="n">
        <v>1</v>
      </c>
      <c r="M8" t="s">
        <v>3819</v>
      </c>
      <c r="N8" t="s">
        <v>3820</v>
      </c>
    </row>
    <row r="9">
      <c r="A9" t="n">
        <v>3</v>
      </c>
      <c r="B9" t="s">
        <v>3834</v>
      </c>
      <c r="C9" t="s">
        <v>3835</v>
      </c>
      <c r="D9" t="s">
        <v>3834</v>
      </c>
      <c r="E9" t="s">
        <v>3835</v>
      </c>
      <c r="F9" t="n">
        <v>1</v>
      </c>
      <c r="G9" t="s">
        <v>3814</v>
      </c>
      <c r="H9" t="s">
        <v>3844</v>
      </c>
      <c r="I9" t="s">
        <v>3845</v>
      </c>
      <c r="J9" t="s">
        <v>3838</v>
      </c>
      <c r="K9" t="s">
        <v>3839</v>
      </c>
      <c r="L9" t="n">
        <v>1</v>
      </c>
      <c r="M9" t="s">
        <v>3819</v>
      </c>
      <c r="N9" t="s">
        <v>3820</v>
      </c>
    </row>
    <row r="10">
      <c r="A10" t="n">
        <v>3</v>
      </c>
      <c r="B10" t="s">
        <v>3834</v>
      </c>
      <c r="C10" t="s">
        <v>3835</v>
      </c>
      <c r="D10" t="s">
        <v>3834</v>
      </c>
      <c r="E10" t="s">
        <v>3835</v>
      </c>
      <c r="F10" t="n">
        <v>1</v>
      </c>
      <c r="G10" t="s">
        <v>3814</v>
      </c>
      <c r="H10" t="s">
        <v>3846</v>
      </c>
      <c r="I10" t="s">
        <v>3847</v>
      </c>
      <c r="J10" t="s">
        <v>3838</v>
      </c>
      <c r="K10" t="s">
        <v>3839</v>
      </c>
      <c r="L10" t="n">
        <v>1</v>
      </c>
      <c r="M10" t="s">
        <v>3819</v>
      </c>
      <c r="N10" t="s">
        <v>3820</v>
      </c>
    </row>
    <row r="11">
      <c r="A11" t="n">
        <v>3</v>
      </c>
      <c r="B11" t="s">
        <v>3834</v>
      </c>
      <c r="C11" t="s">
        <v>3835</v>
      </c>
      <c r="D11" t="s">
        <v>3834</v>
      </c>
      <c r="E11" t="s">
        <v>3835</v>
      </c>
      <c r="F11" t="n">
        <v>1</v>
      </c>
      <c r="G11" t="s">
        <v>3814</v>
      </c>
      <c r="H11" t="s">
        <v>3848</v>
      </c>
      <c r="I11" t="s">
        <v>3849</v>
      </c>
      <c r="J11" t="s">
        <v>3838</v>
      </c>
      <c r="K11" t="s">
        <v>3839</v>
      </c>
      <c r="L11" t="n">
        <v>1</v>
      </c>
      <c r="M11" t="s">
        <v>3819</v>
      </c>
      <c r="N11" t="s">
        <v>3820</v>
      </c>
    </row>
    <row r="12">
      <c r="A12" t="n">
        <v>3</v>
      </c>
      <c r="B12" t="s">
        <v>3834</v>
      </c>
      <c r="C12" t="s">
        <v>3835</v>
      </c>
      <c r="D12" t="s">
        <v>3834</v>
      </c>
      <c r="E12" t="s">
        <v>3835</v>
      </c>
      <c r="F12" t="n">
        <v>1</v>
      </c>
      <c r="G12" t="s">
        <v>3814</v>
      </c>
      <c r="H12" t="s">
        <v>3850</v>
      </c>
      <c r="I12" t="s">
        <v>3851</v>
      </c>
      <c r="J12" t="s">
        <v>3838</v>
      </c>
      <c r="K12" t="s">
        <v>3839</v>
      </c>
      <c r="L12" t="n">
        <v>1</v>
      </c>
      <c r="M12" t="s">
        <v>3819</v>
      </c>
      <c r="N12" t="s">
        <v>3820</v>
      </c>
    </row>
    <row r="13">
      <c r="A13" t="n">
        <v>3</v>
      </c>
      <c r="B13" t="s">
        <v>3834</v>
      </c>
      <c r="C13" t="s">
        <v>3835</v>
      </c>
      <c r="D13" t="s">
        <v>3834</v>
      </c>
      <c r="E13" t="s">
        <v>3835</v>
      </c>
      <c r="F13" t="n">
        <v>1</v>
      </c>
      <c r="G13" t="s">
        <v>3814</v>
      </c>
      <c r="H13" t="s">
        <v>3852</v>
      </c>
      <c r="I13" t="s">
        <v>3853</v>
      </c>
      <c r="J13" t="s">
        <v>3838</v>
      </c>
      <c r="K13" t="s">
        <v>3839</v>
      </c>
      <c r="L13" t="n">
        <v>1</v>
      </c>
      <c r="M13" t="s">
        <v>3819</v>
      </c>
      <c r="N13" t="s">
        <v>3820</v>
      </c>
    </row>
    <row r="14">
      <c r="A14" t="n">
        <v>3</v>
      </c>
      <c r="B14" t="s">
        <v>3854</v>
      </c>
      <c r="C14" t="s">
        <v>3855</v>
      </c>
      <c r="D14" t="s">
        <v>3854</v>
      </c>
      <c r="E14" t="s">
        <v>3855</v>
      </c>
      <c r="F14" t="n">
        <v>1</v>
      </c>
      <c r="G14" t="s">
        <v>3825</v>
      </c>
      <c r="H14" t="s">
        <v>3856</v>
      </c>
      <c r="I14" t="s">
        <v>3857</v>
      </c>
      <c r="J14" t="s">
        <v>3856</v>
      </c>
      <c r="K14" t="s">
        <v>3857</v>
      </c>
      <c r="L14" t="n">
        <v>1</v>
      </c>
      <c r="M14" t="s">
        <v>3858</v>
      </c>
      <c r="N14" t="s">
        <v>3829</v>
      </c>
    </row>
    <row r="15">
      <c r="A15" t="n">
        <v>3</v>
      </c>
      <c r="B15" t="s">
        <v>3859</v>
      </c>
      <c r="C15" t="s">
        <v>3860</v>
      </c>
      <c r="D15" t="s">
        <v>3861</v>
      </c>
      <c r="E15" t="s">
        <v>3862</v>
      </c>
      <c r="F15" t="n">
        <v>1</v>
      </c>
      <c r="G15" t="s">
        <v>3863</v>
      </c>
      <c r="H15" t="s">
        <v>3864</v>
      </c>
      <c r="I15" t="s">
        <v>3865</v>
      </c>
      <c r="J15" t="s">
        <v>3864</v>
      </c>
      <c r="K15" t="s">
        <v>3865</v>
      </c>
      <c r="L15" t="n">
        <v>1</v>
      </c>
      <c r="M15" t="s">
        <v>3858</v>
      </c>
      <c r="N15" t="s">
        <v>3866</v>
      </c>
    </row>
    <row r="16">
      <c r="A16" t="n">
        <v>3</v>
      </c>
      <c r="B16" t="s">
        <v>3867</v>
      </c>
      <c r="C16" t="s">
        <v>3868</v>
      </c>
      <c r="D16" t="s">
        <v>3861</v>
      </c>
      <c r="E16" t="s">
        <v>3862</v>
      </c>
      <c r="F16" t="n">
        <v>1</v>
      </c>
      <c r="G16" t="s">
        <v>3863</v>
      </c>
      <c r="H16" t="s">
        <v>3864</v>
      </c>
      <c r="I16" t="s">
        <v>3865</v>
      </c>
      <c r="J16" t="s">
        <v>3864</v>
      </c>
      <c r="K16" t="s">
        <v>3865</v>
      </c>
      <c r="L16" t="n">
        <v>1</v>
      </c>
      <c r="M16" t="s">
        <v>3858</v>
      </c>
      <c r="N16" t="s">
        <v>3866</v>
      </c>
    </row>
    <row r="17">
      <c r="A17" t="n">
        <v>3</v>
      </c>
      <c r="B17" t="s">
        <v>3869</v>
      </c>
      <c r="C17" t="s">
        <v>3870</v>
      </c>
      <c r="D17" t="s">
        <v>3861</v>
      </c>
      <c r="E17" t="s">
        <v>3862</v>
      </c>
      <c r="F17" t="n">
        <v>1</v>
      </c>
      <c r="G17" t="s">
        <v>3863</v>
      </c>
      <c r="H17" t="s">
        <v>3864</v>
      </c>
      <c r="I17" t="s">
        <v>3865</v>
      </c>
      <c r="J17" t="s">
        <v>3864</v>
      </c>
      <c r="K17" t="s">
        <v>3865</v>
      </c>
      <c r="L17" t="n">
        <v>1</v>
      </c>
      <c r="M17" t="s">
        <v>3858</v>
      </c>
      <c r="N17" t="s">
        <v>3866</v>
      </c>
    </row>
    <row r="18">
      <c r="A18" t="n">
        <v>3</v>
      </c>
      <c r="B18" t="s">
        <v>3871</v>
      </c>
      <c r="C18" t="s">
        <v>3872</v>
      </c>
      <c r="D18" t="s">
        <v>3871</v>
      </c>
      <c r="E18" t="s">
        <v>3872</v>
      </c>
      <c r="F18" t="n">
        <v>1</v>
      </c>
      <c r="G18" t="s">
        <v>3814</v>
      </c>
      <c r="H18" t="s">
        <v>3873</v>
      </c>
      <c r="I18" t="s">
        <v>3874</v>
      </c>
      <c r="J18" t="s">
        <v>3875</v>
      </c>
      <c r="K18" t="s">
        <v>3876</v>
      </c>
      <c r="L18" t="n">
        <v>1</v>
      </c>
      <c r="M18" t="s">
        <v>3819</v>
      </c>
      <c r="N18" t="s">
        <v>3820</v>
      </c>
    </row>
    <row r="19">
      <c r="A19" t="n">
        <v>3</v>
      </c>
      <c r="B19" t="s">
        <v>3871</v>
      </c>
      <c r="C19" t="s">
        <v>3872</v>
      </c>
      <c r="D19" t="s">
        <v>3871</v>
      </c>
      <c r="E19" t="s">
        <v>3872</v>
      </c>
      <c r="F19" t="n">
        <v>1</v>
      </c>
      <c r="G19" t="s">
        <v>3814</v>
      </c>
      <c r="H19" t="s">
        <v>3877</v>
      </c>
      <c r="I19" t="s">
        <v>3878</v>
      </c>
      <c r="J19" t="s">
        <v>3875</v>
      </c>
      <c r="K19" t="s">
        <v>3876</v>
      </c>
      <c r="L19" t="n">
        <v>1</v>
      </c>
      <c r="M19" t="s">
        <v>3819</v>
      </c>
      <c r="N19" t="s">
        <v>3820</v>
      </c>
    </row>
    <row r="20">
      <c r="A20" t="n">
        <v>3</v>
      </c>
      <c r="B20" t="s">
        <v>3879</v>
      </c>
      <c r="C20" t="s">
        <v>3880</v>
      </c>
      <c r="D20" t="s">
        <v>3879</v>
      </c>
      <c r="E20" t="s">
        <v>3880</v>
      </c>
      <c r="F20" t="n">
        <v>1</v>
      </c>
      <c r="G20" t="s">
        <v>3825</v>
      </c>
      <c r="H20" t="s">
        <v>3881</v>
      </c>
      <c r="I20" t="s">
        <v>3882</v>
      </c>
      <c r="J20" t="s">
        <v>3881</v>
      </c>
      <c r="K20" t="s">
        <v>3882</v>
      </c>
      <c r="L20" t="n">
        <v>1</v>
      </c>
      <c r="M20" t="s">
        <v>3883</v>
      </c>
      <c r="N20" t="s">
        <v>3829</v>
      </c>
    </row>
    <row r="21">
      <c r="A21" t="n">
        <v>3</v>
      </c>
      <c r="B21" t="s">
        <v>3884</v>
      </c>
      <c r="C21" t="s">
        <v>3885</v>
      </c>
      <c r="D21" t="s">
        <v>3884</v>
      </c>
      <c r="E21" t="s">
        <v>3885</v>
      </c>
      <c r="F21" t="n">
        <v>1</v>
      </c>
      <c r="G21" t="s">
        <v>3825</v>
      </c>
      <c r="H21" t="s">
        <v>3886</v>
      </c>
      <c r="I21" t="s">
        <v>3887</v>
      </c>
      <c r="J21" t="s">
        <v>3886</v>
      </c>
      <c r="K21" t="s">
        <v>3887</v>
      </c>
      <c r="L21" t="n">
        <v>1</v>
      </c>
      <c r="M21" t="s">
        <v>3883</v>
      </c>
      <c r="N21" t="s">
        <v>3829</v>
      </c>
    </row>
    <row r="22">
      <c r="A22" t="n">
        <v>3</v>
      </c>
      <c r="B22" t="s">
        <v>3888</v>
      </c>
      <c r="C22" t="s">
        <v>3889</v>
      </c>
      <c r="D22" t="s">
        <v>3888</v>
      </c>
      <c r="E22" t="s">
        <v>3889</v>
      </c>
      <c r="F22" t="n">
        <v>1</v>
      </c>
      <c r="G22" t="s">
        <v>3814</v>
      </c>
      <c r="H22" t="s">
        <v>3890</v>
      </c>
      <c r="I22" t="s">
        <v>3891</v>
      </c>
      <c r="J22" t="s">
        <v>3892</v>
      </c>
      <c r="K22" t="s">
        <v>3893</v>
      </c>
      <c r="L22" t="n">
        <v>1</v>
      </c>
      <c r="M22" t="s">
        <v>3858</v>
      </c>
      <c r="N22" t="s">
        <v>3820</v>
      </c>
    </row>
    <row r="23">
      <c r="A23" t="n">
        <v>3</v>
      </c>
      <c r="B23" t="s">
        <v>3888</v>
      </c>
      <c r="C23" t="s">
        <v>3889</v>
      </c>
      <c r="D23" t="s">
        <v>3888</v>
      </c>
      <c r="E23" t="s">
        <v>3889</v>
      </c>
      <c r="F23" t="n">
        <v>1</v>
      </c>
      <c r="G23" t="s">
        <v>3814</v>
      </c>
      <c r="H23" t="s">
        <v>3894</v>
      </c>
      <c r="I23" t="s">
        <v>3895</v>
      </c>
      <c r="J23" t="s">
        <v>3892</v>
      </c>
      <c r="K23" t="s">
        <v>3893</v>
      </c>
      <c r="L23" t="n">
        <v>1</v>
      </c>
      <c r="M23" t="s">
        <v>3858</v>
      </c>
      <c r="N23" t="s">
        <v>3820</v>
      </c>
    </row>
    <row r="24">
      <c r="A24" t="n">
        <v>3</v>
      </c>
      <c r="B24" t="s">
        <v>3896</v>
      </c>
      <c r="C24" t="s">
        <v>3897</v>
      </c>
      <c r="D24" t="s">
        <v>3898</v>
      </c>
      <c r="E24" t="s">
        <v>3899</v>
      </c>
      <c r="F24" t="n">
        <v>1</v>
      </c>
      <c r="G24" t="s">
        <v>3863</v>
      </c>
      <c r="H24" t="s">
        <v>3900</v>
      </c>
      <c r="I24" t="s">
        <v>3901</v>
      </c>
      <c r="J24" t="s">
        <v>3900</v>
      </c>
      <c r="K24" t="s">
        <v>3901</v>
      </c>
      <c r="L24" t="n">
        <v>1</v>
      </c>
      <c r="M24" t="s">
        <v>3858</v>
      </c>
      <c r="N24" t="s">
        <v>3902</v>
      </c>
    </row>
    <row r="25">
      <c r="A25" t="n">
        <v>3</v>
      </c>
      <c r="B25" t="s">
        <v>3903</v>
      </c>
      <c r="C25" t="s">
        <v>3904</v>
      </c>
      <c r="D25" t="s">
        <v>3898</v>
      </c>
      <c r="E25" t="s">
        <v>3899</v>
      </c>
      <c r="F25" t="n">
        <v>1</v>
      </c>
      <c r="G25" t="s">
        <v>3863</v>
      </c>
      <c r="H25" t="s">
        <v>3900</v>
      </c>
      <c r="I25" t="s">
        <v>3901</v>
      </c>
      <c r="J25" t="s">
        <v>3900</v>
      </c>
      <c r="K25" t="s">
        <v>3901</v>
      </c>
      <c r="L25" t="n">
        <v>1</v>
      </c>
      <c r="M25" t="s">
        <v>3858</v>
      </c>
      <c r="N25" t="s">
        <v>3902</v>
      </c>
    </row>
    <row r="26">
      <c r="A26" t="n">
        <v>3</v>
      </c>
      <c r="B26" t="s">
        <v>3905</v>
      </c>
      <c r="C26" t="s">
        <v>3906</v>
      </c>
      <c r="D26" t="s">
        <v>3905</v>
      </c>
      <c r="E26" t="s">
        <v>3906</v>
      </c>
      <c r="F26" t="n">
        <v>1</v>
      </c>
      <c r="G26" t="s">
        <v>3814</v>
      </c>
      <c r="H26" t="s">
        <v>3907</v>
      </c>
      <c r="I26" t="s">
        <v>3908</v>
      </c>
      <c r="J26" t="s">
        <v>3909</v>
      </c>
      <c r="K26" t="s">
        <v>3910</v>
      </c>
      <c r="L26" t="n">
        <v>1</v>
      </c>
      <c r="M26" t="s">
        <v>3819</v>
      </c>
      <c r="N26" t="s">
        <v>3911</v>
      </c>
    </row>
    <row r="27">
      <c r="A27" t="n">
        <v>3</v>
      </c>
      <c r="B27" t="s">
        <v>3905</v>
      </c>
      <c r="C27" t="s">
        <v>3906</v>
      </c>
      <c r="D27" t="s">
        <v>3905</v>
      </c>
      <c r="E27" t="s">
        <v>3906</v>
      </c>
      <c r="F27" t="n">
        <v>1</v>
      </c>
      <c r="G27" t="s">
        <v>3814</v>
      </c>
      <c r="H27" t="s">
        <v>3912</v>
      </c>
      <c r="I27" t="s">
        <v>3913</v>
      </c>
      <c r="J27" t="s">
        <v>3909</v>
      </c>
      <c r="K27" t="s">
        <v>3910</v>
      </c>
      <c r="L27" t="n">
        <v>1</v>
      </c>
      <c r="M27" t="s">
        <v>3819</v>
      </c>
      <c r="N27" t="s">
        <v>3820</v>
      </c>
    </row>
    <row r="28">
      <c r="A28" t="n">
        <v>3</v>
      </c>
      <c r="B28" t="s">
        <v>3905</v>
      </c>
      <c r="C28" t="s">
        <v>3906</v>
      </c>
      <c r="D28" t="s">
        <v>3905</v>
      </c>
      <c r="E28" t="s">
        <v>3906</v>
      </c>
      <c r="F28" t="n">
        <v>1</v>
      </c>
      <c r="G28" t="s">
        <v>3814</v>
      </c>
      <c r="H28" t="s">
        <v>3914</v>
      </c>
      <c r="I28" t="s">
        <v>3915</v>
      </c>
      <c r="J28" t="s">
        <v>3909</v>
      </c>
      <c r="K28" t="s">
        <v>3910</v>
      </c>
      <c r="L28" t="n">
        <v>1</v>
      </c>
      <c r="M28" t="s">
        <v>3819</v>
      </c>
      <c r="N28" t="s">
        <v>3820</v>
      </c>
    </row>
    <row r="29">
      <c r="A29" t="n">
        <v>2</v>
      </c>
      <c r="B29" t="s">
        <v>3815</v>
      </c>
      <c r="C29" t="s">
        <v>3916</v>
      </c>
      <c r="D29" t="s">
        <v>3815</v>
      </c>
      <c r="E29" t="s">
        <v>3916</v>
      </c>
      <c r="F29" t="n">
        <v>1</v>
      </c>
      <c r="G29" t="s">
        <v>3825</v>
      </c>
      <c r="H29" t="s">
        <v>3917</v>
      </c>
      <c r="I29" t="s">
        <v>3918</v>
      </c>
      <c r="J29" t="s">
        <v>3917</v>
      </c>
      <c r="K29" t="s">
        <v>3918</v>
      </c>
      <c r="L29" t="n">
        <v>1</v>
      </c>
      <c r="M29" t="s">
        <v>3883</v>
      </c>
      <c r="N29" t="s">
        <v>3829</v>
      </c>
    </row>
    <row r="30">
      <c r="A30" t="n">
        <v>2</v>
      </c>
      <c r="B30" t="s">
        <v>3842</v>
      </c>
      <c r="C30" t="s">
        <v>3919</v>
      </c>
      <c r="D30" t="s">
        <v>3842</v>
      </c>
      <c r="E30" t="s">
        <v>3919</v>
      </c>
      <c r="F30" t="n">
        <v>1</v>
      </c>
      <c r="G30" t="s">
        <v>3825</v>
      </c>
      <c r="H30" t="s">
        <v>3920</v>
      </c>
      <c r="I30" t="s">
        <v>3921</v>
      </c>
      <c r="J30" t="s">
        <v>3920</v>
      </c>
      <c r="K30" t="s">
        <v>3921</v>
      </c>
      <c r="L30" t="n">
        <v>1</v>
      </c>
      <c r="M30" t="s">
        <v>3883</v>
      </c>
      <c r="N30" t="s">
        <v>3829</v>
      </c>
    </row>
    <row r="31">
      <c r="A31" t="n">
        <v>3</v>
      </c>
      <c r="B31" t="s">
        <v>3922</v>
      </c>
      <c r="C31" t="s">
        <v>3923</v>
      </c>
      <c r="D31" t="s">
        <v>3924</v>
      </c>
      <c r="E31" t="s">
        <v>3925</v>
      </c>
      <c r="F31" t="n">
        <v>1</v>
      </c>
      <c r="G31" t="s">
        <v>3863</v>
      </c>
      <c r="H31" t="s">
        <v>3926</v>
      </c>
      <c r="I31" t="s">
        <v>3927</v>
      </c>
      <c r="J31" t="s">
        <v>3926</v>
      </c>
      <c r="K31" t="s">
        <v>3927</v>
      </c>
      <c r="L31" t="n">
        <v>1</v>
      </c>
      <c r="M31" t="s">
        <v>3858</v>
      </c>
      <c r="N31" t="s">
        <v>3866</v>
      </c>
    </row>
    <row r="32">
      <c r="A32" t="n">
        <v>3</v>
      </c>
      <c r="B32" t="s">
        <v>3928</v>
      </c>
      <c r="C32" t="s">
        <v>3929</v>
      </c>
      <c r="D32" t="s">
        <v>3924</v>
      </c>
      <c r="E32" t="s">
        <v>3925</v>
      </c>
      <c r="F32" t="n">
        <v>1</v>
      </c>
      <c r="G32" t="s">
        <v>3863</v>
      </c>
      <c r="H32" t="s">
        <v>3926</v>
      </c>
      <c r="I32" t="s">
        <v>3927</v>
      </c>
      <c r="J32" t="s">
        <v>3926</v>
      </c>
      <c r="K32" t="s">
        <v>3927</v>
      </c>
      <c r="L32" t="n">
        <v>1</v>
      </c>
      <c r="M32" t="s">
        <v>3858</v>
      </c>
      <c r="N32" t="s">
        <v>3866</v>
      </c>
    </row>
    <row r="33">
      <c r="A33" t="n">
        <v>3</v>
      </c>
      <c r="B33" t="s">
        <v>3930</v>
      </c>
      <c r="C33" t="s">
        <v>3931</v>
      </c>
      <c r="D33" t="s">
        <v>3932</v>
      </c>
      <c r="E33" t="s">
        <v>3933</v>
      </c>
      <c r="F33" t="n">
        <v>1</v>
      </c>
      <c r="G33" t="s">
        <v>3863</v>
      </c>
      <c r="H33" t="s">
        <v>3934</v>
      </c>
      <c r="I33" t="s">
        <v>3935</v>
      </c>
      <c r="J33" t="s">
        <v>3934</v>
      </c>
      <c r="K33" t="s">
        <v>3935</v>
      </c>
      <c r="L33" t="n">
        <v>1</v>
      </c>
      <c r="M33" t="s">
        <v>3858</v>
      </c>
      <c r="N33" t="s">
        <v>3866</v>
      </c>
    </row>
    <row r="34">
      <c r="A34" t="n">
        <v>3</v>
      </c>
      <c r="B34" t="s">
        <v>3936</v>
      </c>
      <c r="C34" t="s">
        <v>3937</v>
      </c>
      <c r="D34" t="s">
        <v>3932</v>
      </c>
      <c r="E34" t="s">
        <v>3933</v>
      </c>
      <c r="F34" t="n">
        <v>1</v>
      </c>
      <c r="G34" t="s">
        <v>3863</v>
      </c>
      <c r="H34" t="s">
        <v>3934</v>
      </c>
      <c r="I34" t="s">
        <v>3935</v>
      </c>
      <c r="J34" t="s">
        <v>3934</v>
      </c>
      <c r="K34" t="s">
        <v>3935</v>
      </c>
      <c r="L34" t="n">
        <v>1</v>
      </c>
      <c r="M34" t="s">
        <v>3858</v>
      </c>
      <c r="N34" t="s">
        <v>3866</v>
      </c>
    </row>
    <row r="35">
      <c r="A35" t="n">
        <v>2</v>
      </c>
      <c r="B35" t="s">
        <v>3938</v>
      </c>
      <c r="C35" t="s">
        <v>3939</v>
      </c>
      <c r="D35" t="s">
        <v>3938</v>
      </c>
      <c r="E35" t="s">
        <v>3939</v>
      </c>
      <c r="F35" t="n">
        <v>0</v>
      </c>
      <c r="G35" t="s">
        <v>3940</v>
      </c>
      <c r="H35"/>
      <c r="I35"/>
      <c r="J35"/>
      <c r="K35"/>
      <c r="L35" t="n">
        <v>1</v>
      </c>
      <c r="M35" t="s">
        <v>3941</v>
      </c>
      <c r="N35" t="s">
        <v>3942</v>
      </c>
    </row>
    <row r="36">
      <c r="A36" t="n">
        <v>2</v>
      </c>
      <c r="B36" t="s">
        <v>3943</v>
      </c>
      <c r="C36" t="s">
        <v>3944</v>
      </c>
      <c r="D36" t="s">
        <v>3943</v>
      </c>
      <c r="E36" t="s">
        <v>3944</v>
      </c>
      <c r="F36" t="n">
        <v>0</v>
      </c>
      <c r="G36" t="s">
        <v>3940</v>
      </c>
      <c r="H36"/>
      <c r="I36"/>
      <c r="J36"/>
      <c r="K36"/>
      <c r="L36" t="n">
        <v>1</v>
      </c>
      <c r="M36" t="s">
        <v>3941</v>
      </c>
      <c r="N36" t="s">
        <v>3942</v>
      </c>
    </row>
    <row r="37">
      <c r="A37" t="n">
        <v>2</v>
      </c>
      <c r="B37" t="s">
        <v>3945</v>
      </c>
      <c r="C37" t="s">
        <v>3946</v>
      </c>
      <c r="D37" t="s">
        <v>3945</v>
      </c>
      <c r="E37" t="s">
        <v>3946</v>
      </c>
      <c r="F37" t="n">
        <v>0</v>
      </c>
      <c r="G37" t="s">
        <v>3940</v>
      </c>
      <c r="H37"/>
      <c r="I37"/>
      <c r="J37"/>
      <c r="K37"/>
      <c r="L37" t="n">
        <v>1</v>
      </c>
      <c r="M37" t="s">
        <v>3941</v>
      </c>
      <c r="N37" t="s">
        <v>3942</v>
      </c>
    </row>
    <row r="38">
      <c r="A38" t="n">
        <v>2</v>
      </c>
      <c r="B38" t="s">
        <v>3947</v>
      </c>
      <c r="C38" t="s">
        <v>3948</v>
      </c>
      <c r="D38" t="s">
        <v>3947</v>
      </c>
      <c r="E38" t="s">
        <v>3948</v>
      </c>
      <c r="F38" t="n">
        <v>0</v>
      </c>
      <c r="G38" t="s">
        <v>3940</v>
      </c>
      <c r="H38"/>
      <c r="I38"/>
      <c r="J38"/>
      <c r="K38"/>
      <c r="L38" t="n">
        <v>1</v>
      </c>
      <c r="M38" t="s">
        <v>3941</v>
      </c>
      <c r="N38" t="s">
        <v>3942</v>
      </c>
    </row>
    <row r="39">
      <c r="A39" t="n">
        <v>2</v>
      </c>
      <c r="B39" t="s">
        <v>3949</v>
      </c>
      <c r="C39" t="s">
        <v>3950</v>
      </c>
      <c r="D39" t="s">
        <v>3949</v>
      </c>
      <c r="E39" t="s">
        <v>3950</v>
      </c>
      <c r="F39" t="n">
        <v>0</v>
      </c>
      <c r="G39" t="s">
        <v>3940</v>
      </c>
      <c r="H39"/>
      <c r="I39"/>
      <c r="J39"/>
      <c r="K39"/>
      <c r="L39" t="n">
        <v>1</v>
      </c>
      <c r="M39" t="s">
        <v>3941</v>
      </c>
      <c r="N39" t="s">
        <v>3942</v>
      </c>
    </row>
    <row r="40">
      <c r="A40" t="n">
        <v>2</v>
      </c>
      <c r="B40" t="s">
        <v>3951</v>
      </c>
      <c r="C40" t="s">
        <v>3952</v>
      </c>
      <c r="D40" t="s">
        <v>3951</v>
      </c>
      <c r="E40" t="s">
        <v>3952</v>
      </c>
      <c r="F40" t="n">
        <v>0</v>
      </c>
      <c r="G40" t="s">
        <v>3940</v>
      </c>
      <c r="H40"/>
      <c r="I40"/>
      <c r="J40"/>
      <c r="K40"/>
      <c r="L40" t="n">
        <v>1</v>
      </c>
      <c r="M40" t="s">
        <v>3941</v>
      </c>
      <c r="N40" t="s">
        <v>3942</v>
      </c>
    </row>
    <row r="41">
      <c r="A41" t="n">
        <v>2</v>
      </c>
      <c r="B41" t="s">
        <v>3953</v>
      </c>
      <c r="C41" t="s">
        <v>3954</v>
      </c>
      <c r="D41" t="s">
        <v>3953</v>
      </c>
      <c r="E41" t="s">
        <v>3954</v>
      </c>
      <c r="F41" t="n">
        <v>0</v>
      </c>
      <c r="G41" t="s">
        <v>3940</v>
      </c>
      <c r="H41"/>
      <c r="I41"/>
      <c r="J41"/>
      <c r="K41"/>
      <c r="L41" t="n">
        <v>1</v>
      </c>
      <c r="M41" t="s">
        <v>3941</v>
      </c>
      <c r="N41" t="s">
        <v>3942</v>
      </c>
    </row>
    <row r="42">
      <c r="A42" t="n">
        <v>2</v>
      </c>
      <c r="B42" t="s">
        <v>3955</v>
      </c>
      <c r="C42" t="s">
        <v>3956</v>
      </c>
      <c r="D42" t="s">
        <v>3955</v>
      </c>
      <c r="E42" t="s">
        <v>3956</v>
      </c>
      <c r="F42" t="n">
        <v>0</v>
      </c>
      <c r="G42" t="s">
        <v>3940</v>
      </c>
      <c r="H42"/>
      <c r="I42"/>
      <c r="J42"/>
      <c r="K42"/>
      <c r="L42" t="n">
        <v>1</v>
      </c>
      <c r="M42" t="s">
        <v>3941</v>
      </c>
      <c r="N42" t="s">
        <v>3942</v>
      </c>
    </row>
    <row r="43">
      <c r="A43" t="n">
        <v>2</v>
      </c>
      <c r="B43" t="s">
        <v>3821</v>
      </c>
      <c r="C43" t="s">
        <v>3957</v>
      </c>
      <c r="D43" t="s">
        <v>3821</v>
      </c>
      <c r="E43" t="s">
        <v>3957</v>
      </c>
      <c r="F43" t="n">
        <v>0</v>
      </c>
      <c r="G43" t="s">
        <v>3940</v>
      </c>
      <c r="H43"/>
      <c r="I43"/>
      <c r="J43"/>
      <c r="K43"/>
      <c r="L43" t="n">
        <v>1</v>
      </c>
      <c r="M43" t="s">
        <v>3941</v>
      </c>
      <c r="N43" t="s">
        <v>3958</v>
      </c>
    </row>
    <row r="44">
      <c r="A44" t="n">
        <v>2</v>
      </c>
      <c r="B44" t="s">
        <v>3836</v>
      </c>
      <c r="C44" t="s">
        <v>3959</v>
      </c>
      <c r="D44" t="s">
        <v>3836</v>
      </c>
      <c r="E44" t="s">
        <v>3959</v>
      </c>
      <c r="F44" t="n">
        <v>0</v>
      </c>
      <c r="G44" t="s">
        <v>3940</v>
      </c>
      <c r="H44"/>
      <c r="I44"/>
      <c r="J44"/>
      <c r="K44"/>
      <c r="L44" t="n">
        <v>1</v>
      </c>
      <c r="M44" t="s">
        <v>3941</v>
      </c>
      <c r="N44" t="s">
        <v>3958</v>
      </c>
    </row>
    <row r="45">
      <c r="A45" t="n">
        <v>2</v>
      </c>
      <c r="B45" t="s">
        <v>3840</v>
      </c>
      <c r="C45" t="s">
        <v>3960</v>
      </c>
      <c r="D45" t="s">
        <v>3840</v>
      </c>
      <c r="E45" t="s">
        <v>3960</v>
      </c>
      <c r="F45" t="n">
        <v>0</v>
      </c>
      <c r="G45" t="s">
        <v>3940</v>
      </c>
      <c r="H45"/>
      <c r="I45"/>
      <c r="J45"/>
      <c r="K45"/>
      <c r="L45" t="n">
        <v>1</v>
      </c>
      <c r="M45" t="s">
        <v>3941</v>
      </c>
      <c r="N45" t="s">
        <v>3958</v>
      </c>
    </row>
    <row r="46">
      <c r="A46" t="n">
        <v>2</v>
      </c>
      <c r="B46" t="s">
        <v>3846</v>
      </c>
      <c r="C46" t="s">
        <v>3961</v>
      </c>
      <c r="D46" t="s">
        <v>3846</v>
      </c>
      <c r="E46" t="s">
        <v>3961</v>
      </c>
      <c r="F46" t="n">
        <v>0</v>
      </c>
      <c r="G46" t="s">
        <v>3940</v>
      </c>
      <c r="H46"/>
      <c r="I46"/>
      <c r="J46"/>
      <c r="K46"/>
      <c r="L46" t="n">
        <v>1</v>
      </c>
      <c r="M46" t="s">
        <v>3941</v>
      </c>
      <c r="N46" t="s">
        <v>3942</v>
      </c>
    </row>
    <row r="47">
      <c r="A47" t="n">
        <v>2</v>
      </c>
      <c r="B47" t="s">
        <v>3848</v>
      </c>
      <c r="C47" t="s">
        <v>3962</v>
      </c>
      <c r="D47" t="s">
        <v>3848</v>
      </c>
      <c r="E47" t="s">
        <v>3962</v>
      </c>
      <c r="F47" t="n">
        <v>0</v>
      </c>
      <c r="G47" t="s">
        <v>3940</v>
      </c>
      <c r="H47"/>
      <c r="I47"/>
      <c r="J47"/>
      <c r="K47"/>
      <c r="L47" t="n">
        <v>1</v>
      </c>
      <c r="M47" t="s">
        <v>3941</v>
      </c>
      <c r="N47" t="s">
        <v>3942</v>
      </c>
    </row>
    <row r="48">
      <c r="A48" t="n">
        <v>2</v>
      </c>
      <c r="B48" t="s">
        <v>3850</v>
      </c>
      <c r="C48" t="s">
        <v>3963</v>
      </c>
      <c r="D48" t="s">
        <v>3850</v>
      </c>
      <c r="E48" t="s">
        <v>3963</v>
      </c>
      <c r="F48" t="n">
        <v>0</v>
      </c>
      <c r="G48" t="s">
        <v>3940</v>
      </c>
      <c r="H48"/>
      <c r="I48"/>
      <c r="J48"/>
      <c r="K48"/>
      <c r="L48" t="n">
        <v>1</v>
      </c>
      <c r="M48" t="s">
        <v>3941</v>
      </c>
      <c r="N48" t="s">
        <v>3942</v>
      </c>
    </row>
    <row r="49">
      <c r="A49" t="n">
        <v>2</v>
      </c>
      <c r="B49" t="s">
        <v>3920</v>
      </c>
      <c r="C49" t="s">
        <v>3964</v>
      </c>
      <c r="D49" t="s">
        <v>3920</v>
      </c>
      <c r="E49" t="s">
        <v>3964</v>
      </c>
      <c r="F49" t="n">
        <v>0</v>
      </c>
      <c r="G49" t="s">
        <v>3940</v>
      </c>
      <c r="H49"/>
      <c r="I49"/>
      <c r="J49"/>
      <c r="K49"/>
      <c r="L49" t="n">
        <v>1</v>
      </c>
      <c r="M49" t="s">
        <v>3941</v>
      </c>
      <c r="N49" t="s">
        <v>3942</v>
      </c>
    </row>
    <row r="50">
      <c r="A50" t="n">
        <v>2</v>
      </c>
      <c r="B50" t="s">
        <v>3965</v>
      </c>
      <c r="C50" t="s">
        <v>3966</v>
      </c>
      <c r="D50" t="s">
        <v>3965</v>
      </c>
      <c r="E50" t="s">
        <v>3966</v>
      </c>
      <c r="F50" t="n">
        <v>0</v>
      </c>
      <c r="G50" t="s">
        <v>3940</v>
      </c>
      <c r="H50"/>
      <c r="I50"/>
      <c r="J50"/>
      <c r="K50"/>
      <c r="L50" t="n">
        <v>1</v>
      </c>
      <c r="M50" t="s">
        <v>3941</v>
      </c>
      <c r="N50" t="s">
        <v>3942</v>
      </c>
    </row>
    <row r="51">
      <c r="A51" t="n">
        <v>2</v>
      </c>
      <c r="B51" t="s">
        <v>3967</v>
      </c>
      <c r="C51" t="s">
        <v>3968</v>
      </c>
      <c r="D51" t="s">
        <v>3967</v>
      </c>
      <c r="E51" t="s">
        <v>3968</v>
      </c>
      <c r="F51" t="n">
        <v>0</v>
      </c>
      <c r="G51" t="s">
        <v>3940</v>
      </c>
      <c r="H51"/>
      <c r="I51"/>
      <c r="J51"/>
      <c r="K51"/>
      <c r="L51" t="n">
        <v>1</v>
      </c>
      <c r="M51" t="s">
        <v>3941</v>
      </c>
      <c r="N51" t="s">
        <v>3942</v>
      </c>
    </row>
    <row r="52">
      <c r="A52" t="n">
        <v>2</v>
      </c>
      <c r="B52" t="s">
        <v>3969</v>
      </c>
      <c r="C52" t="s">
        <v>3970</v>
      </c>
      <c r="D52" t="s">
        <v>3969</v>
      </c>
      <c r="E52" t="s">
        <v>3970</v>
      </c>
      <c r="F52" t="n">
        <v>0</v>
      </c>
      <c r="G52" t="s">
        <v>3940</v>
      </c>
      <c r="H52"/>
      <c r="I52"/>
      <c r="J52"/>
      <c r="K52"/>
      <c r="L52" t="n">
        <v>1</v>
      </c>
      <c r="M52" t="s">
        <v>3941</v>
      </c>
      <c r="N52" t="s">
        <v>3942</v>
      </c>
    </row>
    <row r="53">
      <c r="A53" t="n">
        <v>2</v>
      </c>
      <c r="B53" t="s">
        <v>3971</v>
      </c>
      <c r="C53" t="s">
        <v>3972</v>
      </c>
      <c r="D53" t="s">
        <v>3971</v>
      </c>
      <c r="E53" t="s">
        <v>3972</v>
      </c>
      <c r="F53" t="n">
        <v>0</v>
      </c>
      <c r="G53" t="s">
        <v>3940</v>
      </c>
      <c r="H53"/>
      <c r="I53"/>
      <c r="J53"/>
      <c r="K53"/>
      <c r="L53" t="n">
        <v>1</v>
      </c>
      <c r="M53" t="s">
        <v>3941</v>
      </c>
      <c r="N53" t="s">
        <v>3942</v>
      </c>
    </row>
    <row r="54">
      <c r="A54" t="n">
        <v>2</v>
      </c>
      <c r="B54" t="s">
        <v>3973</v>
      </c>
      <c r="C54" t="s">
        <v>3974</v>
      </c>
      <c r="D54" t="s">
        <v>3973</v>
      </c>
      <c r="E54" t="s">
        <v>3974</v>
      </c>
      <c r="F54" t="n">
        <v>0</v>
      </c>
      <c r="G54" t="s">
        <v>3940</v>
      </c>
      <c r="H54"/>
      <c r="I54"/>
      <c r="J54"/>
      <c r="K54"/>
      <c r="L54" t="n">
        <v>1</v>
      </c>
      <c r="M54" t="s">
        <v>3941</v>
      </c>
      <c r="N54" t="s">
        <v>3942</v>
      </c>
    </row>
    <row r="55">
      <c r="A55" t="n">
        <v>2</v>
      </c>
      <c r="B55" t="s">
        <v>3975</v>
      </c>
      <c r="C55" t="s">
        <v>3976</v>
      </c>
      <c r="D55" t="s">
        <v>3975</v>
      </c>
      <c r="E55" t="s">
        <v>3976</v>
      </c>
      <c r="F55" t="n">
        <v>0</v>
      </c>
      <c r="G55" t="s">
        <v>3940</v>
      </c>
      <c r="H55"/>
      <c r="I55"/>
      <c r="J55"/>
      <c r="K55"/>
      <c r="L55" t="n">
        <v>1</v>
      </c>
      <c r="M55" t="s">
        <v>3941</v>
      </c>
      <c r="N55" t="s">
        <v>3942</v>
      </c>
    </row>
    <row r="56">
      <c r="A56" t="n">
        <v>2</v>
      </c>
      <c r="B56" t="s">
        <v>3977</v>
      </c>
      <c r="C56" t="s">
        <v>3978</v>
      </c>
      <c r="D56" t="s">
        <v>3977</v>
      </c>
      <c r="E56" t="s">
        <v>3978</v>
      </c>
      <c r="F56" t="n">
        <v>0</v>
      </c>
      <c r="G56" t="s">
        <v>3940</v>
      </c>
      <c r="H56"/>
      <c r="I56"/>
      <c r="J56"/>
      <c r="K56"/>
      <c r="L56" t="n">
        <v>1</v>
      </c>
      <c r="M56" t="s">
        <v>3941</v>
      </c>
      <c r="N56" t="s">
        <v>3942</v>
      </c>
    </row>
    <row r="57">
      <c r="A57" t="n">
        <v>2</v>
      </c>
      <c r="B57" t="s">
        <v>3979</v>
      </c>
      <c r="C57" t="s">
        <v>3980</v>
      </c>
      <c r="D57" t="s">
        <v>3979</v>
      </c>
      <c r="E57" t="s">
        <v>3980</v>
      </c>
      <c r="F57" t="n">
        <v>0</v>
      </c>
      <c r="G57" t="s">
        <v>3940</v>
      </c>
      <c r="H57"/>
      <c r="I57"/>
      <c r="J57"/>
      <c r="K57"/>
      <c r="L57" t="n">
        <v>1</v>
      </c>
      <c r="M57" t="s">
        <v>3941</v>
      </c>
      <c r="N57" t="s">
        <v>3942</v>
      </c>
    </row>
    <row r="58">
      <c r="A58" t="n">
        <v>2</v>
      </c>
      <c r="B58" t="s">
        <v>3981</v>
      </c>
      <c r="C58" t="s">
        <v>3982</v>
      </c>
      <c r="D58" t="s">
        <v>3981</v>
      </c>
      <c r="E58" t="s">
        <v>3982</v>
      </c>
      <c r="F58" t="n">
        <v>0</v>
      </c>
      <c r="G58" t="s">
        <v>3940</v>
      </c>
      <c r="H58"/>
      <c r="I58"/>
      <c r="J58"/>
      <c r="K58"/>
      <c r="L58" t="n">
        <v>1</v>
      </c>
      <c r="M58" t="s">
        <v>3941</v>
      </c>
      <c r="N58" t="s">
        <v>3942</v>
      </c>
    </row>
    <row r="59">
      <c r="A59" t="n">
        <v>2</v>
      </c>
      <c r="B59" t="s">
        <v>3983</v>
      </c>
      <c r="C59" t="s">
        <v>3984</v>
      </c>
      <c r="D59" t="s">
        <v>3983</v>
      </c>
      <c r="E59" t="s">
        <v>3984</v>
      </c>
      <c r="F59" t="n">
        <v>0</v>
      </c>
      <c r="G59" t="s">
        <v>3940</v>
      </c>
      <c r="H59"/>
      <c r="I59"/>
      <c r="J59"/>
      <c r="K59"/>
      <c r="L59" t="n">
        <v>1</v>
      </c>
      <c r="M59" t="s">
        <v>3941</v>
      </c>
      <c r="N59" t="s">
        <v>3942</v>
      </c>
    </row>
    <row r="60">
      <c r="A60" t="n">
        <v>2</v>
      </c>
      <c r="B60" t="s">
        <v>3985</v>
      </c>
      <c r="C60" t="s">
        <v>3986</v>
      </c>
      <c r="D60" t="s">
        <v>3985</v>
      </c>
      <c r="E60" t="s">
        <v>3986</v>
      </c>
      <c r="F60" t="n">
        <v>0</v>
      </c>
      <c r="G60" t="s">
        <v>3940</v>
      </c>
      <c r="H60"/>
      <c r="I60"/>
      <c r="J60"/>
      <c r="K60"/>
      <c r="L60" t="n">
        <v>1</v>
      </c>
      <c r="M60" t="s">
        <v>3941</v>
      </c>
      <c r="N60" t="s">
        <v>3942</v>
      </c>
    </row>
    <row r="61">
      <c r="A61" t="n">
        <v>2</v>
      </c>
      <c r="B61" t="s">
        <v>3987</v>
      </c>
      <c r="C61" t="s">
        <v>3988</v>
      </c>
      <c r="D61" t="s">
        <v>3987</v>
      </c>
      <c r="E61" t="s">
        <v>3988</v>
      </c>
      <c r="F61" t="n">
        <v>0</v>
      </c>
      <c r="G61" t="s">
        <v>3940</v>
      </c>
      <c r="H61"/>
      <c r="I61"/>
      <c r="J61"/>
      <c r="K61"/>
      <c r="L61" t="n">
        <v>1</v>
      </c>
      <c r="M61" t="s">
        <v>3941</v>
      </c>
      <c r="N61" t="s">
        <v>3942</v>
      </c>
    </row>
    <row r="62">
      <c r="A62" t="n">
        <v>2</v>
      </c>
      <c r="B62" t="s">
        <v>3989</v>
      </c>
      <c r="C62" t="s">
        <v>3990</v>
      </c>
      <c r="D62" t="s">
        <v>3989</v>
      </c>
      <c r="E62" t="s">
        <v>3990</v>
      </c>
      <c r="F62" t="n">
        <v>0</v>
      </c>
      <c r="G62" t="s">
        <v>3940</v>
      </c>
      <c r="H62"/>
      <c r="I62"/>
      <c r="J62"/>
      <c r="K62"/>
      <c r="L62" t="n">
        <v>1</v>
      </c>
      <c r="M62" t="s">
        <v>3941</v>
      </c>
      <c r="N62" t="s">
        <v>3942</v>
      </c>
    </row>
    <row r="63">
      <c r="A63" t="n">
        <v>2</v>
      </c>
      <c r="B63" t="s">
        <v>3991</v>
      </c>
      <c r="C63" t="s">
        <v>3992</v>
      </c>
      <c r="D63" t="s">
        <v>3991</v>
      </c>
      <c r="E63" t="s">
        <v>3992</v>
      </c>
      <c r="F63" t="n">
        <v>0</v>
      </c>
      <c r="G63" t="s">
        <v>3940</v>
      </c>
      <c r="H63"/>
      <c r="I63"/>
      <c r="J63"/>
      <c r="K63"/>
      <c r="L63" t="n">
        <v>1</v>
      </c>
      <c r="M63" t="s">
        <v>3941</v>
      </c>
      <c r="N63" t="s">
        <v>3942</v>
      </c>
    </row>
    <row r="64">
      <c r="A64" t="n">
        <v>2</v>
      </c>
      <c r="B64" t="s">
        <v>3993</v>
      </c>
      <c r="C64" t="s">
        <v>3994</v>
      </c>
      <c r="D64" t="s">
        <v>3993</v>
      </c>
      <c r="E64" t="s">
        <v>3994</v>
      </c>
      <c r="F64" t="n">
        <v>0</v>
      </c>
      <c r="G64" t="s">
        <v>3940</v>
      </c>
      <c r="H64"/>
      <c r="I64"/>
      <c r="J64"/>
      <c r="K64"/>
      <c r="L64" t="n">
        <v>1</v>
      </c>
      <c r="M64" t="s">
        <v>3941</v>
      </c>
      <c r="N64" t="s">
        <v>3942</v>
      </c>
    </row>
    <row r="65">
      <c r="A65" t="n">
        <v>2</v>
      </c>
      <c r="B65" t="s">
        <v>3995</v>
      </c>
      <c r="C65" t="s">
        <v>3996</v>
      </c>
      <c r="D65" t="s">
        <v>3995</v>
      </c>
      <c r="E65" t="s">
        <v>3996</v>
      </c>
      <c r="F65" t="n">
        <v>0</v>
      </c>
      <c r="G65" t="s">
        <v>3940</v>
      </c>
      <c r="H65"/>
      <c r="I65"/>
      <c r="J65"/>
      <c r="K65"/>
      <c r="L65" t="n">
        <v>1</v>
      </c>
      <c r="M65" t="s">
        <v>3941</v>
      </c>
      <c r="N65" t="s">
        <v>3942</v>
      </c>
    </row>
    <row r="66">
      <c r="A66" t="n">
        <v>2</v>
      </c>
      <c r="B66" t="s">
        <v>3997</v>
      </c>
      <c r="C66" t="s">
        <v>3998</v>
      </c>
      <c r="D66" t="s">
        <v>3997</v>
      </c>
      <c r="E66" t="s">
        <v>3998</v>
      </c>
      <c r="F66" t="n">
        <v>0</v>
      </c>
      <c r="G66" t="s">
        <v>3940</v>
      </c>
      <c r="H66"/>
      <c r="I66"/>
      <c r="J66"/>
      <c r="K66"/>
      <c r="L66" t="n">
        <v>1</v>
      </c>
      <c r="M66" t="s">
        <v>3941</v>
      </c>
      <c r="N66" t="s">
        <v>3942</v>
      </c>
    </row>
    <row r="67">
      <c r="A67" t="n">
        <v>2</v>
      </c>
      <c r="B67" t="s">
        <v>3999</v>
      </c>
      <c r="C67" t="s">
        <v>4000</v>
      </c>
      <c r="D67" t="s">
        <v>3999</v>
      </c>
      <c r="E67" t="s">
        <v>4000</v>
      </c>
      <c r="F67" t="n">
        <v>0</v>
      </c>
      <c r="G67" t="s">
        <v>3940</v>
      </c>
      <c r="H67"/>
      <c r="I67"/>
      <c r="J67"/>
      <c r="K67"/>
      <c r="L67" t="n">
        <v>1</v>
      </c>
      <c r="M67" t="s">
        <v>3941</v>
      </c>
      <c r="N67" t="s">
        <v>3942</v>
      </c>
    </row>
    <row r="68">
      <c r="A68" t="n">
        <v>2</v>
      </c>
      <c r="B68" t="s">
        <v>4001</v>
      </c>
      <c r="C68" t="s">
        <v>4002</v>
      </c>
      <c r="D68" t="s">
        <v>4001</v>
      </c>
      <c r="E68" t="s">
        <v>4002</v>
      </c>
      <c r="F68" t="n">
        <v>0</v>
      </c>
      <c r="G68" t="s">
        <v>3940</v>
      </c>
      <c r="H68"/>
      <c r="I68"/>
      <c r="J68"/>
      <c r="K68"/>
      <c r="L68" t="n">
        <v>1</v>
      </c>
      <c r="M68" t="s">
        <v>3941</v>
      </c>
      <c r="N68" t="s">
        <v>3942</v>
      </c>
    </row>
    <row r="69">
      <c r="A69" t="n">
        <v>2</v>
      </c>
      <c r="B69" t="s">
        <v>4003</v>
      </c>
      <c r="C69" t="s">
        <v>4004</v>
      </c>
      <c r="D69" t="s">
        <v>4003</v>
      </c>
      <c r="E69" t="s">
        <v>4004</v>
      </c>
      <c r="F69" t="n">
        <v>0</v>
      </c>
      <c r="G69" t="s">
        <v>3940</v>
      </c>
      <c r="H69"/>
      <c r="I69"/>
      <c r="J69"/>
      <c r="K69"/>
      <c r="L69" t="n">
        <v>1</v>
      </c>
      <c r="M69" t="s">
        <v>3941</v>
      </c>
      <c r="N69" t="s">
        <v>3942</v>
      </c>
    </row>
    <row r="70">
      <c r="A70" t="n">
        <v>2</v>
      </c>
      <c r="B70" t="s">
        <v>4005</v>
      </c>
      <c r="C70" t="s">
        <v>4006</v>
      </c>
      <c r="D70" t="s">
        <v>4005</v>
      </c>
      <c r="E70" t="s">
        <v>4006</v>
      </c>
      <c r="F70" t="n">
        <v>0</v>
      </c>
      <c r="G70" t="s">
        <v>3940</v>
      </c>
      <c r="H70"/>
      <c r="I70"/>
      <c r="J70"/>
      <c r="K70"/>
      <c r="L70" t="n">
        <v>1</v>
      </c>
      <c r="M70" t="s">
        <v>3941</v>
      </c>
      <c r="N70" t="s">
        <v>3942</v>
      </c>
    </row>
    <row r="71">
      <c r="A71" t="n">
        <v>2</v>
      </c>
      <c r="B71" t="s">
        <v>4007</v>
      </c>
      <c r="C71" t="s">
        <v>4008</v>
      </c>
      <c r="D71" t="s">
        <v>4007</v>
      </c>
      <c r="E71" t="s">
        <v>4008</v>
      </c>
      <c r="F71" t="n">
        <v>0</v>
      </c>
      <c r="G71" t="s">
        <v>3940</v>
      </c>
      <c r="H71"/>
      <c r="I71"/>
      <c r="J71"/>
      <c r="K71"/>
      <c r="L71" t="n">
        <v>1</v>
      </c>
      <c r="M71" t="s">
        <v>3941</v>
      </c>
      <c r="N71" t="s">
        <v>3942</v>
      </c>
    </row>
    <row r="72">
      <c r="A72" t="n">
        <v>2</v>
      </c>
      <c r="B72" t="s">
        <v>4009</v>
      </c>
      <c r="C72" t="s">
        <v>4010</v>
      </c>
      <c r="D72" t="s">
        <v>4009</v>
      </c>
      <c r="E72" t="s">
        <v>4010</v>
      </c>
      <c r="F72" t="n">
        <v>0</v>
      </c>
      <c r="G72" t="s">
        <v>3940</v>
      </c>
      <c r="H72"/>
      <c r="I72"/>
      <c r="J72"/>
      <c r="K72"/>
      <c r="L72" t="n">
        <v>1</v>
      </c>
      <c r="M72" t="s">
        <v>3941</v>
      </c>
      <c r="N72" t="s">
        <v>3942</v>
      </c>
    </row>
    <row r="73">
      <c r="A73" t="n">
        <v>2</v>
      </c>
      <c r="B73" t="s">
        <v>4011</v>
      </c>
      <c r="C73" t="s">
        <v>4012</v>
      </c>
      <c r="D73" t="s">
        <v>4011</v>
      </c>
      <c r="E73" t="s">
        <v>4012</v>
      </c>
      <c r="F73" t="n">
        <v>0</v>
      </c>
      <c r="G73" t="s">
        <v>3940</v>
      </c>
      <c r="H73"/>
      <c r="I73"/>
      <c r="J73"/>
      <c r="K73"/>
      <c r="L73" t="n">
        <v>1</v>
      </c>
      <c r="M73" t="s">
        <v>3941</v>
      </c>
      <c r="N73" t="s">
        <v>3942</v>
      </c>
    </row>
    <row r="74">
      <c r="A74" t="n">
        <v>2</v>
      </c>
      <c r="B74" t="s">
        <v>4013</v>
      </c>
      <c r="C74" t="s">
        <v>4014</v>
      </c>
      <c r="D74" t="s">
        <v>4013</v>
      </c>
      <c r="E74" t="s">
        <v>4014</v>
      </c>
      <c r="F74" t="n">
        <v>0</v>
      </c>
      <c r="G74" t="s">
        <v>3940</v>
      </c>
      <c r="H74"/>
      <c r="I74"/>
      <c r="J74"/>
      <c r="K74"/>
      <c r="L74" t="n">
        <v>1</v>
      </c>
      <c r="M74" t="s">
        <v>3941</v>
      </c>
      <c r="N74" t="s">
        <v>3942</v>
      </c>
    </row>
    <row r="75">
      <c r="A75" t="n">
        <v>2</v>
      </c>
      <c r="B75" t="s">
        <v>4015</v>
      </c>
      <c r="C75" t="s">
        <v>4016</v>
      </c>
      <c r="D75" t="s">
        <v>4015</v>
      </c>
      <c r="E75" t="s">
        <v>4016</v>
      </c>
      <c r="F75" t="n">
        <v>0</v>
      </c>
      <c r="G75" t="s">
        <v>3940</v>
      </c>
      <c r="H75"/>
      <c r="I75"/>
      <c r="J75"/>
      <c r="K75"/>
      <c r="L75" t="n">
        <v>1</v>
      </c>
      <c r="M75" t="s">
        <v>3941</v>
      </c>
      <c r="N75" t="s">
        <v>3942</v>
      </c>
    </row>
    <row r="76">
      <c r="A76" t="n">
        <v>2</v>
      </c>
      <c r="B76" t="s">
        <v>4017</v>
      </c>
      <c r="C76" t="s">
        <v>4018</v>
      </c>
      <c r="D76" t="s">
        <v>4017</v>
      </c>
      <c r="E76" t="s">
        <v>4018</v>
      </c>
      <c r="F76" t="n">
        <v>0</v>
      </c>
      <c r="G76" t="s">
        <v>3940</v>
      </c>
      <c r="H76"/>
      <c r="I76"/>
      <c r="J76"/>
      <c r="K76"/>
      <c r="L76" t="n">
        <v>1</v>
      </c>
      <c r="M76" t="s">
        <v>3941</v>
      </c>
      <c r="N76" t="s">
        <v>3942</v>
      </c>
    </row>
    <row r="77">
      <c r="A77" t="n">
        <v>2</v>
      </c>
      <c r="B77" t="s">
        <v>4019</v>
      </c>
      <c r="C77" t="s">
        <v>4020</v>
      </c>
      <c r="D77" t="s">
        <v>4019</v>
      </c>
      <c r="E77" t="s">
        <v>4020</v>
      </c>
      <c r="F77" t="n">
        <v>0</v>
      </c>
      <c r="G77" t="s">
        <v>3940</v>
      </c>
      <c r="H77"/>
      <c r="I77"/>
      <c r="J77"/>
      <c r="K77"/>
      <c r="L77" t="n">
        <v>1</v>
      </c>
      <c r="M77" t="s">
        <v>3941</v>
      </c>
      <c r="N77" t="s">
        <v>3942</v>
      </c>
    </row>
    <row r="78">
      <c r="A78" t="n">
        <v>2</v>
      </c>
      <c r="B78" t="s">
        <v>4021</v>
      </c>
      <c r="C78" t="s">
        <v>4022</v>
      </c>
      <c r="D78" t="s">
        <v>4021</v>
      </c>
      <c r="E78" t="s">
        <v>4022</v>
      </c>
      <c r="F78" t="n">
        <v>0</v>
      </c>
      <c r="G78" t="s">
        <v>3940</v>
      </c>
      <c r="H78"/>
      <c r="I78"/>
      <c r="J78"/>
      <c r="K78"/>
      <c r="L78" t="n">
        <v>1</v>
      </c>
      <c r="M78" t="s">
        <v>3941</v>
      </c>
      <c r="N78" t="s">
        <v>3942</v>
      </c>
    </row>
    <row r="79">
      <c r="A79" t="n">
        <v>2</v>
      </c>
      <c r="B79" t="s">
        <v>4023</v>
      </c>
      <c r="C79" t="s">
        <v>4024</v>
      </c>
      <c r="D79" t="s">
        <v>4023</v>
      </c>
      <c r="E79" t="s">
        <v>4024</v>
      </c>
      <c r="F79" t="n">
        <v>0</v>
      </c>
      <c r="G79" t="s">
        <v>3940</v>
      </c>
      <c r="H79"/>
      <c r="I79"/>
      <c r="J79"/>
      <c r="K79"/>
      <c r="L79" t="n">
        <v>1</v>
      </c>
      <c r="M79" t="s">
        <v>3941</v>
      </c>
      <c r="N79" t="s">
        <v>3942</v>
      </c>
    </row>
    <row r="80">
      <c r="A80" t="n">
        <v>2</v>
      </c>
      <c r="B80" t="s">
        <v>4025</v>
      </c>
      <c r="C80" t="s">
        <v>4026</v>
      </c>
      <c r="D80" t="s">
        <v>4025</v>
      </c>
      <c r="E80" t="s">
        <v>4026</v>
      </c>
      <c r="F80" t="n">
        <v>0</v>
      </c>
      <c r="G80" t="s">
        <v>3940</v>
      </c>
      <c r="H80"/>
      <c r="I80"/>
      <c r="J80"/>
      <c r="K80"/>
      <c r="L80" t="n">
        <v>1</v>
      </c>
      <c r="M80" t="s">
        <v>3941</v>
      </c>
      <c r="N80" t="s">
        <v>3942</v>
      </c>
    </row>
    <row r="81">
      <c r="A81" t="n">
        <v>2</v>
      </c>
      <c r="B81" t="s">
        <v>4027</v>
      </c>
      <c r="C81" t="s">
        <v>4028</v>
      </c>
      <c r="D81" t="s">
        <v>4027</v>
      </c>
      <c r="E81" t="s">
        <v>4028</v>
      </c>
      <c r="F81" t="n">
        <v>0</v>
      </c>
      <c r="G81" t="s">
        <v>3940</v>
      </c>
      <c r="H81"/>
      <c r="I81"/>
      <c r="J81"/>
      <c r="K81"/>
      <c r="L81" t="n">
        <v>1</v>
      </c>
      <c r="M81" t="s">
        <v>3941</v>
      </c>
      <c r="N81" t="s">
        <v>3942</v>
      </c>
    </row>
    <row r="82">
      <c r="A82" t="n">
        <v>2</v>
      </c>
      <c r="B82" t="s">
        <v>4029</v>
      </c>
      <c r="C82" t="s">
        <v>4030</v>
      </c>
      <c r="D82" t="s">
        <v>4029</v>
      </c>
      <c r="E82" t="s">
        <v>4030</v>
      </c>
      <c r="F82" t="n">
        <v>0</v>
      </c>
      <c r="G82" t="s">
        <v>3940</v>
      </c>
      <c r="H82"/>
      <c r="I82"/>
      <c r="J82"/>
      <c r="K82"/>
      <c r="L82" t="n">
        <v>1</v>
      </c>
      <c r="M82" t="s">
        <v>3941</v>
      </c>
      <c r="N82" t="s">
        <v>3942</v>
      </c>
    </row>
    <row r="83">
      <c r="A83" t="n">
        <v>2</v>
      </c>
      <c r="B83" t="s">
        <v>4031</v>
      </c>
      <c r="C83" t="s">
        <v>4032</v>
      </c>
      <c r="D83" t="s">
        <v>4031</v>
      </c>
      <c r="E83" t="s">
        <v>4032</v>
      </c>
      <c r="F83" t="n">
        <v>0</v>
      </c>
      <c r="G83" t="s">
        <v>3940</v>
      </c>
      <c r="H83"/>
      <c r="I83"/>
      <c r="J83"/>
      <c r="K83"/>
      <c r="L83" t="n">
        <v>1</v>
      </c>
      <c r="M83" t="s">
        <v>3941</v>
      </c>
      <c r="N83" t="s">
        <v>3942</v>
      </c>
    </row>
    <row r="84">
      <c r="A84" t="n">
        <v>2</v>
      </c>
      <c r="B84" t="s">
        <v>4033</v>
      </c>
      <c r="C84" t="s">
        <v>4034</v>
      </c>
      <c r="D84" t="s">
        <v>4033</v>
      </c>
      <c r="E84" t="s">
        <v>4034</v>
      </c>
      <c r="F84" t="n">
        <v>0</v>
      </c>
      <c r="G84" t="s">
        <v>3940</v>
      </c>
      <c r="H84"/>
      <c r="I84"/>
      <c r="J84"/>
      <c r="K84"/>
      <c r="L84" t="n">
        <v>1</v>
      </c>
      <c r="M84" t="s">
        <v>3941</v>
      </c>
      <c r="N84" t="s">
        <v>3942</v>
      </c>
    </row>
    <row r="85">
      <c r="A85" t="n">
        <v>2</v>
      </c>
      <c r="B85" t="s">
        <v>4035</v>
      </c>
      <c r="C85" t="s">
        <v>4036</v>
      </c>
      <c r="D85" t="s">
        <v>4035</v>
      </c>
      <c r="E85" t="s">
        <v>4036</v>
      </c>
      <c r="F85" t="n">
        <v>0</v>
      </c>
      <c r="G85" t="s">
        <v>3940</v>
      </c>
      <c r="H85"/>
      <c r="I85"/>
      <c r="J85"/>
      <c r="K85"/>
      <c r="L85" t="n">
        <v>1</v>
      </c>
      <c r="M85" t="s">
        <v>3941</v>
      </c>
      <c r="N85" t="s">
        <v>3942</v>
      </c>
    </row>
    <row r="86">
      <c r="A86" t="n">
        <v>2</v>
      </c>
      <c r="B86" t="s">
        <v>4037</v>
      </c>
      <c r="C86" t="s">
        <v>4038</v>
      </c>
      <c r="D86" t="s">
        <v>4037</v>
      </c>
      <c r="E86" t="s">
        <v>4038</v>
      </c>
      <c r="F86" t="n">
        <v>0</v>
      </c>
      <c r="G86" t="s">
        <v>3940</v>
      </c>
      <c r="H86"/>
      <c r="I86"/>
      <c r="J86"/>
      <c r="K86"/>
      <c r="L86" t="n">
        <v>1</v>
      </c>
      <c r="M86" t="s">
        <v>3941</v>
      </c>
      <c r="N86" t="s">
        <v>3942</v>
      </c>
    </row>
    <row r="87">
      <c r="A87" t="n">
        <v>2</v>
      </c>
      <c r="B87" t="s">
        <v>4039</v>
      </c>
      <c r="C87" t="s">
        <v>4040</v>
      </c>
      <c r="D87" t="s">
        <v>4039</v>
      </c>
      <c r="E87" t="s">
        <v>4040</v>
      </c>
      <c r="F87" t="n">
        <v>0</v>
      </c>
      <c r="G87" t="s">
        <v>3940</v>
      </c>
      <c r="H87"/>
      <c r="I87"/>
      <c r="J87"/>
      <c r="K87"/>
      <c r="L87" t="n">
        <v>1</v>
      </c>
      <c r="M87" t="s">
        <v>3941</v>
      </c>
      <c r="N87" t="s">
        <v>3942</v>
      </c>
    </row>
    <row r="88">
      <c r="A88" t="n">
        <v>2</v>
      </c>
      <c r="B88" t="s">
        <v>4041</v>
      </c>
      <c r="C88" t="s">
        <v>4042</v>
      </c>
      <c r="D88" t="s">
        <v>4041</v>
      </c>
      <c r="E88" t="s">
        <v>4042</v>
      </c>
      <c r="F88" t="n">
        <v>0</v>
      </c>
      <c r="G88" t="s">
        <v>3940</v>
      </c>
      <c r="H88"/>
      <c r="I88"/>
      <c r="J88"/>
      <c r="K88"/>
      <c r="L88" t="n">
        <v>1</v>
      </c>
      <c r="M88" t="s">
        <v>3941</v>
      </c>
      <c r="N88" t="s">
        <v>3942</v>
      </c>
    </row>
    <row r="89">
      <c r="A89" t="n">
        <v>2</v>
      </c>
      <c r="B89" t="s">
        <v>4043</v>
      </c>
      <c r="C89" t="s">
        <v>4044</v>
      </c>
      <c r="D89" t="s">
        <v>4043</v>
      </c>
      <c r="E89" t="s">
        <v>4044</v>
      </c>
      <c r="F89" t="n">
        <v>0</v>
      </c>
      <c r="G89" t="s">
        <v>3940</v>
      </c>
      <c r="H89"/>
      <c r="I89"/>
      <c r="J89"/>
      <c r="K89"/>
      <c r="L89" t="n">
        <v>1</v>
      </c>
      <c r="M89" t="s">
        <v>3941</v>
      </c>
      <c r="N89" t="s">
        <v>3942</v>
      </c>
    </row>
    <row r="90">
      <c r="A90" t="n">
        <v>2</v>
      </c>
      <c r="B90" t="s">
        <v>4045</v>
      </c>
      <c r="C90" t="s">
        <v>4046</v>
      </c>
      <c r="D90" t="s">
        <v>4045</v>
      </c>
      <c r="E90" t="s">
        <v>4046</v>
      </c>
      <c r="F90" t="n">
        <v>0</v>
      </c>
      <c r="G90" t="s">
        <v>3940</v>
      </c>
      <c r="H90"/>
      <c r="I90"/>
      <c r="J90"/>
      <c r="K90"/>
      <c r="L90" t="n">
        <v>1</v>
      </c>
      <c r="M90" t="s">
        <v>3941</v>
      </c>
      <c r="N90" t="s">
        <v>3942</v>
      </c>
    </row>
    <row r="91">
      <c r="A91" t="n">
        <v>2</v>
      </c>
      <c r="B91" t="s">
        <v>4047</v>
      </c>
      <c r="C91" t="s">
        <v>4048</v>
      </c>
      <c r="D91" t="s">
        <v>4047</v>
      </c>
      <c r="E91" t="s">
        <v>4048</v>
      </c>
      <c r="F91" t="n">
        <v>0</v>
      </c>
      <c r="G91" t="s">
        <v>3940</v>
      </c>
      <c r="H91"/>
      <c r="I91"/>
      <c r="J91"/>
      <c r="K91"/>
      <c r="L91" t="n">
        <v>1</v>
      </c>
      <c r="M91" t="s">
        <v>3941</v>
      </c>
      <c r="N91" t="s">
        <v>3942</v>
      </c>
    </row>
    <row r="92">
      <c r="A92" t="n">
        <v>3</v>
      </c>
      <c r="B92" t="s">
        <v>4049</v>
      </c>
      <c r="C92" t="s">
        <v>4050</v>
      </c>
      <c r="D92" t="s">
        <v>4049</v>
      </c>
      <c r="E92" t="s">
        <v>4050</v>
      </c>
      <c r="F92" t="n">
        <v>0</v>
      </c>
      <c r="G92" t="s">
        <v>3940</v>
      </c>
      <c r="H92"/>
      <c r="I92"/>
      <c r="J92"/>
      <c r="K92"/>
      <c r="L92" t="n">
        <v>1</v>
      </c>
      <c r="M92" t="s">
        <v>3941</v>
      </c>
      <c r="N92" t="s">
        <v>3958</v>
      </c>
    </row>
    <row r="93">
      <c r="A93" t="n">
        <v>3</v>
      </c>
      <c r="B93" t="s">
        <v>4051</v>
      </c>
      <c r="C93" t="s">
        <v>4052</v>
      </c>
      <c r="D93" t="s">
        <v>4051</v>
      </c>
      <c r="E93" t="s">
        <v>4052</v>
      </c>
      <c r="F93" t="n">
        <v>0</v>
      </c>
      <c r="G93" t="s">
        <v>3940</v>
      </c>
      <c r="H93"/>
      <c r="I93"/>
      <c r="J93"/>
      <c r="K93"/>
      <c r="L93" t="n">
        <v>1</v>
      </c>
      <c r="M93" t="s">
        <v>3941</v>
      </c>
      <c r="N93" t="s">
        <v>3958</v>
      </c>
    </row>
    <row r="94">
      <c r="A94" t="n">
        <v>3</v>
      </c>
      <c r="B94" t="s">
        <v>4053</v>
      </c>
      <c r="C94" t="s">
        <v>4054</v>
      </c>
      <c r="D94" t="s">
        <v>4053</v>
      </c>
      <c r="E94" t="s">
        <v>4054</v>
      </c>
      <c r="F94" t="n">
        <v>0</v>
      </c>
      <c r="G94" t="s">
        <v>3940</v>
      </c>
      <c r="H94"/>
      <c r="I94"/>
      <c r="J94"/>
      <c r="K94"/>
      <c r="L94" t="n">
        <v>1</v>
      </c>
      <c r="M94" t="s">
        <v>3941</v>
      </c>
      <c r="N94" t="s">
        <v>3958</v>
      </c>
    </row>
    <row r="95">
      <c r="A95" t="n">
        <v>3</v>
      </c>
      <c r="B95" t="s">
        <v>4055</v>
      </c>
      <c r="C95" t="s">
        <v>4056</v>
      </c>
      <c r="D95" t="s">
        <v>4055</v>
      </c>
      <c r="E95" t="s">
        <v>4056</v>
      </c>
      <c r="F95" t="n">
        <v>0</v>
      </c>
      <c r="G95" t="s">
        <v>3940</v>
      </c>
      <c r="H95"/>
      <c r="I95"/>
      <c r="J95"/>
      <c r="K95"/>
      <c r="L95" t="n">
        <v>1</v>
      </c>
      <c r="M95" t="s">
        <v>3941</v>
      </c>
      <c r="N95" t="s">
        <v>3958</v>
      </c>
    </row>
    <row r="96">
      <c r="A96" t="n">
        <v>3</v>
      </c>
      <c r="B96" t="s">
        <v>4057</v>
      </c>
      <c r="C96" t="s">
        <v>4058</v>
      </c>
      <c r="D96" t="s">
        <v>4057</v>
      </c>
      <c r="E96" t="s">
        <v>4058</v>
      </c>
      <c r="F96" t="n">
        <v>0</v>
      </c>
      <c r="G96" t="s">
        <v>3940</v>
      </c>
      <c r="H96"/>
      <c r="I96"/>
      <c r="J96"/>
      <c r="K96"/>
      <c r="L96" t="n">
        <v>1</v>
      </c>
      <c r="M96" t="s">
        <v>3941</v>
      </c>
      <c r="N96" t="s">
        <v>3958</v>
      </c>
    </row>
    <row r="97">
      <c r="A97" t="n">
        <v>3</v>
      </c>
      <c r="B97" t="s">
        <v>4059</v>
      </c>
      <c r="C97" t="s">
        <v>4060</v>
      </c>
      <c r="D97" t="s">
        <v>4059</v>
      </c>
      <c r="E97" t="s">
        <v>4060</v>
      </c>
      <c r="F97" t="n">
        <v>0</v>
      </c>
      <c r="G97" t="s">
        <v>3940</v>
      </c>
      <c r="H97"/>
      <c r="I97"/>
      <c r="J97"/>
      <c r="K97"/>
      <c r="L97" t="n">
        <v>1</v>
      </c>
      <c r="M97" t="s">
        <v>3941</v>
      </c>
      <c r="N97" t="s">
        <v>3958</v>
      </c>
    </row>
    <row r="98">
      <c r="A98" t="n">
        <v>3</v>
      </c>
      <c r="B98" t="s">
        <v>4061</v>
      </c>
      <c r="C98" t="s">
        <v>4062</v>
      </c>
      <c r="D98" t="s">
        <v>4061</v>
      </c>
      <c r="E98" t="s">
        <v>4062</v>
      </c>
      <c r="F98" t="n">
        <v>0</v>
      </c>
      <c r="G98" t="s">
        <v>3940</v>
      </c>
      <c r="H98"/>
      <c r="I98"/>
      <c r="J98"/>
      <c r="K98"/>
      <c r="L98" t="n">
        <v>1</v>
      </c>
      <c r="M98" t="s">
        <v>3941</v>
      </c>
      <c r="N98" t="s">
        <v>3958</v>
      </c>
    </row>
    <row r="99">
      <c r="A99" t="n">
        <v>3</v>
      </c>
      <c r="B99" t="s">
        <v>4063</v>
      </c>
      <c r="C99" t="s">
        <v>4064</v>
      </c>
      <c r="D99" t="s">
        <v>4063</v>
      </c>
      <c r="E99" t="s">
        <v>4064</v>
      </c>
      <c r="F99" t="n">
        <v>0</v>
      </c>
      <c r="G99" t="s">
        <v>3940</v>
      </c>
      <c r="H99"/>
      <c r="I99"/>
      <c r="J99"/>
      <c r="K99"/>
      <c r="L99" t="n">
        <v>1</v>
      </c>
      <c r="M99" t="s">
        <v>3941</v>
      </c>
      <c r="N99" t="s">
        <v>3958</v>
      </c>
    </row>
    <row r="100">
      <c r="A100" t="n">
        <v>3</v>
      </c>
      <c r="B100" t="s">
        <v>4065</v>
      </c>
      <c r="C100" t="s">
        <v>4066</v>
      </c>
      <c r="D100" t="s">
        <v>4065</v>
      </c>
      <c r="E100" t="s">
        <v>4066</v>
      </c>
      <c r="F100" t="n">
        <v>0</v>
      </c>
      <c r="G100" t="s">
        <v>3940</v>
      </c>
      <c r="H100"/>
      <c r="I100"/>
      <c r="J100"/>
      <c r="K100"/>
      <c r="L100" t="n">
        <v>1</v>
      </c>
      <c r="M100" t="s">
        <v>3941</v>
      </c>
      <c r="N100" t="s">
        <v>3958</v>
      </c>
    </row>
    <row r="101">
      <c r="A101" t="n">
        <v>3</v>
      </c>
      <c r="B101" t="s">
        <v>4067</v>
      </c>
      <c r="C101" t="s">
        <v>4068</v>
      </c>
      <c r="D101" t="s">
        <v>4067</v>
      </c>
      <c r="E101" t="s">
        <v>4068</v>
      </c>
      <c r="F101" t="n">
        <v>0</v>
      </c>
      <c r="G101" t="s">
        <v>3940</v>
      </c>
      <c r="H101"/>
      <c r="I101"/>
      <c r="J101"/>
      <c r="K101"/>
      <c r="L101" t="n">
        <v>1</v>
      </c>
      <c r="M101" t="s">
        <v>3941</v>
      </c>
      <c r="N101" t="s">
        <v>3958</v>
      </c>
    </row>
    <row r="102">
      <c r="A102" t="n">
        <v>3</v>
      </c>
      <c r="B102" t="s">
        <v>4069</v>
      </c>
      <c r="C102" t="s">
        <v>4070</v>
      </c>
      <c r="D102" t="s">
        <v>4069</v>
      </c>
      <c r="E102" t="s">
        <v>4070</v>
      </c>
      <c r="F102" t="n">
        <v>0</v>
      </c>
      <c r="G102" t="s">
        <v>3940</v>
      </c>
      <c r="H102"/>
      <c r="I102"/>
      <c r="J102"/>
      <c r="K102"/>
      <c r="L102" t="n">
        <v>1</v>
      </c>
      <c r="M102" t="s">
        <v>3941</v>
      </c>
      <c r="N102" t="s">
        <v>3958</v>
      </c>
    </row>
    <row r="103">
      <c r="A103" t="n">
        <v>3</v>
      </c>
      <c r="B103" t="s">
        <v>4071</v>
      </c>
      <c r="C103" t="s">
        <v>4072</v>
      </c>
      <c r="D103" t="s">
        <v>4071</v>
      </c>
      <c r="E103" t="s">
        <v>4072</v>
      </c>
      <c r="F103" t="n">
        <v>0</v>
      </c>
      <c r="G103" t="s">
        <v>3940</v>
      </c>
      <c r="H103"/>
      <c r="I103"/>
      <c r="J103"/>
      <c r="K103"/>
      <c r="L103" t="n">
        <v>1</v>
      </c>
      <c r="M103" t="s">
        <v>3941</v>
      </c>
      <c r="N103" t="s">
        <v>3958</v>
      </c>
    </row>
    <row r="104">
      <c r="A104" t="n">
        <v>3</v>
      </c>
      <c r="B104" t="s">
        <v>4073</v>
      </c>
      <c r="C104" t="s">
        <v>4074</v>
      </c>
      <c r="D104" t="s">
        <v>4073</v>
      </c>
      <c r="E104" t="s">
        <v>4074</v>
      </c>
      <c r="F104" t="n">
        <v>0</v>
      </c>
      <c r="G104" t="s">
        <v>3940</v>
      </c>
      <c r="H104"/>
      <c r="I104"/>
      <c r="J104"/>
      <c r="K104"/>
      <c r="L104" t="n">
        <v>1</v>
      </c>
      <c r="M104" t="s">
        <v>3941</v>
      </c>
      <c r="N104" t="s">
        <v>3958</v>
      </c>
    </row>
    <row r="105">
      <c r="A105" t="n">
        <v>3</v>
      </c>
      <c r="B105" t="s">
        <v>4075</v>
      </c>
      <c r="C105" t="s">
        <v>4076</v>
      </c>
      <c r="D105" t="s">
        <v>4075</v>
      </c>
      <c r="E105" t="s">
        <v>4076</v>
      </c>
      <c r="F105" t="n">
        <v>0</v>
      </c>
      <c r="G105" t="s">
        <v>3940</v>
      </c>
      <c r="H105"/>
      <c r="I105"/>
      <c r="J105"/>
      <c r="K105"/>
      <c r="L105" t="n">
        <v>1</v>
      </c>
      <c r="M105" t="s">
        <v>3941</v>
      </c>
      <c r="N105" t="s">
        <v>3958</v>
      </c>
    </row>
    <row r="106">
      <c r="A106" t="n">
        <v>3</v>
      </c>
      <c r="B106" t="s">
        <v>4077</v>
      </c>
      <c r="C106" t="s">
        <v>4078</v>
      </c>
      <c r="D106" t="s">
        <v>4077</v>
      </c>
      <c r="E106" t="s">
        <v>4078</v>
      </c>
      <c r="F106" t="n">
        <v>0</v>
      </c>
      <c r="G106" t="s">
        <v>3940</v>
      </c>
      <c r="H106"/>
      <c r="I106"/>
      <c r="J106"/>
      <c r="K106"/>
      <c r="L106" t="n">
        <v>1</v>
      </c>
      <c r="M106" t="s">
        <v>3941</v>
      </c>
      <c r="N106" t="s">
        <v>3958</v>
      </c>
    </row>
    <row r="107">
      <c r="A107" t="n">
        <v>3</v>
      </c>
      <c r="B107" t="s">
        <v>4079</v>
      </c>
      <c r="C107" t="s">
        <v>4080</v>
      </c>
      <c r="D107" t="s">
        <v>4079</v>
      </c>
      <c r="E107" t="s">
        <v>4080</v>
      </c>
      <c r="F107" t="n">
        <v>0</v>
      </c>
      <c r="G107" t="s">
        <v>3940</v>
      </c>
      <c r="H107"/>
      <c r="I107"/>
      <c r="J107"/>
      <c r="K107"/>
      <c r="L107" t="n">
        <v>1</v>
      </c>
      <c r="M107" t="s">
        <v>3941</v>
      </c>
      <c r="N107" t="s">
        <v>3958</v>
      </c>
    </row>
    <row r="108">
      <c r="A108" t="n">
        <v>3</v>
      </c>
      <c r="B108" t="s">
        <v>4081</v>
      </c>
      <c r="C108" t="s">
        <v>4082</v>
      </c>
      <c r="D108" t="s">
        <v>4081</v>
      </c>
      <c r="E108" t="s">
        <v>4082</v>
      </c>
      <c r="F108" t="n">
        <v>0</v>
      </c>
      <c r="G108" t="s">
        <v>3940</v>
      </c>
      <c r="H108"/>
      <c r="I108"/>
      <c r="J108"/>
      <c r="K108"/>
      <c r="L108" t="n">
        <v>1</v>
      </c>
      <c r="M108" t="s">
        <v>3941</v>
      </c>
      <c r="N108" t="s">
        <v>3958</v>
      </c>
    </row>
    <row r="109">
      <c r="A109" t="n">
        <v>3</v>
      </c>
      <c r="B109" t="s">
        <v>4083</v>
      </c>
      <c r="C109" t="s">
        <v>4084</v>
      </c>
      <c r="D109" t="s">
        <v>4083</v>
      </c>
      <c r="E109" t="s">
        <v>4084</v>
      </c>
      <c r="F109" t="n">
        <v>0</v>
      </c>
      <c r="G109" t="s">
        <v>3940</v>
      </c>
      <c r="H109"/>
      <c r="I109"/>
      <c r="J109"/>
      <c r="K109"/>
      <c r="L109" t="n">
        <v>1</v>
      </c>
      <c r="M109" t="s">
        <v>3941</v>
      </c>
      <c r="N109" t="s">
        <v>3958</v>
      </c>
    </row>
    <row r="110">
      <c r="A110" t="n">
        <v>3</v>
      </c>
      <c r="B110" t="s">
        <v>4085</v>
      </c>
      <c r="C110" t="s">
        <v>4086</v>
      </c>
      <c r="D110" t="s">
        <v>4085</v>
      </c>
      <c r="E110" t="s">
        <v>4086</v>
      </c>
      <c r="F110" t="n">
        <v>0</v>
      </c>
      <c r="G110" t="s">
        <v>3940</v>
      </c>
      <c r="H110"/>
      <c r="I110"/>
      <c r="J110"/>
      <c r="K110"/>
      <c r="L110" t="n">
        <v>1</v>
      </c>
      <c r="M110" t="s">
        <v>3941</v>
      </c>
      <c r="N110" t="s">
        <v>3958</v>
      </c>
    </row>
    <row r="111">
      <c r="A111" t="n">
        <v>3</v>
      </c>
      <c r="B111" t="s">
        <v>4087</v>
      </c>
      <c r="C111" t="s">
        <v>4088</v>
      </c>
      <c r="D111" t="s">
        <v>4087</v>
      </c>
      <c r="E111" t="s">
        <v>4088</v>
      </c>
      <c r="F111" t="n">
        <v>0</v>
      </c>
      <c r="G111" t="s">
        <v>3940</v>
      </c>
      <c r="H111"/>
      <c r="I111"/>
      <c r="J111"/>
      <c r="K111"/>
      <c r="L111" t="n">
        <v>1</v>
      </c>
      <c r="M111" t="s">
        <v>3941</v>
      </c>
      <c r="N111" t="s">
        <v>3958</v>
      </c>
    </row>
    <row r="112">
      <c r="A112" t="n">
        <v>3</v>
      </c>
      <c r="B112" t="s">
        <v>4089</v>
      </c>
      <c r="C112" t="s">
        <v>4090</v>
      </c>
      <c r="D112" t="s">
        <v>4089</v>
      </c>
      <c r="E112" t="s">
        <v>4090</v>
      </c>
      <c r="F112" t="n">
        <v>0</v>
      </c>
      <c r="G112" t="s">
        <v>3940</v>
      </c>
      <c r="H112"/>
      <c r="I112"/>
      <c r="J112"/>
      <c r="K112"/>
      <c r="L112" t="n">
        <v>1</v>
      </c>
      <c r="M112" t="s">
        <v>3941</v>
      </c>
      <c r="N112" t="s">
        <v>3958</v>
      </c>
    </row>
    <row r="113">
      <c r="A113" t="n">
        <v>3</v>
      </c>
      <c r="B113" t="s">
        <v>4091</v>
      </c>
      <c r="C113" t="s">
        <v>4092</v>
      </c>
      <c r="D113" t="s">
        <v>4091</v>
      </c>
      <c r="E113" t="s">
        <v>4092</v>
      </c>
      <c r="F113" t="n">
        <v>0</v>
      </c>
      <c r="G113" t="s">
        <v>3940</v>
      </c>
      <c r="H113"/>
      <c r="I113"/>
      <c r="J113"/>
      <c r="K113"/>
      <c r="L113" t="n">
        <v>1</v>
      </c>
      <c r="M113" t="s">
        <v>3941</v>
      </c>
      <c r="N113" t="s">
        <v>3958</v>
      </c>
    </row>
    <row r="114">
      <c r="A114" t="n">
        <v>3</v>
      </c>
      <c r="B114" t="s">
        <v>4093</v>
      </c>
      <c r="C114" t="s">
        <v>4094</v>
      </c>
      <c r="D114" t="s">
        <v>4093</v>
      </c>
      <c r="E114" t="s">
        <v>4094</v>
      </c>
      <c r="F114" t="n">
        <v>0</v>
      </c>
      <c r="G114" t="s">
        <v>3940</v>
      </c>
      <c r="H114"/>
      <c r="I114"/>
      <c r="J114"/>
      <c r="K114"/>
      <c r="L114" t="n">
        <v>1</v>
      </c>
      <c r="M114" t="s">
        <v>3941</v>
      </c>
      <c r="N114" t="s">
        <v>3958</v>
      </c>
    </row>
    <row r="115">
      <c r="A115" t="n">
        <v>3</v>
      </c>
      <c r="B115" t="s">
        <v>4095</v>
      </c>
      <c r="C115" t="s">
        <v>4096</v>
      </c>
      <c r="D115" t="s">
        <v>4095</v>
      </c>
      <c r="E115" t="s">
        <v>4096</v>
      </c>
      <c r="F115" t="n">
        <v>0</v>
      </c>
      <c r="G115" t="s">
        <v>3940</v>
      </c>
      <c r="H115"/>
      <c r="I115"/>
      <c r="J115"/>
      <c r="K115"/>
      <c r="L115" t="n">
        <v>1</v>
      </c>
      <c r="M115" t="s">
        <v>3941</v>
      </c>
      <c r="N115" t="s">
        <v>3958</v>
      </c>
    </row>
    <row r="116">
      <c r="A116" t="n">
        <v>3</v>
      </c>
      <c r="B116" t="s">
        <v>4097</v>
      </c>
      <c r="C116" t="s">
        <v>4098</v>
      </c>
      <c r="D116" t="s">
        <v>4097</v>
      </c>
      <c r="E116" t="s">
        <v>4098</v>
      </c>
      <c r="F116" t="n">
        <v>0</v>
      </c>
      <c r="G116" t="s">
        <v>3940</v>
      </c>
      <c r="H116"/>
      <c r="I116"/>
      <c r="J116"/>
      <c r="K116"/>
      <c r="L116" t="n">
        <v>1</v>
      </c>
      <c r="M116" t="s">
        <v>3941</v>
      </c>
      <c r="N116" t="s">
        <v>3958</v>
      </c>
    </row>
    <row r="117">
      <c r="A117" t="n">
        <v>3</v>
      </c>
      <c r="B117" t="s">
        <v>4099</v>
      </c>
      <c r="C117" t="s">
        <v>4100</v>
      </c>
      <c r="D117" t="s">
        <v>4099</v>
      </c>
      <c r="E117" t="s">
        <v>4100</v>
      </c>
      <c r="F117" t="n">
        <v>0</v>
      </c>
      <c r="G117" t="s">
        <v>3940</v>
      </c>
      <c r="H117"/>
      <c r="I117"/>
      <c r="J117"/>
      <c r="K117"/>
      <c r="L117" t="n">
        <v>1</v>
      </c>
      <c r="M117" t="s">
        <v>3941</v>
      </c>
      <c r="N117" t="s">
        <v>3958</v>
      </c>
    </row>
    <row r="118">
      <c r="A118" t="n">
        <v>3</v>
      </c>
      <c r="B118" t="s">
        <v>4101</v>
      </c>
      <c r="C118" t="s">
        <v>4102</v>
      </c>
      <c r="D118" t="s">
        <v>4101</v>
      </c>
      <c r="E118" t="s">
        <v>4102</v>
      </c>
      <c r="F118" t="n">
        <v>0</v>
      </c>
      <c r="G118" t="s">
        <v>3940</v>
      </c>
      <c r="H118"/>
      <c r="I118"/>
      <c r="J118"/>
      <c r="K118"/>
      <c r="L118" t="n">
        <v>1</v>
      </c>
      <c r="M118" t="s">
        <v>3941</v>
      </c>
      <c r="N118" t="s">
        <v>3958</v>
      </c>
    </row>
    <row r="119">
      <c r="A119" t="n">
        <v>3</v>
      </c>
      <c r="B119" t="s">
        <v>4103</v>
      </c>
      <c r="C119" t="s">
        <v>4104</v>
      </c>
      <c r="D119" t="s">
        <v>4103</v>
      </c>
      <c r="E119" t="s">
        <v>4104</v>
      </c>
      <c r="F119" t="n">
        <v>0</v>
      </c>
      <c r="G119" t="s">
        <v>3940</v>
      </c>
      <c r="H119"/>
      <c r="I119"/>
      <c r="J119"/>
      <c r="K119"/>
      <c r="L119" t="n">
        <v>1</v>
      </c>
      <c r="M119" t="s">
        <v>3941</v>
      </c>
      <c r="N119" t="s">
        <v>3958</v>
      </c>
    </row>
    <row r="120">
      <c r="A120" t="n">
        <v>3</v>
      </c>
      <c r="B120" t="s">
        <v>4105</v>
      </c>
      <c r="C120" t="s">
        <v>4106</v>
      </c>
      <c r="D120" t="s">
        <v>4105</v>
      </c>
      <c r="E120" t="s">
        <v>4106</v>
      </c>
      <c r="F120" t="n">
        <v>0</v>
      </c>
      <c r="G120" t="s">
        <v>3940</v>
      </c>
      <c r="H120"/>
      <c r="I120"/>
      <c r="J120"/>
      <c r="K120"/>
      <c r="L120" t="n">
        <v>1</v>
      </c>
      <c r="M120" t="s">
        <v>3941</v>
      </c>
      <c r="N120" t="s">
        <v>3958</v>
      </c>
    </row>
    <row r="121">
      <c r="A121" t="n">
        <v>3</v>
      </c>
      <c r="B121" t="s">
        <v>4107</v>
      </c>
      <c r="C121" t="s">
        <v>4108</v>
      </c>
      <c r="D121" t="s">
        <v>4107</v>
      </c>
      <c r="E121" t="s">
        <v>4108</v>
      </c>
      <c r="F121" t="n">
        <v>0</v>
      </c>
      <c r="G121" t="s">
        <v>3940</v>
      </c>
      <c r="H121"/>
      <c r="I121"/>
      <c r="J121"/>
      <c r="K121"/>
      <c r="L121" t="n">
        <v>1</v>
      </c>
      <c r="M121" t="s">
        <v>3941</v>
      </c>
      <c r="N121" t="s">
        <v>3958</v>
      </c>
    </row>
    <row r="122">
      <c r="A122" t="n">
        <v>3</v>
      </c>
      <c r="B122" t="s">
        <v>4109</v>
      </c>
      <c r="C122" t="s">
        <v>4110</v>
      </c>
      <c r="D122" t="s">
        <v>4109</v>
      </c>
      <c r="E122" t="s">
        <v>4110</v>
      </c>
      <c r="F122" t="n">
        <v>0</v>
      </c>
      <c r="G122" t="s">
        <v>3940</v>
      </c>
      <c r="H122"/>
      <c r="I122"/>
      <c r="J122"/>
      <c r="K122"/>
      <c r="L122" t="n">
        <v>1</v>
      </c>
      <c r="M122" t="s">
        <v>3941</v>
      </c>
      <c r="N122" t="s">
        <v>3958</v>
      </c>
    </row>
    <row r="123">
      <c r="A123" t="n">
        <v>3</v>
      </c>
      <c r="B123" t="s">
        <v>4111</v>
      </c>
      <c r="C123" t="s">
        <v>4112</v>
      </c>
      <c r="D123" t="s">
        <v>4111</v>
      </c>
      <c r="E123" t="s">
        <v>4112</v>
      </c>
      <c r="F123" t="n">
        <v>0</v>
      </c>
      <c r="G123" t="s">
        <v>3940</v>
      </c>
      <c r="H123"/>
      <c r="I123"/>
      <c r="J123"/>
      <c r="K123"/>
      <c r="L123" t="n">
        <v>1</v>
      </c>
      <c r="M123" t="s">
        <v>3941</v>
      </c>
      <c r="N123" t="s">
        <v>3958</v>
      </c>
    </row>
    <row r="124">
      <c r="A124" t="n">
        <v>3</v>
      </c>
      <c r="B124" t="s">
        <v>4113</v>
      </c>
      <c r="C124" t="s">
        <v>4114</v>
      </c>
      <c r="D124" t="s">
        <v>4113</v>
      </c>
      <c r="E124" t="s">
        <v>4114</v>
      </c>
      <c r="F124" t="n">
        <v>0</v>
      </c>
      <c r="G124" t="s">
        <v>3940</v>
      </c>
      <c r="H124"/>
      <c r="I124"/>
      <c r="J124"/>
      <c r="K124"/>
      <c r="L124" t="n">
        <v>1</v>
      </c>
      <c r="M124" t="s">
        <v>3941</v>
      </c>
      <c r="N124" t="s">
        <v>3958</v>
      </c>
    </row>
    <row r="125">
      <c r="A125" t="n">
        <v>3</v>
      </c>
      <c r="B125" t="s">
        <v>4115</v>
      </c>
      <c r="C125" t="s">
        <v>4116</v>
      </c>
      <c r="D125" t="s">
        <v>4115</v>
      </c>
      <c r="E125" t="s">
        <v>4116</v>
      </c>
      <c r="F125" t="n">
        <v>0</v>
      </c>
      <c r="G125" t="s">
        <v>3940</v>
      </c>
      <c r="H125"/>
      <c r="I125"/>
      <c r="J125"/>
      <c r="K125"/>
      <c r="L125" t="n">
        <v>1</v>
      </c>
      <c r="M125" t="s">
        <v>3941</v>
      </c>
      <c r="N125" t="s">
        <v>3958</v>
      </c>
    </row>
    <row r="126">
      <c r="A126" t="n">
        <v>3</v>
      </c>
      <c r="B126" t="s">
        <v>4117</v>
      </c>
      <c r="C126" t="s">
        <v>4118</v>
      </c>
      <c r="D126" t="s">
        <v>4117</v>
      </c>
      <c r="E126" t="s">
        <v>4118</v>
      </c>
      <c r="F126" t="n">
        <v>0</v>
      </c>
      <c r="G126" t="s">
        <v>3940</v>
      </c>
      <c r="H126"/>
      <c r="I126"/>
      <c r="J126"/>
      <c r="K126"/>
      <c r="L126" t="n">
        <v>1</v>
      </c>
      <c r="M126" t="s">
        <v>3941</v>
      </c>
      <c r="N126" t="s">
        <v>3958</v>
      </c>
    </row>
    <row r="127">
      <c r="A127" t="n">
        <v>3</v>
      </c>
      <c r="B127" t="s">
        <v>4119</v>
      </c>
      <c r="C127" t="s">
        <v>4120</v>
      </c>
      <c r="D127" t="s">
        <v>4119</v>
      </c>
      <c r="E127" t="s">
        <v>4120</v>
      </c>
      <c r="F127" t="n">
        <v>0</v>
      </c>
      <c r="G127" t="s">
        <v>3940</v>
      </c>
      <c r="H127"/>
      <c r="I127"/>
      <c r="J127"/>
      <c r="K127"/>
      <c r="L127" t="n">
        <v>1</v>
      </c>
      <c r="M127" t="s">
        <v>3941</v>
      </c>
      <c r="N127" t="s">
        <v>3958</v>
      </c>
    </row>
    <row r="128">
      <c r="A128" t="n">
        <v>3</v>
      </c>
      <c r="B128" t="s">
        <v>4121</v>
      </c>
      <c r="C128" t="s">
        <v>4122</v>
      </c>
      <c r="D128" t="s">
        <v>4121</v>
      </c>
      <c r="E128" t="s">
        <v>4122</v>
      </c>
      <c r="F128" t="n">
        <v>0</v>
      </c>
      <c r="G128" t="s">
        <v>3940</v>
      </c>
      <c r="H128"/>
      <c r="I128"/>
      <c r="J128"/>
      <c r="K128"/>
      <c r="L128" t="n">
        <v>1</v>
      </c>
      <c r="M128" t="s">
        <v>3941</v>
      </c>
      <c r="N128" t="s">
        <v>3958</v>
      </c>
    </row>
    <row r="129">
      <c r="A129" t="n">
        <v>3</v>
      </c>
      <c r="B129" t="s">
        <v>4123</v>
      </c>
      <c r="C129" t="s">
        <v>4124</v>
      </c>
      <c r="D129" t="s">
        <v>4123</v>
      </c>
      <c r="E129" t="s">
        <v>4124</v>
      </c>
      <c r="F129" t="n">
        <v>0</v>
      </c>
      <c r="G129" t="s">
        <v>3940</v>
      </c>
      <c r="H129"/>
      <c r="I129"/>
      <c r="J129"/>
      <c r="K129"/>
      <c r="L129" t="n">
        <v>1</v>
      </c>
      <c r="M129" t="s">
        <v>3941</v>
      </c>
      <c r="N129" t="s">
        <v>3958</v>
      </c>
    </row>
    <row r="130">
      <c r="A130" t="n">
        <v>3</v>
      </c>
      <c r="B130" t="s">
        <v>4125</v>
      </c>
      <c r="C130" t="s">
        <v>4126</v>
      </c>
      <c r="D130" t="s">
        <v>4125</v>
      </c>
      <c r="E130" t="s">
        <v>4126</v>
      </c>
      <c r="F130" t="n">
        <v>0</v>
      </c>
      <c r="G130" t="s">
        <v>3940</v>
      </c>
      <c r="H130"/>
      <c r="I130"/>
      <c r="J130"/>
      <c r="K130"/>
      <c r="L130" t="n">
        <v>1</v>
      </c>
      <c r="M130" t="s">
        <v>3941</v>
      </c>
      <c r="N130" t="s">
        <v>3958</v>
      </c>
    </row>
    <row r="131">
      <c r="A131" t="n">
        <v>3</v>
      </c>
      <c r="B131" t="s">
        <v>4127</v>
      </c>
      <c r="C131" t="s">
        <v>4128</v>
      </c>
      <c r="D131" t="s">
        <v>4127</v>
      </c>
      <c r="E131" t="s">
        <v>4128</v>
      </c>
      <c r="F131" t="n">
        <v>0</v>
      </c>
      <c r="G131" t="s">
        <v>3940</v>
      </c>
      <c r="H131"/>
      <c r="I131"/>
      <c r="J131"/>
      <c r="K131"/>
      <c r="L131" t="n">
        <v>1</v>
      </c>
      <c r="M131" t="s">
        <v>3941</v>
      </c>
      <c r="N131" t="s">
        <v>3958</v>
      </c>
    </row>
    <row r="132">
      <c r="A132" t="n">
        <v>3</v>
      </c>
      <c r="B132" t="s">
        <v>4129</v>
      </c>
      <c r="C132" t="s">
        <v>4130</v>
      </c>
      <c r="D132" t="s">
        <v>4129</v>
      </c>
      <c r="E132" t="s">
        <v>4130</v>
      </c>
      <c r="F132" t="n">
        <v>0</v>
      </c>
      <c r="G132" t="s">
        <v>3940</v>
      </c>
      <c r="H132"/>
      <c r="I132"/>
      <c r="J132"/>
      <c r="K132"/>
      <c r="L132" t="n">
        <v>1</v>
      </c>
      <c r="M132" t="s">
        <v>3941</v>
      </c>
      <c r="N132" t="s">
        <v>3958</v>
      </c>
    </row>
    <row r="133">
      <c r="A133" t="n">
        <v>3</v>
      </c>
      <c r="B133" t="s">
        <v>4131</v>
      </c>
      <c r="C133" t="s">
        <v>4132</v>
      </c>
      <c r="D133" t="s">
        <v>4131</v>
      </c>
      <c r="E133" t="s">
        <v>4132</v>
      </c>
      <c r="F133" t="n">
        <v>0</v>
      </c>
      <c r="G133" t="s">
        <v>3940</v>
      </c>
      <c r="H133"/>
      <c r="I133"/>
      <c r="J133"/>
      <c r="K133"/>
      <c r="L133" t="n">
        <v>1</v>
      </c>
      <c r="M133" t="s">
        <v>3941</v>
      </c>
      <c r="N133" t="s">
        <v>3958</v>
      </c>
    </row>
    <row r="134">
      <c r="A134" t="n">
        <v>3</v>
      </c>
      <c r="B134" t="s">
        <v>4133</v>
      </c>
      <c r="C134" t="s">
        <v>4134</v>
      </c>
      <c r="D134" t="s">
        <v>4133</v>
      </c>
      <c r="E134" t="s">
        <v>4134</v>
      </c>
      <c r="F134" t="n">
        <v>0</v>
      </c>
      <c r="G134" t="s">
        <v>3940</v>
      </c>
      <c r="H134"/>
      <c r="I134"/>
      <c r="J134"/>
      <c r="K134"/>
      <c r="L134" t="n">
        <v>1</v>
      </c>
      <c r="M134" t="s">
        <v>3941</v>
      </c>
      <c r="N134" t="s">
        <v>3958</v>
      </c>
    </row>
    <row r="135">
      <c r="A135" t="n">
        <v>3</v>
      </c>
      <c r="B135" t="s">
        <v>4135</v>
      </c>
      <c r="C135" t="s">
        <v>4136</v>
      </c>
      <c r="D135" t="s">
        <v>4135</v>
      </c>
      <c r="E135" t="s">
        <v>4136</v>
      </c>
      <c r="F135" t="n">
        <v>0</v>
      </c>
      <c r="G135" t="s">
        <v>3940</v>
      </c>
      <c r="H135"/>
      <c r="I135"/>
      <c r="J135"/>
      <c r="K135"/>
      <c r="L135" t="n">
        <v>1</v>
      </c>
      <c r="M135" t="s">
        <v>3941</v>
      </c>
      <c r="N135" t="s">
        <v>3958</v>
      </c>
    </row>
    <row r="136">
      <c r="A136" t="n">
        <v>3</v>
      </c>
      <c r="B136" t="s">
        <v>4137</v>
      </c>
      <c r="C136" t="s">
        <v>4138</v>
      </c>
      <c r="D136" t="s">
        <v>4137</v>
      </c>
      <c r="E136" t="s">
        <v>4138</v>
      </c>
      <c r="F136" t="n">
        <v>0</v>
      </c>
      <c r="G136" t="s">
        <v>3940</v>
      </c>
      <c r="H136"/>
      <c r="I136"/>
      <c r="J136"/>
      <c r="K136"/>
      <c r="L136" t="n">
        <v>1</v>
      </c>
      <c r="M136" t="s">
        <v>3941</v>
      </c>
      <c r="N136" t="s">
        <v>3958</v>
      </c>
    </row>
    <row r="137">
      <c r="A137" t="n">
        <v>3</v>
      </c>
      <c r="B137" t="s">
        <v>4139</v>
      </c>
      <c r="C137" t="s">
        <v>4140</v>
      </c>
      <c r="D137" t="s">
        <v>4139</v>
      </c>
      <c r="E137" t="s">
        <v>4140</v>
      </c>
      <c r="F137" t="n">
        <v>0</v>
      </c>
      <c r="G137" t="s">
        <v>3940</v>
      </c>
      <c r="H137"/>
      <c r="I137"/>
      <c r="J137"/>
      <c r="K137"/>
      <c r="L137" t="n">
        <v>1</v>
      </c>
      <c r="M137" t="s">
        <v>3941</v>
      </c>
      <c r="N137" t="s">
        <v>3958</v>
      </c>
    </row>
    <row r="138">
      <c r="A138" t="n">
        <v>3</v>
      </c>
      <c r="B138" t="s">
        <v>4141</v>
      </c>
      <c r="C138" t="s">
        <v>4142</v>
      </c>
      <c r="D138" t="s">
        <v>4141</v>
      </c>
      <c r="E138" t="s">
        <v>4142</v>
      </c>
      <c r="F138" t="n">
        <v>0</v>
      </c>
      <c r="G138" t="s">
        <v>3940</v>
      </c>
      <c r="H138"/>
      <c r="I138"/>
      <c r="J138"/>
      <c r="K138"/>
      <c r="L138" t="n">
        <v>1</v>
      </c>
      <c r="M138" t="s">
        <v>3941</v>
      </c>
      <c r="N138" t="s">
        <v>3958</v>
      </c>
    </row>
    <row r="139">
      <c r="A139" t="n">
        <v>3</v>
      </c>
      <c r="B139" t="s">
        <v>4143</v>
      </c>
      <c r="C139" t="s">
        <v>4144</v>
      </c>
      <c r="D139" t="s">
        <v>4143</v>
      </c>
      <c r="E139" t="s">
        <v>4144</v>
      </c>
      <c r="F139" t="n">
        <v>0</v>
      </c>
      <c r="G139" t="s">
        <v>3940</v>
      </c>
      <c r="H139"/>
      <c r="I139"/>
      <c r="J139"/>
      <c r="K139"/>
      <c r="L139" t="n">
        <v>1</v>
      </c>
      <c r="M139" t="s">
        <v>3941</v>
      </c>
      <c r="N139" t="s">
        <v>3958</v>
      </c>
    </row>
    <row r="140">
      <c r="A140" t="n">
        <v>3</v>
      </c>
      <c r="B140" t="s">
        <v>4145</v>
      </c>
      <c r="C140" t="s">
        <v>4146</v>
      </c>
      <c r="D140" t="s">
        <v>4145</v>
      </c>
      <c r="E140" t="s">
        <v>4146</v>
      </c>
      <c r="F140" t="n">
        <v>0</v>
      </c>
      <c r="G140" t="s">
        <v>3940</v>
      </c>
      <c r="H140"/>
      <c r="I140"/>
      <c r="J140"/>
      <c r="K140"/>
      <c r="L140" t="n">
        <v>1</v>
      </c>
      <c r="M140" t="s">
        <v>3941</v>
      </c>
      <c r="N140" t="s">
        <v>3958</v>
      </c>
    </row>
    <row r="141">
      <c r="A141" t="n">
        <v>3</v>
      </c>
      <c r="B141" t="s">
        <v>4147</v>
      </c>
      <c r="C141" t="s">
        <v>4148</v>
      </c>
      <c r="D141" t="s">
        <v>4147</v>
      </c>
      <c r="E141" t="s">
        <v>4148</v>
      </c>
      <c r="F141" t="n">
        <v>0</v>
      </c>
      <c r="G141" t="s">
        <v>3940</v>
      </c>
      <c r="H141"/>
      <c r="I141"/>
      <c r="J141"/>
      <c r="K141"/>
      <c r="L141" t="n">
        <v>1</v>
      </c>
      <c r="M141" t="s">
        <v>3941</v>
      </c>
      <c r="N141" t="s">
        <v>3958</v>
      </c>
    </row>
    <row r="142">
      <c r="A142" t="n">
        <v>3</v>
      </c>
      <c r="B142" t="s">
        <v>4149</v>
      </c>
      <c r="C142" t="s">
        <v>4150</v>
      </c>
      <c r="D142" t="s">
        <v>4149</v>
      </c>
      <c r="E142" t="s">
        <v>4150</v>
      </c>
      <c r="F142" t="n">
        <v>0</v>
      </c>
      <c r="G142" t="s">
        <v>3940</v>
      </c>
      <c r="H142"/>
      <c r="I142"/>
      <c r="J142"/>
      <c r="K142"/>
      <c r="L142" t="n">
        <v>1</v>
      </c>
      <c r="M142" t="s">
        <v>3941</v>
      </c>
      <c r="N142" t="s">
        <v>3958</v>
      </c>
    </row>
    <row r="143">
      <c r="A143" t="n">
        <v>3</v>
      </c>
      <c r="B143" t="s">
        <v>4151</v>
      </c>
      <c r="C143" t="s">
        <v>4152</v>
      </c>
      <c r="D143" t="s">
        <v>4151</v>
      </c>
      <c r="E143" t="s">
        <v>4152</v>
      </c>
      <c r="F143" t="n">
        <v>0</v>
      </c>
      <c r="G143" t="s">
        <v>3940</v>
      </c>
      <c r="H143"/>
      <c r="I143"/>
      <c r="J143"/>
      <c r="K143"/>
      <c r="L143" t="n">
        <v>1</v>
      </c>
      <c r="M143" t="s">
        <v>3941</v>
      </c>
      <c r="N143" t="s">
        <v>3958</v>
      </c>
    </row>
    <row r="144">
      <c r="A144" t="n">
        <v>3</v>
      </c>
      <c r="B144" t="s">
        <v>4153</v>
      </c>
      <c r="C144" t="s">
        <v>4154</v>
      </c>
      <c r="D144" t="s">
        <v>4153</v>
      </c>
      <c r="E144" t="s">
        <v>4154</v>
      </c>
      <c r="F144" t="n">
        <v>0</v>
      </c>
      <c r="G144" t="s">
        <v>3940</v>
      </c>
      <c r="H144"/>
      <c r="I144"/>
      <c r="J144"/>
      <c r="K144"/>
      <c r="L144" t="n">
        <v>1</v>
      </c>
      <c r="M144" t="s">
        <v>3941</v>
      </c>
      <c r="N144" t="s">
        <v>3958</v>
      </c>
    </row>
    <row r="145">
      <c r="A145" t="n">
        <v>3</v>
      </c>
      <c r="B145" t="s">
        <v>4155</v>
      </c>
      <c r="C145" t="s">
        <v>4156</v>
      </c>
      <c r="D145" t="s">
        <v>4155</v>
      </c>
      <c r="E145" t="s">
        <v>4156</v>
      </c>
      <c r="F145" t="n">
        <v>0</v>
      </c>
      <c r="G145" t="s">
        <v>3940</v>
      </c>
      <c r="H145"/>
      <c r="I145"/>
      <c r="J145"/>
      <c r="K145"/>
      <c r="L145" t="n">
        <v>1</v>
      </c>
      <c r="M145" t="s">
        <v>3941</v>
      </c>
      <c r="N145" t="s">
        <v>3958</v>
      </c>
    </row>
    <row r="146">
      <c r="A146" t="n">
        <v>3</v>
      </c>
      <c r="B146" t="s">
        <v>4157</v>
      </c>
      <c r="C146" t="s">
        <v>4158</v>
      </c>
      <c r="D146" t="s">
        <v>4157</v>
      </c>
      <c r="E146" t="s">
        <v>4158</v>
      </c>
      <c r="F146" t="n">
        <v>0</v>
      </c>
      <c r="G146" t="s">
        <v>3940</v>
      </c>
      <c r="H146"/>
      <c r="I146"/>
      <c r="J146"/>
      <c r="K146"/>
      <c r="L146" t="n">
        <v>1</v>
      </c>
      <c r="M146" t="s">
        <v>3941</v>
      </c>
      <c r="N146" t="s">
        <v>3958</v>
      </c>
    </row>
    <row r="147">
      <c r="A147" t="n">
        <v>3</v>
      </c>
      <c r="B147" t="s">
        <v>4159</v>
      </c>
      <c r="C147" t="s">
        <v>4160</v>
      </c>
      <c r="D147" t="s">
        <v>4159</v>
      </c>
      <c r="E147" t="s">
        <v>4160</v>
      </c>
      <c r="F147" t="n">
        <v>0</v>
      </c>
      <c r="G147" t="s">
        <v>3940</v>
      </c>
      <c r="H147"/>
      <c r="I147"/>
      <c r="J147"/>
      <c r="K147"/>
      <c r="L147" t="n">
        <v>1</v>
      </c>
      <c r="M147" t="s">
        <v>3941</v>
      </c>
      <c r="N147" t="s">
        <v>3958</v>
      </c>
    </row>
    <row r="148">
      <c r="A148" t="n">
        <v>3</v>
      </c>
      <c r="B148" t="s">
        <v>4161</v>
      </c>
      <c r="C148" t="s">
        <v>4162</v>
      </c>
      <c r="D148" t="s">
        <v>4161</v>
      </c>
      <c r="E148" t="s">
        <v>4162</v>
      </c>
      <c r="F148" t="n">
        <v>0</v>
      </c>
      <c r="G148" t="s">
        <v>3940</v>
      </c>
      <c r="H148"/>
      <c r="I148"/>
      <c r="J148"/>
      <c r="K148"/>
      <c r="L148" t="n">
        <v>1</v>
      </c>
      <c r="M148" t="s">
        <v>3941</v>
      </c>
      <c r="N148" t="s">
        <v>3958</v>
      </c>
    </row>
    <row r="149">
      <c r="A149" t="n">
        <v>3</v>
      </c>
      <c r="B149" t="s">
        <v>4163</v>
      </c>
      <c r="C149" t="s">
        <v>4164</v>
      </c>
      <c r="D149" t="s">
        <v>4163</v>
      </c>
      <c r="E149" t="s">
        <v>4164</v>
      </c>
      <c r="F149" t="n">
        <v>0</v>
      </c>
      <c r="G149" t="s">
        <v>3940</v>
      </c>
      <c r="H149"/>
      <c r="I149"/>
      <c r="J149"/>
      <c r="K149"/>
      <c r="L149" t="n">
        <v>1</v>
      </c>
      <c r="M149" t="s">
        <v>3941</v>
      </c>
      <c r="N149" t="s">
        <v>3958</v>
      </c>
    </row>
    <row r="150">
      <c r="A150" t="n">
        <v>3</v>
      </c>
      <c r="B150" t="s">
        <v>4165</v>
      </c>
      <c r="C150" t="s">
        <v>4166</v>
      </c>
      <c r="D150" t="s">
        <v>4165</v>
      </c>
      <c r="E150" t="s">
        <v>4166</v>
      </c>
      <c r="F150" t="n">
        <v>0</v>
      </c>
      <c r="G150" t="s">
        <v>3940</v>
      </c>
      <c r="H150"/>
      <c r="I150"/>
      <c r="J150"/>
      <c r="K150"/>
      <c r="L150" t="n">
        <v>1</v>
      </c>
      <c r="M150" t="s">
        <v>3941</v>
      </c>
      <c r="N150" t="s">
        <v>3958</v>
      </c>
    </row>
    <row r="151">
      <c r="A151" t="n">
        <v>3</v>
      </c>
      <c r="B151" t="s">
        <v>4167</v>
      </c>
      <c r="C151" t="s">
        <v>4168</v>
      </c>
      <c r="D151" t="s">
        <v>4167</v>
      </c>
      <c r="E151" t="s">
        <v>4168</v>
      </c>
      <c r="F151" t="n">
        <v>0</v>
      </c>
      <c r="G151" t="s">
        <v>3940</v>
      </c>
      <c r="H151"/>
      <c r="I151"/>
      <c r="J151"/>
      <c r="K151"/>
      <c r="L151" t="n">
        <v>1</v>
      </c>
      <c r="M151" t="s">
        <v>3941</v>
      </c>
      <c r="N151" t="s">
        <v>3958</v>
      </c>
    </row>
    <row r="152">
      <c r="A152" t="n">
        <v>3</v>
      </c>
      <c r="B152" t="s">
        <v>4169</v>
      </c>
      <c r="C152" t="s">
        <v>4170</v>
      </c>
      <c r="D152" t="s">
        <v>4169</v>
      </c>
      <c r="E152" t="s">
        <v>4170</v>
      </c>
      <c r="F152" t="n">
        <v>0</v>
      </c>
      <c r="G152" t="s">
        <v>3940</v>
      </c>
      <c r="H152"/>
      <c r="I152"/>
      <c r="J152"/>
      <c r="K152"/>
      <c r="L152" t="n">
        <v>1</v>
      </c>
      <c r="M152" t="s">
        <v>3941</v>
      </c>
      <c r="N152" t="s">
        <v>3958</v>
      </c>
    </row>
    <row r="153">
      <c r="A153" t="n">
        <v>3</v>
      </c>
      <c r="B153" t="s">
        <v>4171</v>
      </c>
      <c r="C153" t="s">
        <v>4172</v>
      </c>
      <c r="D153" t="s">
        <v>4171</v>
      </c>
      <c r="E153" t="s">
        <v>4172</v>
      </c>
      <c r="F153" t="n">
        <v>0</v>
      </c>
      <c r="G153" t="s">
        <v>3940</v>
      </c>
      <c r="H153"/>
      <c r="I153"/>
      <c r="J153"/>
      <c r="K153"/>
      <c r="L153" t="n">
        <v>1</v>
      </c>
      <c r="M153" t="s">
        <v>3941</v>
      </c>
      <c r="N153" t="s">
        <v>3958</v>
      </c>
    </row>
    <row r="154">
      <c r="A154" t="n">
        <v>3</v>
      </c>
      <c r="B154" t="s">
        <v>4173</v>
      </c>
      <c r="C154" t="s">
        <v>4174</v>
      </c>
      <c r="D154" t="s">
        <v>4173</v>
      </c>
      <c r="E154" t="s">
        <v>4174</v>
      </c>
      <c r="F154" t="n">
        <v>0</v>
      </c>
      <c r="G154" t="s">
        <v>3940</v>
      </c>
      <c r="H154"/>
      <c r="I154"/>
      <c r="J154"/>
      <c r="K154"/>
      <c r="L154" t="n">
        <v>1</v>
      </c>
      <c r="M154" t="s">
        <v>3941</v>
      </c>
      <c r="N154" t="s">
        <v>3958</v>
      </c>
    </row>
    <row r="155">
      <c r="A155" t="n">
        <v>3</v>
      </c>
      <c r="B155" t="s">
        <v>4175</v>
      </c>
      <c r="C155" t="s">
        <v>4176</v>
      </c>
      <c r="D155" t="s">
        <v>4175</v>
      </c>
      <c r="E155" t="s">
        <v>4176</v>
      </c>
      <c r="F155" t="n">
        <v>0</v>
      </c>
      <c r="G155" t="s">
        <v>3940</v>
      </c>
      <c r="H155"/>
      <c r="I155"/>
      <c r="J155"/>
      <c r="K155"/>
      <c r="L155" t="n">
        <v>1</v>
      </c>
      <c r="M155" t="s">
        <v>3941</v>
      </c>
      <c r="N155" t="s">
        <v>3958</v>
      </c>
    </row>
    <row r="156">
      <c r="A156" t="n">
        <v>3</v>
      </c>
      <c r="B156" t="s">
        <v>4177</v>
      </c>
      <c r="C156" t="s">
        <v>4178</v>
      </c>
      <c r="D156" t="s">
        <v>4177</v>
      </c>
      <c r="E156" t="s">
        <v>4178</v>
      </c>
      <c r="F156" t="n">
        <v>0</v>
      </c>
      <c r="G156" t="s">
        <v>3940</v>
      </c>
      <c r="H156"/>
      <c r="I156"/>
      <c r="J156"/>
      <c r="K156"/>
      <c r="L156" t="n">
        <v>1</v>
      </c>
      <c r="M156" t="s">
        <v>3941</v>
      </c>
      <c r="N156" t="s">
        <v>3958</v>
      </c>
    </row>
    <row r="157">
      <c r="A157" t="n">
        <v>3</v>
      </c>
      <c r="B157" t="s">
        <v>4179</v>
      </c>
      <c r="C157" t="s">
        <v>4180</v>
      </c>
      <c r="D157" t="s">
        <v>4179</v>
      </c>
      <c r="E157" t="s">
        <v>4180</v>
      </c>
      <c r="F157" t="n">
        <v>0</v>
      </c>
      <c r="G157" t="s">
        <v>3940</v>
      </c>
      <c r="H157"/>
      <c r="I157"/>
      <c r="J157"/>
      <c r="K157"/>
      <c r="L157" t="n">
        <v>1</v>
      </c>
      <c r="M157" t="s">
        <v>3941</v>
      </c>
      <c r="N157" t="s">
        <v>3958</v>
      </c>
    </row>
    <row r="158">
      <c r="A158" t="n">
        <v>3</v>
      </c>
      <c r="B158" t="s">
        <v>4181</v>
      </c>
      <c r="C158" t="s">
        <v>4182</v>
      </c>
      <c r="D158" t="s">
        <v>4181</v>
      </c>
      <c r="E158" t="s">
        <v>4182</v>
      </c>
      <c r="F158" t="n">
        <v>0</v>
      </c>
      <c r="G158" t="s">
        <v>3940</v>
      </c>
      <c r="H158"/>
      <c r="I158"/>
      <c r="J158"/>
      <c r="K158"/>
      <c r="L158" t="n">
        <v>1</v>
      </c>
      <c r="M158" t="s">
        <v>3941</v>
      </c>
      <c r="N158" t="s">
        <v>3958</v>
      </c>
    </row>
    <row r="159">
      <c r="A159" t="n">
        <v>3</v>
      </c>
      <c r="B159" t="s">
        <v>4183</v>
      </c>
      <c r="C159" t="s">
        <v>4184</v>
      </c>
      <c r="D159" t="s">
        <v>4183</v>
      </c>
      <c r="E159" t="s">
        <v>4184</v>
      </c>
      <c r="F159" t="n">
        <v>0</v>
      </c>
      <c r="G159" t="s">
        <v>3940</v>
      </c>
      <c r="H159"/>
      <c r="I159"/>
      <c r="J159"/>
      <c r="K159"/>
      <c r="L159" t="n">
        <v>1</v>
      </c>
      <c r="M159" t="s">
        <v>3941</v>
      </c>
      <c r="N159" t="s">
        <v>3958</v>
      </c>
    </row>
    <row r="160">
      <c r="A160" t="n">
        <v>3</v>
      </c>
      <c r="B160" t="s">
        <v>4185</v>
      </c>
      <c r="C160" t="s">
        <v>4186</v>
      </c>
      <c r="D160" t="s">
        <v>4185</v>
      </c>
      <c r="E160" t="s">
        <v>4186</v>
      </c>
      <c r="F160" t="n">
        <v>0</v>
      </c>
      <c r="G160" t="s">
        <v>3940</v>
      </c>
      <c r="H160"/>
      <c r="I160"/>
      <c r="J160"/>
      <c r="K160"/>
      <c r="L160" t="n">
        <v>1</v>
      </c>
      <c r="M160" t="s">
        <v>3941</v>
      </c>
      <c r="N160" t="s">
        <v>3958</v>
      </c>
    </row>
    <row r="161">
      <c r="A161" t="n">
        <v>3</v>
      </c>
      <c r="B161" t="s">
        <v>4187</v>
      </c>
      <c r="C161" t="s">
        <v>4188</v>
      </c>
      <c r="D161" t="s">
        <v>4187</v>
      </c>
      <c r="E161" t="s">
        <v>4188</v>
      </c>
      <c r="F161" t="n">
        <v>0</v>
      </c>
      <c r="G161" t="s">
        <v>3940</v>
      </c>
      <c r="H161"/>
      <c r="I161"/>
      <c r="J161"/>
      <c r="K161"/>
      <c r="L161" t="n">
        <v>1</v>
      </c>
      <c r="M161" t="s">
        <v>3941</v>
      </c>
      <c r="N161" t="s">
        <v>3958</v>
      </c>
    </row>
    <row r="162">
      <c r="A162" t="n">
        <v>3</v>
      </c>
      <c r="B162" t="s">
        <v>4189</v>
      </c>
      <c r="C162" t="s">
        <v>4190</v>
      </c>
      <c r="D162" t="s">
        <v>4189</v>
      </c>
      <c r="E162" t="s">
        <v>4190</v>
      </c>
      <c r="F162" t="n">
        <v>0</v>
      </c>
      <c r="G162" t="s">
        <v>3940</v>
      </c>
      <c r="H162"/>
      <c r="I162"/>
      <c r="J162"/>
      <c r="K162"/>
      <c r="L162" t="n">
        <v>1</v>
      </c>
      <c r="M162" t="s">
        <v>3941</v>
      </c>
      <c r="N162" t="s">
        <v>3958</v>
      </c>
    </row>
    <row r="163">
      <c r="A163" t="n">
        <v>3</v>
      </c>
      <c r="B163" t="s">
        <v>4191</v>
      </c>
      <c r="C163" t="s">
        <v>4192</v>
      </c>
      <c r="D163" t="s">
        <v>4191</v>
      </c>
      <c r="E163" t="s">
        <v>4192</v>
      </c>
      <c r="F163" t="n">
        <v>0</v>
      </c>
      <c r="G163" t="s">
        <v>3940</v>
      </c>
      <c r="H163"/>
      <c r="I163"/>
      <c r="J163"/>
      <c r="K163"/>
      <c r="L163" t="n">
        <v>1</v>
      </c>
      <c r="M163" t="s">
        <v>3941</v>
      </c>
      <c r="N163" t="s">
        <v>3958</v>
      </c>
    </row>
    <row r="164">
      <c r="A164" t="n">
        <v>3</v>
      </c>
      <c r="B164" t="s">
        <v>4193</v>
      </c>
      <c r="C164" t="s">
        <v>4194</v>
      </c>
      <c r="D164" t="s">
        <v>4193</v>
      </c>
      <c r="E164" t="s">
        <v>4194</v>
      </c>
      <c r="F164" t="n">
        <v>0</v>
      </c>
      <c r="G164" t="s">
        <v>3940</v>
      </c>
      <c r="H164"/>
      <c r="I164"/>
      <c r="J164"/>
      <c r="K164"/>
      <c r="L164" t="n">
        <v>1</v>
      </c>
      <c r="M164" t="s">
        <v>3941</v>
      </c>
      <c r="N164" t="s">
        <v>3958</v>
      </c>
    </row>
    <row r="165">
      <c r="A165" t="n">
        <v>3</v>
      </c>
      <c r="B165" t="s">
        <v>4195</v>
      </c>
      <c r="C165" t="s">
        <v>4196</v>
      </c>
      <c r="D165" t="s">
        <v>4195</v>
      </c>
      <c r="E165" t="s">
        <v>4196</v>
      </c>
      <c r="F165" t="n">
        <v>0</v>
      </c>
      <c r="G165" t="s">
        <v>3940</v>
      </c>
      <c r="H165"/>
      <c r="I165"/>
      <c r="J165"/>
      <c r="K165"/>
      <c r="L165" t="n">
        <v>1</v>
      </c>
      <c r="M165" t="s">
        <v>3941</v>
      </c>
      <c r="N165" t="s">
        <v>3958</v>
      </c>
    </row>
    <row r="166">
      <c r="A166" t="n">
        <v>3</v>
      </c>
      <c r="B166" t="s">
        <v>4197</v>
      </c>
      <c r="C166" t="s">
        <v>4198</v>
      </c>
      <c r="D166" t="s">
        <v>4197</v>
      </c>
      <c r="E166" t="s">
        <v>4198</v>
      </c>
      <c r="F166" t="n">
        <v>0</v>
      </c>
      <c r="G166" t="s">
        <v>3940</v>
      </c>
      <c r="H166"/>
      <c r="I166"/>
      <c r="J166"/>
      <c r="K166"/>
      <c r="L166" t="n">
        <v>1</v>
      </c>
      <c r="M166" t="s">
        <v>3941</v>
      </c>
      <c r="N166" t="s">
        <v>3958</v>
      </c>
    </row>
    <row r="167">
      <c r="A167" t="n">
        <v>3</v>
      </c>
      <c r="B167" t="s">
        <v>4199</v>
      </c>
      <c r="C167" t="s">
        <v>4200</v>
      </c>
      <c r="D167" t="s">
        <v>4199</v>
      </c>
      <c r="E167" t="s">
        <v>4200</v>
      </c>
      <c r="F167" t="n">
        <v>0</v>
      </c>
      <c r="G167" t="s">
        <v>3940</v>
      </c>
      <c r="H167"/>
      <c r="I167"/>
      <c r="J167"/>
      <c r="K167"/>
      <c r="L167" t="n">
        <v>1</v>
      </c>
      <c r="M167" t="s">
        <v>3941</v>
      </c>
      <c r="N167" t="s">
        <v>3958</v>
      </c>
    </row>
    <row r="168">
      <c r="A168" t="n">
        <v>3</v>
      </c>
      <c r="B168" t="s">
        <v>4201</v>
      </c>
      <c r="C168" t="s">
        <v>4202</v>
      </c>
      <c r="D168" t="s">
        <v>4201</v>
      </c>
      <c r="E168" t="s">
        <v>4202</v>
      </c>
      <c r="F168" t="n">
        <v>0</v>
      </c>
      <c r="G168" t="s">
        <v>3940</v>
      </c>
      <c r="H168"/>
      <c r="I168"/>
      <c r="J168"/>
      <c r="K168"/>
      <c r="L168" t="n">
        <v>1</v>
      </c>
      <c r="M168" t="s">
        <v>3941</v>
      </c>
      <c r="N168" t="s">
        <v>3958</v>
      </c>
    </row>
    <row r="169">
      <c r="A169" t="n">
        <v>3</v>
      </c>
      <c r="B169" t="s">
        <v>4203</v>
      </c>
      <c r="C169" t="s">
        <v>4204</v>
      </c>
      <c r="D169" t="s">
        <v>4203</v>
      </c>
      <c r="E169" t="s">
        <v>4204</v>
      </c>
      <c r="F169" t="n">
        <v>0</v>
      </c>
      <c r="G169" t="s">
        <v>3940</v>
      </c>
      <c r="H169"/>
      <c r="I169"/>
      <c r="J169"/>
      <c r="K169"/>
      <c r="L169" t="n">
        <v>1</v>
      </c>
      <c r="M169" t="s">
        <v>3941</v>
      </c>
      <c r="N169" t="s">
        <v>3958</v>
      </c>
    </row>
    <row r="170">
      <c r="A170" t="n">
        <v>3</v>
      </c>
      <c r="B170" t="s">
        <v>4205</v>
      </c>
      <c r="C170" t="s">
        <v>4206</v>
      </c>
      <c r="D170" t="s">
        <v>4205</v>
      </c>
      <c r="E170" t="s">
        <v>4206</v>
      </c>
      <c r="F170" t="n">
        <v>0</v>
      </c>
      <c r="G170" t="s">
        <v>3940</v>
      </c>
      <c r="H170"/>
      <c r="I170"/>
      <c r="J170"/>
      <c r="K170"/>
      <c r="L170" t="n">
        <v>1</v>
      </c>
      <c r="M170" t="s">
        <v>3941</v>
      </c>
      <c r="N170" t="s">
        <v>3958</v>
      </c>
    </row>
    <row r="171">
      <c r="A171" t="n">
        <v>3</v>
      </c>
      <c r="B171" t="s">
        <v>4207</v>
      </c>
      <c r="C171" t="s">
        <v>4208</v>
      </c>
      <c r="D171" t="s">
        <v>4207</v>
      </c>
      <c r="E171" t="s">
        <v>4208</v>
      </c>
      <c r="F171" t="n">
        <v>0</v>
      </c>
      <c r="G171" t="s">
        <v>3940</v>
      </c>
      <c r="H171"/>
      <c r="I171"/>
      <c r="J171"/>
      <c r="K171"/>
      <c r="L171" t="n">
        <v>1</v>
      </c>
      <c r="M171" t="s">
        <v>3941</v>
      </c>
      <c r="N171" t="s">
        <v>3958</v>
      </c>
    </row>
    <row r="172">
      <c r="A172" t="n">
        <v>3</v>
      </c>
      <c r="B172" t="s">
        <v>4209</v>
      </c>
      <c r="C172" t="s">
        <v>4210</v>
      </c>
      <c r="D172" t="s">
        <v>4209</v>
      </c>
      <c r="E172" t="s">
        <v>4210</v>
      </c>
      <c r="F172" t="n">
        <v>0</v>
      </c>
      <c r="G172" t="s">
        <v>3940</v>
      </c>
      <c r="H172"/>
      <c r="I172"/>
      <c r="J172"/>
      <c r="K172"/>
      <c r="L172" t="n">
        <v>1</v>
      </c>
      <c r="M172" t="s">
        <v>3941</v>
      </c>
      <c r="N172" t="s">
        <v>3958</v>
      </c>
    </row>
    <row r="173">
      <c r="A173" t="n">
        <v>3</v>
      </c>
      <c r="B173" t="s">
        <v>4211</v>
      </c>
      <c r="C173" t="s">
        <v>4212</v>
      </c>
      <c r="D173" t="s">
        <v>4211</v>
      </c>
      <c r="E173" t="s">
        <v>4212</v>
      </c>
      <c r="F173" t="n">
        <v>0</v>
      </c>
      <c r="G173" t="s">
        <v>3940</v>
      </c>
      <c r="H173"/>
      <c r="I173"/>
      <c r="J173"/>
      <c r="K173"/>
      <c r="L173" t="n">
        <v>1</v>
      </c>
      <c r="M173" t="s">
        <v>3941</v>
      </c>
      <c r="N173" t="s">
        <v>3958</v>
      </c>
    </row>
    <row r="174">
      <c r="A174" t="n">
        <v>3</v>
      </c>
      <c r="B174" t="s">
        <v>4213</v>
      </c>
      <c r="C174" t="s">
        <v>4214</v>
      </c>
      <c r="D174" t="s">
        <v>4213</v>
      </c>
      <c r="E174" t="s">
        <v>4214</v>
      </c>
      <c r="F174" t="n">
        <v>0</v>
      </c>
      <c r="G174" t="s">
        <v>3940</v>
      </c>
      <c r="H174"/>
      <c r="I174"/>
      <c r="J174"/>
      <c r="K174"/>
      <c r="L174" t="n">
        <v>1</v>
      </c>
      <c r="M174" t="s">
        <v>3941</v>
      </c>
      <c r="N174" t="s">
        <v>3958</v>
      </c>
    </row>
    <row r="175">
      <c r="A175" t="n">
        <v>3</v>
      </c>
      <c r="B175" t="s">
        <v>4215</v>
      </c>
      <c r="C175" t="s">
        <v>4216</v>
      </c>
      <c r="D175" t="s">
        <v>4215</v>
      </c>
      <c r="E175" t="s">
        <v>4216</v>
      </c>
      <c r="F175" t="n">
        <v>0</v>
      </c>
      <c r="G175" t="s">
        <v>3940</v>
      </c>
      <c r="H175"/>
      <c r="I175"/>
      <c r="J175"/>
      <c r="K175"/>
      <c r="L175" t="n">
        <v>1</v>
      </c>
      <c r="M175" t="s">
        <v>3941</v>
      </c>
      <c r="N175" t="s">
        <v>3958</v>
      </c>
    </row>
    <row r="176">
      <c r="A176" t="n">
        <v>3</v>
      </c>
      <c r="B176" t="s">
        <v>4217</v>
      </c>
      <c r="C176" t="s">
        <v>4218</v>
      </c>
      <c r="D176" t="s">
        <v>4217</v>
      </c>
      <c r="E176" t="s">
        <v>4218</v>
      </c>
      <c r="F176" t="n">
        <v>0</v>
      </c>
      <c r="G176" t="s">
        <v>3940</v>
      </c>
      <c r="H176"/>
      <c r="I176"/>
      <c r="J176"/>
      <c r="K176"/>
      <c r="L176" t="n">
        <v>1</v>
      </c>
      <c r="M176" t="s">
        <v>3941</v>
      </c>
      <c r="N176" t="s">
        <v>3958</v>
      </c>
    </row>
    <row r="177">
      <c r="A177" t="n">
        <v>3</v>
      </c>
      <c r="B177" t="s">
        <v>4219</v>
      </c>
      <c r="C177" t="s">
        <v>4220</v>
      </c>
      <c r="D177" t="s">
        <v>4219</v>
      </c>
      <c r="E177" t="s">
        <v>4220</v>
      </c>
      <c r="F177" t="n">
        <v>0</v>
      </c>
      <c r="G177" t="s">
        <v>3940</v>
      </c>
      <c r="H177"/>
      <c r="I177"/>
      <c r="J177"/>
      <c r="K177"/>
      <c r="L177" t="n">
        <v>1</v>
      </c>
      <c r="M177" t="s">
        <v>3941</v>
      </c>
      <c r="N177" t="s">
        <v>3958</v>
      </c>
    </row>
    <row r="178">
      <c r="A178" t="n">
        <v>3</v>
      </c>
      <c r="B178" t="s">
        <v>4221</v>
      </c>
      <c r="C178" t="s">
        <v>4222</v>
      </c>
      <c r="D178" t="s">
        <v>4221</v>
      </c>
      <c r="E178" t="s">
        <v>4222</v>
      </c>
      <c r="F178" t="n">
        <v>0</v>
      </c>
      <c r="G178" t="s">
        <v>3940</v>
      </c>
      <c r="H178"/>
      <c r="I178"/>
      <c r="J178"/>
      <c r="K178"/>
      <c r="L178" t="n">
        <v>1</v>
      </c>
      <c r="M178" t="s">
        <v>3941</v>
      </c>
      <c r="N178" t="s">
        <v>3958</v>
      </c>
    </row>
    <row r="179">
      <c r="A179" t="n">
        <v>3</v>
      </c>
      <c r="B179" t="s">
        <v>4223</v>
      </c>
      <c r="C179" t="s">
        <v>4224</v>
      </c>
      <c r="D179" t="s">
        <v>4223</v>
      </c>
      <c r="E179" t="s">
        <v>4224</v>
      </c>
      <c r="F179" t="n">
        <v>0</v>
      </c>
      <c r="G179" t="s">
        <v>3940</v>
      </c>
      <c r="H179"/>
      <c r="I179"/>
      <c r="J179"/>
      <c r="K179"/>
      <c r="L179" t="n">
        <v>1</v>
      </c>
      <c r="M179" t="s">
        <v>3941</v>
      </c>
      <c r="N179" t="s">
        <v>3958</v>
      </c>
    </row>
    <row r="180">
      <c r="A180" t="n">
        <v>3</v>
      </c>
      <c r="B180" t="s">
        <v>4225</v>
      </c>
      <c r="C180" t="s">
        <v>4226</v>
      </c>
      <c r="D180" t="s">
        <v>4225</v>
      </c>
      <c r="E180" t="s">
        <v>4226</v>
      </c>
      <c r="F180" t="n">
        <v>0</v>
      </c>
      <c r="G180" t="s">
        <v>3940</v>
      </c>
      <c r="H180"/>
      <c r="I180"/>
      <c r="J180"/>
      <c r="K180"/>
      <c r="L180" t="n">
        <v>1</v>
      </c>
      <c r="M180" t="s">
        <v>3941</v>
      </c>
      <c r="N180" t="s">
        <v>3958</v>
      </c>
    </row>
    <row r="181">
      <c r="A181" t="n">
        <v>3</v>
      </c>
      <c r="B181" t="s">
        <v>4227</v>
      </c>
      <c r="C181" t="s">
        <v>4228</v>
      </c>
      <c r="D181" t="s">
        <v>4227</v>
      </c>
      <c r="E181" t="s">
        <v>4228</v>
      </c>
      <c r="F181" t="n">
        <v>0</v>
      </c>
      <c r="G181" t="s">
        <v>3940</v>
      </c>
      <c r="H181"/>
      <c r="I181"/>
      <c r="J181"/>
      <c r="K181"/>
      <c r="L181" t="n">
        <v>1</v>
      </c>
      <c r="M181" t="s">
        <v>3941</v>
      </c>
      <c r="N181" t="s">
        <v>3958</v>
      </c>
    </row>
    <row r="182">
      <c r="A182" t="n">
        <v>3</v>
      </c>
      <c r="B182" t="s">
        <v>4229</v>
      </c>
      <c r="C182" t="s">
        <v>4230</v>
      </c>
      <c r="D182" t="s">
        <v>4229</v>
      </c>
      <c r="E182" t="s">
        <v>4230</v>
      </c>
      <c r="F182" t="n">
        <v>0</v>
      </c>
      <c r="G182" t="s">
        <v>3940</v>
      </c>
      <c r="H182"/>
      <c r="I182"/>
      <c r="J182"/>
      <c r="K182"/>
      <c r="L182" t="n">
        <v>1</v>
      </c>
      <c r="M182" t="s">
        <v>3941</v>
      </c>
      <c r="N182" t="s">
        <v>3958</v>
      </c>
    </row>
  </sheetData>
  <autoFilter ref="A1:N18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Reischl</dc:creator>
  <cp:lastModifiedBy>TU-Pseudonym 17597817373210480660874232332</cp:lastModifiedBy>
  <cp:lastPrinted>2026-06-21T17:16:03Z</cp:lastPrinted>
  <dcterms:created xsi:type="dcterms:W3CDTF">2026-06-21T17:16:31Z</dcterms:created>
  <dcterms:modified xsi:type="dcterms:W3CDTF">2026-07-11T17:24:36Z</dcterms:modified>
</cp:coreProperties>
</file>