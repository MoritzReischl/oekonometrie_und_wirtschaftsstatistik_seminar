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re\Git - Ökonometrie und Wirtschaftsstatistik\oekonometrie_und_wirtschaftsstatistik_seminar\data\raw\Redundant data sources\"/>
    </mc:Choice>
  </mc:AlternateContent>
  <xr:revisionPtr revIDLastSave="0" documentId="13_ncr:1_{77DB82E7-3CC4-41D4-96C4-0C08DDF78873}" xr6:coauthVersionLast="47" xr6:coauthVersionMax="47" xr10:uidLastSave="{00000000-0000-0000-0000-000000000000}"/>
  <bookViews>
    <workbookView xWindow="-103" yWindow="-103" windowWidth="33120" windowHeight="18000" xr2:uid="{578BD890-A928-4B35-A120-3B9801A6CB99}"/>
  </bookViews>
  <sheets>
    <sheet name="Comparison" sheetId="4" r:id="rId1"/>
    <sheet name="ETS price ICAP" sheetId="1" r:id="rId2"/>
    <sheet name="ETS price EEX 2019 Spot Primary" sheetId="2" r:id="rId3"/>
    <sheet name="ETS price EEX 2022 Spot Primar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 a="1"/>
  <c r="D2" i="4" s="1"/>
  <c r="D5" i="4" a="1"/>
  <c r="D5" i="4" s="1"/>
  <c r="A4" i="4"/>
  <c r="A5" i="4" s="1"/>
  <c r="C3" i="4" a="1"/>
  <c r="C3" i="4" s="1"/>
  <c r="B3" i="4" a="1"/>
  <c r="B3" i="4" s="1"/>
  <c r="C2" i="4" a="1"/>
  <c r="C2" i="4" s="1"/>
  <c r="B2" i="4" a="1"/>
  <c r="B2" i="4" s="1"/>
  <c r="B5" i="4" l="1" a="1"/>
  <c r="B5" i="4" s="1"/>
  <c r="C5" i="4" a="1"/>
  <c r="C5" i="4" s="1"/>
  <c r="A6" i="4"/>
  <c r="B4" i="4" a="1"/>
  <c r="B4" i="4" s="1"/>
  <c r="C4" i="4" a="1"/>
  <c r="C4" i="4" s="1"/>
  <c r="B6" i="4" l="1" a="1"/>
  <c r="B6" i="4" s="1"/>
  <c r="A7" i="4"/>
  <c r="C6" i="4" a="1"/>
  <c r="C6" i="4" s="1"/>
  <c r="A8" i="4" l="1"/>
  <c r="C7" i="4" a="1"/>
  <c r="C7" i="4" s="1"/>
  <c r="B7" i="4" a="1"/>
  <c r="B7" i="4" s="1"/>
  <c r="C8" i="4" l="1" a="1"/>
  <c r="C8" i="4" s="1"/>
  <c r="A9" i="4"/>
  <c r="B8" i="4" a="1"/>
  <c r="B8" i="4" s="1"/>
  <c r="C9" i="4" l="1" a="1"/>
  <c r="C9" i="4" s="1"/>
  <c r="B9" i="4" a="1"/>
  <c r="B9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<sst xmlns="http://schemas.openxmlformats.org/spreadsheetml/2006/main" count="7810" uniqueCount="108">
  <si>
    <t>European Union Emissions Trading System (from 2019, download)</t>
  </si>
  <si>
    <t xml:space="preserve"> </t>
  </si>
  <si>
    <t>Date</t>
  </si>
  <si>
    <t>Exchange rate EUR/EUR</t>
  </si>
  <si>
    <t>Exchange rate EUR/USD</t>
  </si>
  <si>
    <t>Market Currency</t>
  </si>
  <si>
    <t>Primary Market</t>
  </si>
  <si>
    <t>Secondary Market</t>
  </si>
  <si>
    <t>EUR</t>
  </si>
  <si>
    <t>Year</t>
  </si>
  <si>
    <t>Secondary market</t>
  </si>
  <si>
    <t>More information</t>
  </si>
  <si>
    <t/>
  </si>
  <si>
    <t>EEX Emissions market / Primary Market Auction</t>
  </si>
  <si>
    <t>References</t>
  </si>
  <si>
    <t>Prices</t>
  </si>
  <si>
    <t>Volumes</t>
  </si>
  <si>
    <t>Participants</t>
  </si>
  <si>
    <t>Revenue</t>
  </si>
  <si>
    <t>Time</t>
  </si>
  <si>
    <t>Auction Name</t>
  </si>
  <si>
    <t>Contract</t>
  </si>
  <si>
    <t>Auction Price €/tCO2</t>
  </si>
  <si>
    <t>Minimum Bid €/tCO2</t>
  </si>
  <si>
    <t>Maximum Bid €/tCO2</t>
  </si>
  <si>
    <t>Mean €/tCO2</t>
  </si>
  <si>
    <t>Median €/tCO2</t>
  </si>
  <si>
    <t>Auction Volume tCO2</t>
  </si>
  <si>
    <t>Total Amount of Bids</t>
  </si>
  <si>
    <t>Number of bids submitted</t>
  </si>
  <si>
    <t>Number of successful bids</t>
  </si>
  <si>
    <t>Average number of bids per bidder</t>
  </si>
  <si>
    <t>Average bid size</t>
  </si>
  <si>
    <t>Average volume bid per bidder</t>
  </si>
  <si>
    <t>Standard deviation of bid volume per bidder</t>
  </si>
  <si>
    <t>Average volume won per bidder</t>
  </si>
  <si>
    <t>Standard deviation of volume won per bidder</t>
  </si>
  <si>
    <t>Cover Ratio</t>
  </si>
  <si>
    <t>Total Number of Bidders</t>
  </si>
  <si>
    <t>Number of Successful Bidders</t>
  </si>
  <si>
    <t>Total Revenue €</t>
  </si>
  <si>
    <t>Country</t>
  </si>
  <si>
    <t>Austria
(AT)</t>
  </si>
  <si>
    <t>Belgium
(BE)</t>
  </si>
  <si>
    <t>Bulgaria
(BG)</t>
  </si>
  <si>
    <t>Cyprus
(CY)</t>
  </si>
  <si>
    <t>Czech Republic
(CZ)</t>
  </si>
  <si>
    <t>Germany
(DE)</t>
  </si>
  <si>
    <t>Denmark
(DK)</t>
  </si>
  <si>
    <t>Estonia
(EE)</t>
  </si>
  <si>
    <t>Greece
(EL)</t>
  </si>
  <si>
    <t>Spain
(ES)</t>
  </si>
  <si>
    <t>Finland
(FI)</t>
  </si>
  <si>
    <t>France
(FR)</t>
  </si>
  <si>
    <t>Croatia
(HR)</t>
  </si>
  <si>
    <t>Hungary
(HU)</t>
  </si>
  <si>
    <t>Ireland
(IE)</t>
  </si>
  <si>
    <t>Iceland
(IS)</t>
  </si>
  <si>
    <t>Italy
(IT)</t>
  </si>
  <si>
    <t>Liechtenstein
(LI)</t>
  </si>
  <si>
    <t>Lithuania
(LT)</t>
  </si>
  <si>
    <t>Luxembourg
(LU)</t>
  </si>
  <si>
    <t>Latvia
(LV)</t>
  </si>
  <si>
    <t>Malta
(MT)</t>
  </si>
  <si>
    <t>Netherlands
(NL)</t>
  </si>
  <si>
    <t>Norway
(NO)</t>
  </si>
  <si>
    <t>Poland
(PL)</t>
  </si>
  <si>
    <t>Portugal
(PT)</t>
  </si>
  <si>
    <t>Romania
(RO)</t>
  </si>
  <si>
    <t>Sweden
(SE)</t>
  </si>
  <si>
    <t>Slovenia
(SI)</t>
  </si>
  <si>
    <t>Slovakia
(SK)</t>
  </si>
  <si>
    <t>Innovation
Fund</t>
  </si>
  <si>
    <t>Auction 3. Period CAP2-EU</t>
  </si>
  <si>
    <t>T3PA</t>
  </si>
  <si>
    <t>EU</t>
  </si>
  <si>
    <t>Auction 3. Period DE</t>
  </si>
  <si>
    <t>DE</t>
  </si>
  <si>
    <t>Auction 3. Period CAP2-PL</t>
  </si>
  <si>
    <t>PL</t>
  </si>
  <si>
    <t>EUAA Auction CAP2-EU</t>
  </si>
  <si>
    <t>EAA3</t>
  </si>
  <si>
    <t>EUAA Auction DE</t>
  </si>
  <si>
    <t>EUAA Auction CAP2-PL</t>
  </si>
  <si>
    <t>Public</t>
  </si>
  <si>
    <t>Status</t>
  </si>
  <si>
    <t>Innovation Fund
(IF)</t>
  </si>
  <si>
    <t>Modernisation Fund
(MF)</t>
  </si>
  <si>
    <t>Northern Ireland
(XI)</t>
  </si>
  <si>
    <t>Auction 4. Period CAP3 EU</t>
  </si>
  <si>
    <t>successful</t>
  </si>
  <si>
    <t>Auction 4. Period DE</t>
  </si>
  <si>
    <t>Auction 4. Period CAP3 PL</t>
  </si>
  <si>
    <t>EUAA Auction CAP3 EU</t>
  </si>
  <si>
    <t>Auction 4. Period CAP3 NIR</t>
  </si>
  <si>
    <t>XI</t>
  </si>
  <si>
    <t>EUAA Auction CAP3 PL</t>
  </si>
  <si>
    <t>cancelled</t>
  </si>
  <si>
    <t>EEX primary market</t>
  </si>
  <si>
    <t>ICAP primary market</t>
  </si>
  <si>
    <t>EU ETS allowance price comparison (annual averages)</t>
  </si>
  <si>
    <t>null</t>
  </si>
  <si>
    <t>zum Verkauf</t>
  </si>
  <si>
    <t>EEX Sekundärmarkt</t>
  </si>
  <si>
    <t>EEX Primärmarkt</t>
  </si>
  <si>
    <t>ICAP Primärmarkt</t>
  </si>
  <si>
    <t>ICAP Sekundärmarkt</t>
  </si>
  <si>
    <t>EU ETS Zertifikatspreise: Primär- vs. Sekundärmarkt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</si>
</sst>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0"/>
    <numFmt numFmtId="166" formatCode="#0.00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charset val="1"/>
    </font>
    <font>
      <sz val="10"/>
      <color indexed="8"/>
      <name val="Calibri"/>
      <charset val="1"/>
    </font>
    <font>
      <sz val="10"/>
      <color indexed="12"/>
      <name val="Calibri"/>
      <charset val="1"/>
    </font>
    <font>
      <b/>
      <sz val="18"/>
      <color indexed="9"/>
      <name val="Calibri"/>
      <charset val="1"/>
    </font>
    <font>
      <b/>
      <sz val="11"/>
      <color indexed="8"/>
      <name val="Calibri"/>
      <charset val="1"/>
    </font>
    <font>
      <b/>
      <sz val="10"/>
      <color indexed="8"/>
      <name val="Calibri"/>
      <charset val="1"/>
    </font>
    <font>
      <sz val="11"/>
      <color indexed="8"/>
      <name val="Aptos Narrow"/>
      <family val="2"/>
      <scheme val="minor"/>
    </font>
    <font>
      <sz val="10"/>
      <color indexed="8"/>
      <name val="Calibri"/>
    </font>
    <font>
      <b/>
      <sz val="10"/>
      <color indexed="8"/>
      <name val="Calibri"/>
    </font>
    <font>
      <b/>
      <sz val="11"/>
      <color indexed="8"/>
      <name val="Calibri"/>
    </font>
    <font>
      <b/>
      <sz val="18"/>
      <color indexed="9"/>
      <name val="Calibri"/>
    </font>
    <font>
      <sz val="10"/>
      <color indexed="12"/>
      <name val="Calibri"/>
    </font>
    <font>
      <sz val="11"/>
      <name val="Carlito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8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thick">
        <color indexed="10"/>
      </left>
      <right/>
      <top/>
      <bottom/>
      <diagonal/>
    </border>
    <border>
      <left/>
      <right style="thick">
        <color indexed="10"/>
      </right>
      <top/>
      <bottom/>
      <diagonal/>
    </border>
    <border>
      <left style="thick">
        <color indexed="10"/>
      </left>
      <right/>
      <top/>
      <bottom style="thick">
        <color indexed="10"/>
      </bottom>
      <diagonal/>
    </border>
    <border>
      <left/>
      <right/>
      <top/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4" fillId="0" borderId="0"/>
    <xf numFmtId="0" fontId="30" fillId="0" borderId="0"/>
  </cellStyleXfs>
  <cellXfs count="110">
    <xf numFmtId="0" fontId="0" fillId="0" borderId="0" xfId="0"/>
    <xf numFmtId="14" fontId="0" fillId="0" borderId="0" xfId="0" applyNumberFormat="1"/>
    <xf numFmtId="0" fontId="18" fillId="0" borderId="0" xfId="42"/>
    <xf numFmtId="0" fontId="19" fillId="34" borderId="10" xfId="42" applyFont="1" applyFill="1" applyBorder="1" applyAlignment="1" applyProtection="1">
      <alignment horizontal="center" vertical="center" wrapText="1"/>
    </xf>
    <xf numFmtId="164" fontId="23" fillId="0" borderId="11" xfId="42" applyNumberFormat="1" applyFont="1" applyFill="1" applyBorder="1" applyAlignment="1" applyProtection="1">
      <alignment horizontal="center" vertical="top"/>
    </xf>
    <xf numFmtId="20" fontId="19" fillId="0" borderId="12" xfId="42" applyNumberFormat="1" applyFont="1" applyFill="1" applyBorder="1" applyAlignment="1" applyProtection="1">
      <alignment horizontal="center" vertical="top"/>
    </xf>
    <xf numFmtId="0" fontId="19" fillId="0" borderId="12" xfId="42" applyFont="1" applyFill="1" applyBorder="1" applyAlignment="1" applyProtection="1">
      <alignment vertical="top"/>
    </xf>
    <xf numFmtId="0" fontId="19" fillId="0" borderId="12" xfId="42" applyFont="1" applyFill="1" applyBorder="1" applyAlignment="1" applyProtection="1">
      <alignment horizontal="center" vertical="top"/>
    </xf>
    <xf numFmtId="4" fontId="19" fillId="0" borderId="11" xfId="42" applyNumberFormat="1" applyFont="1" applyFill="1" applyBorder="1" applyAlignment="1" applyProtection="1">
      <alignment horizontal="center" vertical="top"/>
    </xf>
    <xf numFmtId="4" fontId="19" fillId="0" borderId="12" xfId="42" applyNumberFormat="1" applyFont="1" applyFill="1" applyBorder="1" applyAlignment="1" applyProtection="1">
      <alignment horizontal="center" vertical="top"/>
    </xf>
    <xf numFmtId="3" fontId="19" fillId="0" borderId="11" xfId="42" applyNumberFormat="1" applyFont="1" applyFill="1" applyBorder="1" applyAlignment="1" applyProtection="1">
      <alignment horizontal="center" vertical="top"/>
    </xf>
    <xf numFmtId="3" fontId="19" fillId="0" borderId="12" xfId="42" applyNumberFormat="1" applyFont="1" applyFill="1" applyBorder="1" applyAlignment="1" applyProtection="1">
      <alignment horizontal="center" vertical="top"/>
    </xf>
    <xf numFmtId="165" fontId="19" fillId="0" borderId="12" xfId="42" applyNumberFormat="1" applyFont="1" applyFill="1" applyBorder="1" applyAlignment="1" applyProtection="1">
      <alignment horizontal="center" vertical="top"/>
    </xf>
    <xf numFmtId="166" fontId="19" fillId="0" borderId="12" xfId="42" applyNumberFormat="1" applyFont="1" applyFill="1" applyBorder="1" applyAlignment="1" applyProtection="1">
      <alignment horizontal="center" vertical="top"/>
    </xf>
    <xf numFmtId="2" fontId="19" fillId="0" borderId="12" xfId="42" applyNumberFormat="1" applyFont="1" applyFill="1" applyBorder="1" applyAlignment="1" applyProtection="1">
      <alignment horizontal="center" vertical="top"/>
    </xf>
    <xf numFmtId="165" fontId="19" fillId="0" borderId="11" xfId="42" applyNumberFormat="1" applyFont="1" applyFill="1" applyBorder="1" applyAlignment="1" applyProtection="1">
      <alignment horizontal="center" vertical="top"/>
    </xf>
    <xf numFmtId="3" fontId="19" fillId="0" borderId="11" xfId="42" applyNumberFormat="1" applyFont="1" applyFill="1" applyBorder="1" applyAlignment="1" applyProtection="1">
      <alignment horizontal="right" vertical="top"/>
    </xf>
    <xf numFmtId="3" fontId="19" fillId="0" borderId="11" xfId="42" applyNumberFormat="1" applyFont="1" applyFill="1" applyBorder="1" applyAlignment="1" applyProtection="1">
      <alignment horizontal="right" vertical="top" wrapText="1"/>
    </xf>
    <xf numFmtId="3" fontId="19" fillId="0" borderId="12" xfId="42" applyNumberFormat="1" applyFont="1" applyFill="1" applyBorder="1" applyAlignment="1" applyProtection="1">
      <alignment horizontal="right" vertical="top" wrapText="1"/>
    </xf>
    <xf numFmtId="3" fontId="19" fillId="0" borderId="13" xfId="42" applyNumberFormat="1" applyFont="1" applyFill="1" applyBorder="1" applyAlignment="1" applyProtection="1">
      <alignment horizontal="right" vertical="top" wrapText="1"/>
    </xf>
    <xf numFmtId="164" fontId="23" fillId="0" borderId="14" xfId="42" applyNumberFormat="1" applyFont="1" applyFill="1" applyBorder="1" applyAlignment="1" applyProtection="1">
      <alignment horizontal="center" vertical="top"/>
    </xf>
    <xf numFmtId="20" fontId="19" fillId="0" borderId="0" xfId="42" applyNumberFormat="1" applyFont="1" applyFill="1" applyBorder="1" applyAlignment="1" applyProtection="1">
      <alignment horizontal="center" vertical="top"/>
    </xf>
    <xf numFmtId="0" fontId="19" fillId="0" borderId="0" xfId="42" applyFont="1" applyFill="1" applyBorder="1" applyAlignment="1" applyProtection="1">
      <alignment vertical="top"/>
    </xf>
    <xf numFmtId="0" fontId="19" fillId="0" borderId="0" xfId="42" applyFont="1" applyFill="1" applyBorder="1" applyAlignment="1" applyProtection="1">
      <alignment horizontal="center" vertical="top"/>
    </xf>
    <xf numFmtId="4" fontId="19" fillId="0" borderId="14" xfId="42" applyNumberFormat="1" applyFont="1" applyFill="1" applyBorder="1" applyAlignment="1" applyProtection="1">
      <alignment horizontal="center" vertical="top"/>
    </xf>
    <xf numFmtId="4" fontId="19" fillId="0" borderId="0" xfId="42" applyNumberFormat="1" applyFont="1" applyFill="1" applyBorder="1" applyAlignment="1" applyProtection="1">
      <alignment horizontal="center" vertical="top"/>
    </xf>
    <xf numFmtId="3" fontId="19" fillId="0" borderId="14" xfId="42" applyNumberFormat="1" applyFont="1" applyFill="1" applyBorder="1" applyAlignment="1" applyProtection="1">
      <alignment horizontal="center" vertical="top"/>
    </xf>
    <xf numFmtId="3" fontId="19" fillId="0" borderId="0" xfId="42" applyNumberFormat="1" applyFont="1" applyFill="1" applyBorder="1" applyAlignment="1" applyProtection="1">
      <alignment horizontal="center" vertical="top"/>
    </xf>
    <xf numFmtId="165" fontId="19" fillId="0" borderId="0" xfId="42" applyNumberFormat="1" applyFont="1" applyFill="1" applyBorder="1" applyAlignment="1" applyProtection="1">
      <alignment horizontal="center" vertical="top"/>
    </xf>
    <xf numFmtId="166" fontId="19" fillId="0" borderId="0" xfId="42" applyNumberFormat="1" applyFont="1" applyFill="1" applyBorder="1" applyAlignment="1" applyProtection="1">
      <alignment horizontal="center" vertical="top"/>
    </xf>
    <xf numFmtId="2" fontId="19" fillId="0" borderId="0" xfId="42" applyNumberFormat="1" applyFont="1" applyFill="1" applyBorder="1" applyAlignment="1" applyProtection="1">
      <alignment horizontal="center" vertical="top"/>
    </xf>
    <xf numFmtId="165" fontId="19" fillId="0" borderId="14" xfId="42" applyNumberFormat="1" applyFont="1" applyFill="1" applyBorder="1" applyAlignment="1" applyProtection="1">
      <alignment horizontal="center" vertical="top"/>
    </xf>
    <xf numFmtId="3" fontId="19" fillId="0" borderId="14" xfId="42" applyNumberFormat="1" applyFont="1" applyFill="1" applyBorder="1" applyAlignment="1" applyProtection="1">
      <alignment horizontal="right" vertical="top"/>
    </xf>
    <xf numFmtId="3" fontId="19" fillId="0" borderId="14" xfId="42" applyNumberFormat="1" applyFont="1" applyFill="1" applyBorder="1" applyAlignment="1" applyProtection="1">
      <alignment horizontal="right" vertical="top" wrapText="1"/>
    </xf>
    <xf numFmtId="3" fontId="19" fillId="0" borderId="0" xfId="42" applyNumberFormat="1" applyFont="1" applyFill="1" applyBorder="1" applyAlignment="1" applyProtection="1">
      <alignment horizontal="right" vertical="top" wrapText="1"/>
    </xf>
    <xf numFmtId="3" fontId="19" fillId="0" borderId="15" xfId="42" applyNumberFormat="1" applyFont="1" applyFill="1" applyBorder="1" applyAlignment="1" applyProtection="1">
      <alignment horizontal="right" vertical="top" wrapText="1"/>
    </xf>
    <xf numFmtId="164" fontId="23" fillId="0" borderId="16" xfId="42" applyNumberFormat="1" applyFont="1" applyFill="1" applyBorder="1" applyAlignment="1" applyProtection="1">
      <alignment horizontal="center" vertical="top"/>
    </xf>
    <xf numFmtId="20" fontId="19" fillId="0" borderId="17" xfId="42" applyNumberFormat="1" applyFont="1" applyFill="1" applyBorder="1" applyAlignment="1" applyProtection="1">
      <alignment horizontal="center" vertical="top"/>
    </xf>
    <xf numFmtId="0" fontId="19" fillId="0" borderId="17" xfId="42" applyFont="1" applyFill="1" applyBorder="1" applyAlignment="1" applyProtection="1">
      <alignment vertical="top"/>
    </xf>
    <xf numFmtId="0" fontId="19" fillId="0" borderId="17" xfId="42" applyFont="1" applyFill="1" applyBorder="1" applyAlignment="1" applyProtection="1">
      <alignment horizontal="center" vertical="top"/>
    </xf>
    <xf numFmtId="4" fontId="19" fillId="0" borderId="16" xfId="42" applyNumberFormat="1" applyFont="1" applyFill="1" applyBorder="1" applyAlignment="1" applyProtection="1">
      <alignment horizontal="center" vertical="top"/>
    </xf>
    <xf numFmtId="4" fontId="19" fillId="0" borderId="17" xfId="42" applyNumberFormat="1" applyFont="1" applyFill="1" applyBorder="1" applyAlignment="1" applyProtection="1">
      <alignment horizontal="center" vertical="top"/>
    </xf>
    <xf numFmtId="3" fontId="19" fillId="0" borderId="16" xfId="42" applyNumberFormat="1" applyFont="1" applyFill="1" applyBorder="1" applyAlignment="1" applyProtection="1">
      <alignment horizontal="center" vertical="top"/>
    </xf>
    <xf numFmtId="3" fontId="19" fillId="0" borderId="17" xfId="42" applyNumberFormat="1" applyFont="1" applyFill="1" applyBorder="1" applyAlignment="1" applyProtection="1">
      <alignment horizontal="center" vertical="top"/>
    </xf>
    <xf numFmtId="165" fontId="19" fillId="0" borderId="17" xfId="42" applyNumberFormat="1" applyFont="1" applyFill="1" applyBorder="1" applyAlignment="1" applyProtection="1">
      <alignment horizontal="center" vertical="top"/>
    </xf>
    <xf numFmtId="166" fontId="19" fillId="0" borderId="17" xfId="42" applyNumberFormat="1" applyFont="1" applyFill="1" applyBorder="1" applyAlignment="1" applyProtection="1">
      <alignment horizontal="center" vertical="top"/>
    </xf>
    <xf numFmtId="2" fontId="19" fillId="0" borderId="17" xfId="42" applyNumberFormat="1" applyFont="1" applyFill="1" applyBorder="1" applyAlignment="1" applyProtection="1">
      <alignment horizontal="center" vertical="top"/>
    </xf>
    <xf numFmtId="165" fontId="19" fillId="0" borderId="16" xfId="42" applyNumberFormat="1" applyFont="1" applyFill="1" applyBorder="1" applyAlignment="1" applyProtection="1">
      <alignment horizontal="center" vertical="top"/>
    </xf>
    <xf numFmtId="3" fontId="19" fillId="0" borderId="16" xfId="42" applyNumberFormat="1" applyFont="1" applyFill="1" applyBorder="1" applyAlignment="1" applyProtection="1">
      <alignment horizontal="right" vertical="top"/>
    </xf>
    <xf numFmtId="3" fontId="19" fillId="0" borderId="16" xfId="42" applyNumberFormat="1" applyFont="1" applyFill="1" applyBorder="1" applyAlignment="1" applyProtection="1">
      <alignment horizontal="right" vertical="top" wrapText="1"/>
    </xf>
    <xf numFmtId="3" fontId="19" fillId="0" borderId="17" xfId="42" applyNumberFormat="1" applyFont="1" applyFill="1" applyBorder="1" applyAlignment="1" applyProtection="1">
      <alignment horizontal="right" vertical="top" wrapText="1"/>
    </xf>
    <xf numFmtId="3" fontId="19" fillId="0" borderId="18" xfId="42" applyNumberFormat="1" applyFont="1" applyFill="1" applyBorder="1" applyAlignment="1" applyProtection="1">
      <alignment horizontal="right" vertical="top" wrapText="1"/>
    </xf>
    <xf numFmtId="0" fontId="24" fillId="0" borderId="0" xfId="43"/>
    <xf numFmtId="20" fontId="25" fillId="0" borderId="0" xfId="43" applyNumberFormat="1" applyFont="1" applyAlignment="1">
      <alignment horizontal="center"/>
    </xf>
    <xf numFmtId="0" fontId="25" fillId="0" borderId="0" xfId="43" applyFont="1" applyAlignment="1">
      <alignment horizontal="left"/>
    </xf>
    <xf numFmtId="0" fontId="25" fillId="0" borderId="0" xfId="43" applyFont="1" applyAlignment="1">
      <alignment horizontal="center"/>
    </xf>
    <xf numFmtId="3" fontId="25" fillId="0" borderId="0" xfId="43" applyNumberFormat="1" applyFont="1" applyAlignment="1">
      <alignment horizontal="center"/>
    </xf>
    <xf numFmtId="2" fontId="25" fillId="0" borderId="0" xfId="43" applyNumberFormat="1" applyFont="1" applyAlignment="1">
      <alignment horizontal="center"/>
    </xf>
    <xf numFmtId="0" fontId="25" fillId="34" borderId="10" xfId="43" applyFont="1" applyFill="1" applyBorder="1" applyAlignment="1">
      <alignment horizontal="center" vertical="center" wrapText="1"/>
    </xf>
    <xf numFmtId="20" fontId="25" fillId="0" borderId="12" xfId="43" applyNumberFormat="1" applyFont="1" applyBorder="1" applyAlignment="1">
      <alignment horizontal="center"/>
    </xf>
    <xf numFmtId="0" fontId="25" fillId="0" borderId="12" xfId="43" applyFont="1" applyBorder="1" applyAlignment="1">
      <alignment horizontal="left"/>
    </xf>
    <xf numFmtId="0" fontId="25" fillId="0" borderId="12" xfId="43" applyFont="1" applyBorder="1" applyAlignment="1">
      <alignment horizontal="center"/>
    </xf>
    <xf numFmtId="164" fontId="26" fillId="0" borderId="11" xfId="43" applyNumberFormat="1" applyFont="1" applyBorder="1" applyAlignment="1">
      <alignment horizontal="center"/>
    </xf>
    <xf numFmtId="164" fontId="26" fillId="0" borderId="14" xfId="43" applyNumberFormat="1" applyFont="1" applyBorder="1" applyAlignment="1">
      <alignment horizontal="center"/>
    </xf>
    <xf numFmtId="164" fontId="26" fillId="0" borderId="16" xfId="43" applyNumberFormat="1" applyFont="1" applyBorder="1" applyAlignment="1">
      <alignment horizontal="center"/>
    </xf>
    <xf numFmtId="20" fontId="25" fillId="0" borderId="17" xfId="43" applyNumberFormat="1" applyFont="1" applyBorder="1" applyAlignment="1">
      <alignment horizontal="center"/>
    </xf>
    <xf numFmtId="0" fontId="25" fillId="0" borderId="17" xfId="43" applyFont="1" applyBorder="1" applyAlignment="1">
      <alignment horizontal="left"/>
    </xf>
    <xf numFmtId="0" fontId="25" fillId="0" borderId="17" xfId="43" applyFont="1" applyBorder="1" applyAlignment="1">
      <alignment horizontal="center"/>
    </xf>
    <xf numFmtId="0" fontId="25" fillId="0" borderId="13" xfId="43" applyFont="1" applyBorder="1" applyAlignment="1">
      <alignment horizontal="center"/>
    </xf>
    <xf numFmtId="0" fontId="25" fillId="0" borderId="15" xfId="43" applyFont="1" applyBorder="1" applyAlignment="1">
      <alignment horizontal="center"/>
    </xf>
    <xf numFmtId="0" fontId="25" fillId="0" borderId="18" xfId="43" applyFont="1" applyBorder="1" applyAlignment="1">
      <alignment horizontal="center"/>
    </xf>
    <xf numFmtId="2" fontId="25" fillId="0" borderId="12" xfId="43" applyNumberFormat="1" applyFont="1" applyBorder="1" applyAlignment="1">
      <alignment horizontal="center"/>
    </xf>
    <xf numFmtId="2" fontId="25" fillId="0" borderId="11" xfId="43" applyNumberFormat="1" applyFont="1" applyBorder="1" applyAlignment="1">
      <alignment horizontal="center"/>
    </xf>
    <xf numFmtId="2" fontId="25" fillId="0" borderId="14" xfId="43" applyNumberFormat="1" applyFont="1" applyBorder="1" applyAlignment="1">
      <alignment horizontal="center"/>
    </xf>
    <xf numFmtId="2" fontId="25" fillId="0" borderId="16" xfId="43" applyNumberFormat="1" applyFont="1" applyBorder="1" applyAlignment="1">
      <alignment horizontal="center"/>
    </xf>
    <xf numFmtId="2" fontId="25" fillId="0" borderId="17" xfId="43" applyNumberFormat="1" applyFont="1" applyBorder="1" applyAlignment="1">
      <alignment horizontal="center"/>
    </xf>
    <xf numFmtId="2" fontId="25" fillId="0" borderId="13" xfId="43" applyNumberFormat="1" applyFont="1" applyBorder="1" applyAlignment="1">
      <alignment horizontal="center"/>
    </xf>
    <xf numFmtId="2" fontId="25" fillId="0" borderId="15" xfId="43" applyNumberFormat="1" applyFont="1" applyBorder="1" applyAlignment="1">
      <alignment horizontal="center"/>
    </xf>
    <xf numFmtId="2" fontId="25" fillId="0" borderId="18" xfId="43" applyNumberFormat="1" applyFont="1" applyBorder="1" applyAlignment="1">
      <alignment horizontal="center"/>
    </xf>
    <xf numFmtId="3" fontId="25" fillId="0" borderId="12" xfId="43" applyNumberFormat="1" applyFont="1" applyBorder="1" applyAlignment="1">
      <alignment horizontal="center"/>
    </xf>
    <xf numFmtId="3" fontId="25" fillId="0" borderId="11" xfId="43" applyNumberFormat="1" applyFont="1" applyBorder="1" applyAlignment="1">
      <alignment horizontal="center"/>
    </xf>
    <xf numFmtId="3" fontId="25" fillId="0" borderId="14" xfId="43" applyNumberFormat="1" applyFont="1" applyBorder="1" applyAlignment="1">
      <alignment horizontal="center"/>
    </xf>
    <xf numFmtId="3" fontId="25" fillId="0" borderId="16" xfId="43" applyNumberFormat="1" applyFont="1" applyBorder="1" applyAlignment="1">
      <alignment horizontal="center"/>
    </xf>
    <xf numFmtId="3" fontId="25" fillId="0" borderId="17" xfId="43" applyNumberFormat="1" applyFont="1" applyBorder="1" applyAlignment="1">
      <alignment horizontal="center"/>
    </xf>
    <xf numFmtId="3" fontId="25" fillId="0" borderId="13" xfId="43" applyNumberFormat="1" applyFont="1" applyBorder="1" applyAlignment="1">
      <alignment horizontal="center"/>
    </xf>
    <xf numFmtId="3" fontId="25" fillId="0" borderId="15" xfId="43" applyNumberFormat="1" applyFont="1" applyBorder="1" applyAlignment="1">
      <alignment horizontal="center"/>
    </xf>
    <xf numFmtId="3" fontId="25" fillId="0" borderId="18" xfId="43" applyNumberFormat="1" applyFont="1" applyBorder="1" applyAlignment="1">
      <alignment horizontal="center"/>
    </xf>
    <xf numFmtId="0" fontId="25" fillId="0" borderId="14" xfId="43" applyFont="1" applyBorder="1" applyAlignment="1">
      <alignment horizontal="left"/>
    </xf>
    <xf numFmtId="0" fontId="25" fillId="0" borderId="13" xfId="43" applyFont="1" applyBorder="1" applyAlignment="1">
      <alignment horizontal="left"/>
    </xf>
    <xf numFmtId="0" fontId="25" fillId="0" borderId="15" xfId="43" applyFont="1" applyBorder="1" applyAlignment="1">
      <alignment horizontal="left"/>
    </xf>
    <xf numFmtId="0" fontId="25" fillId="0" borderId="18" xfId="43" applyFont="1" applyBorder="1" applyAlignment="1">
      <alignment horizontal="left"/>
    </xf>
    <xf numFmtId="0" fontId="16" fillId="0" borderId="0" xfId="0" applyFont="1"/>
    <xf numFmtId="1" fontId="31" fillId="0" borderId="0" xfId="44" applyNumberFormat="1" applyFont="1"/>
    <xf numFmtId="2" fontId="31" fillId="0" borderId="0" xfId="44" applyNumberFormat="1" applyFont="1"/>
    <xf numFmtId="0" fontId="22" fillId="34" borderId="10" xfId="42" applyFont="1" applyFill="1" applyBorder="1" applyAlignment="1" applyProtection="1">
      <alignment horizontal="center" vertical="center"/>
    </xf>
    <xf numFmtId="0" fontId="21" fillId="33" borderId="0" xfId="42" applyFont="1" applyFill="1" applyBorder="1" applyAlignment="1" applyProtection="1">
      <alignment horizontal="center" vertical="center"/>
    </xf>
    <xf numFmtId="0" fontId="20" fillId="0" borderId="0" xfId="42" applyFont="1" applyFill="1" applyBorder="1" applyAlignment="1" applyProtection="1">
      <alignment horizontal="left"/>
    </xf>
    <xf numFmtId="0" fontId="19" fillId="0" borderId="0" xfId="42" applyFont="1" applyFill="1" applyBorder="1" applyAlignment="1" applyProtection="1">
      <alignment horizontal="right"/>
    </xf>
    <xf numFmtId="0" fontId="24" fillId="0" borderId="0" xfId="43"/>
    <xf numFmtId="0" fontId="25" fillId="0" borderId="0" xfId="43" applyFont="1" applyAlignment="1">
      <alignment horizontal="right"/>
    </xf>
    <xf numFmtId="0" fontId="29" fillId="0" borderId="0" xfId="43" applyFont="1" applyAlignment="1">
      <alignment horizontal="left"/>
    </xf>
    <xf numFmtId="0" fontId="28" fillId="33" borderId="19" xfId="43" applyFont="1" applyFill="1" applyBorder="1" applyAlignment="1">
      <alignment horizontal="center" vertical="center" wrapText="1"/>
    </xf>
    <xf numFmtId="0" fontId="27" fillId="35" borderId="20" xfId="43" applyFont="1" applyFill="1" applyBorder="1" applyAlignment="1">
      <alignment horizontal="center" vertical="center" wrapText="1"/>
    </xf>
    <xf numFmtId="0" fontId="24" fillId="0" borderId="21" xfId="43" applyBorder="1"/>
    <xf numFmtId="0" fontId="24" fillId="0" borderId="22" xfId="43" applyBorder="1"/>
    <xf numFmtId="0" fontId="31" fillId="0" borderId="0" xfId="44" applyFont="1" applyFill="1"/>
    <xf numFmtId="0" fontId="32" fillId="0" borderId="0" xfId="44" applyFont="1" applyFill="1" applyAlignment="1">
      <alignment horizontal="center" vertical="center"/>
    </xf>
    <xf numFmtId="0" fontId="33" fillId="0" borderId="0" xfId="44" applyFont="1" applyFill="1" applyAlignment="1">
      <alignment horizontal="center" vertical="center" wrapText="1"/>
    </xf>
    <xf numFmtId="0" fontId="31" fillId="0" borderId="0" xfId="44" applyFont="1" applyFill="1" applyAlignment="1">
      <alignment wrapText="1"/>
    </xf>
    <xf numFmtId="0" fontId="31" fillId="0" borderId="0" xfId="44" applyFont="1" applyFill="1" applyAlignme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820CB45-1FD1-42FC-8DF5-8481420E844F}"/>
    <cellStyle name="Normal 3" xfId="43" xr:uid="{3182CA00-8CD7-4E68-AEBA-99F512E6520A}"/>
    <cellStyle name="Normal 4" xfId="44" xr:uid="{17245464-9FD8-496B-849E-8F1496FC953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F706-9A65-46A2-90AD-414DC6548BB6}">
  <dimension ref="A1:K17"/>
  <sheetViews>
    <sheetView tabSelected="1" workbookViewId="0">
      <selection activeCell="J23" sqref="J23"/>
    </sheetView>
  </sheetViews>
  <sheetFormatPr defaultRowHeight="14.6" x14ac:dyDescent="0.4"/>
  <cols>
    <col min="1" max="1" width="4.84375" bestFit="1" customWidth="1"/>
    <col min="2" max="2" width="17.3828125" customWidth="1"/>
    <col min="3" max="3" width="15.4609375" bestFit="1" customWidth="1"/>
    <col min="4" max="4" width="16.4609375" bestFit="1" customWidth="1"/>
    <col min="7" max="7" width="4.84375" bestFit="1" customWidth="1"/>
    <col min="8" max="8" width="18.23046875" bestFit="1" customWidth="1"/>
    <col min="9" max="9" width="20.3828125" bestFit="1" customWidth="1"/>
    <col min="10" max="10" width="17.921875" customWidth="1"/>
    <col min="11" max="11" width="19.3828125" bestFit="1" customWidth="1"/>
  </cols>
  <sheetData>
    <row r="1" spans="1:11" ht="18.45" x14ac:dyDescent="0.4">
      <c r="A1" s="91" t="s">
        <v>9</v>
      </c>
      <c r="B1" s="91" t="s">
        <v>99</v>
      </c>
      <c r="C1" s="91" t="s">
        <v>10</v>
      </c>
      <c r="D1" s="91" t="s">
        <v>98</v>
      </c>
      <c r="G1" s="106" t="s">
        <v>107</v>
      </c>
      <c r="H1" s="105" t="s">
        <v>100</v>
      </c>
      <c r="I1" s="105" t="s">
        <v>100</v>
      </c>
      <c r="J1" s="105" t="s">
        <v>100</v>
      </c>
      <c r="K1" s="105" t="s">
        <v>100</v>
      </c>
    </row>
    <row r="2" spans="1:11" x14ac:dyDescent="0.4">
      <c r="A2">
        <v>2019</v>
      </c>
      <c r="B2" cm="1">
        <f t="array" ref="B2">AVERAGE(_xlfn._xlws.FILTER('ETS price ICAP'!$E$3:$E$5000,YEAR('ETS price ICAP'!$A$3:$A$5000)=$A2))</f>
        <v>24.723124999999985</v>
      </c>
      <c r="C2" cm="1">
        <f t="array" ref="C2">AVERAGE(_xlfn._xlws.FILTER('ETS price ICAP'!$F$3:$F$5000,YEAR('ETS price ICAP'!$A$3:$A$5000)=$A2))</f>
        <v>24.889411764705876</v>
      </c>
      <c r="D2" cm="1">
        <f t="array" ref="D2">AVERAGE(_xlfn._xlws.FILTER('ETS price EEX 2019 Spot Primary'!$E$5:$E$220,YEAR('ETS price EEX 2019 Spot Primary'!$A$5:$A$220)=$A2))</f>
        <v>24.723379629629651</v>
      </c>
      <c r="G2" s="108"/>
      <c r="H2" s="109"/>
      <c r="I2" s="109"/>
      <c r="J2" s="109"/>
      <c r="K2" s="109"/>
    </row>
    <row r="3" spans="1:11" x14ac:dyDescent="0.4">
      <c r="A3">
        <v>2020</v>
      </c>
      <c r="B3" cm="1">
        <f t="array" ref="B3">AVERAGE(_xlfn._xlws.FILTER('ETS price ICAP'!$E$3:$E$5000,YEAR('ETS price ICAP'!$A$3:$A$5000)=$A3))</f>
        <v>24.386602870813402</v>
      </c>
      <c r="C3" cm="1">
        <f t="array" ref="C3">AVERAGE(_xlfn._xlws.FILTER('ETS price ICAP'!$F$3:$F$5000,YEAR('ETS price ICAP'!$A$3:$A$5000)=$A3))</f>
        <v>24.543999999999997</v>
      </c>
      <c r="G3" s="107" t="s">
        <v>9</v>
      </c>
      <c r="H3" s="107" t="s">
        <v>105</v>
      </c>
      <c r="I3" s="107" t="s">
        <v>106</v>
      </c>
      <c r="J3" s="107" t="s">
        <v>104</v>
      </c>
      <c r="K3" s="107" t="s">
        <v>103</v>
      </c>
    </row>
    <row r="4" spans="1:11" ht="14.6" customHeight="1" x14ac:dyDescent="0.4">
      <c r="A4">
        <f t="shared" ref="A4:A9" si="0">A3+1</f>
        <v>2021</v>
      </c>
      <c r="B4" cm="1">
        <f t="array" ref="B4">AVERAGE(_xlfn._xlws.FILTER('ETS price ICAP'!$E$3:$E$5000,YEAR('ETS price ICAP'!$A$3:$A$5000)=$A4))</f>
        <v>54.151569506726467</v>
      </c>
      <c r="C4" cm="1">
        <f t="array" ref="C4">AVERAGE(_xlfn._xlws.FILTER('ETS price ICAP'!$F$3:$F$5000,YEAR('ETS price ICAP'!$A$3:$A$5000)=$A4))</f>
        <v>53.135686274509816</v>
      </c>
      <c r="G4" s="92">
        <v>2013</v>
      </c>
      <c r="H4" s="93">
        <v>4.3731</v>
      </c>
      <c r="I4" s="93" t="s">
        <v>101</v>
      </c>
      <c r="J4" s="93">
        <v>4.3792999999999997</v>
      </c>
      <c r="K4" s="93" t="s">
        <v>102</v>
      </c>
    </row>
    <row r="5" spans="1:11" x14ac:dyDescent="0.4">
      <c r="A5">
        <f t="shared" si="0"/>
        <v>2022</v>
      </c>
      <c r="B5" cm="1">
        <f t="array" ref="B5">AVERAGE(_xlfn._xlws.FILTER('ETS price ICAP'!$E$3:$E$5000,YEAR('ETS price ICAP'!$A$3:$A$5000)=$A5))</f>
        <v>80.184045454545412</v>
      </c>
      <c r="C5" cm="1">
        <f t="array" ref="C5">AVERAGE(_xlfn._xlws.FILTER('ETS price ICAP'!$F$3:$F$5000,YEAR('ETS price ICAP'!$A$3:$A$5000)=$A5))</f>
        <v>81.073461538461544</v>
      </c>
      <c r="D5" cm="1">
        <f t="array" ref="D5">AVERAGE(_xlfn._xlws.FILTER('ETS price EEX 2022 Spot Primary'!$F$6:$F$250,YEAR('ETS price EEX 2022 Spot Primary'!$A$6:$A$250)=$A5))</f>
        <v>80.184045454545426</v>
      </c>
      <c r="G5" s="92">
        <v>2014</v>
      </c>
      <c r="H5" s="93">
        <v>5.9123000000000001</v>
      </c>
      <c r="I5" s="93" t="s">
        <v>101</v>
      </c>
      <c r="J5" s="93">
        <v>5.9123000000000001</v>
      </c>
      <c r="K5" s="93" t="s">
        <v>102</v>
      </c>
    </row>
    <row r="6" spans="1:11" x14ac:dyDescent="0.4">
      <c r="A6">
        <f t="shared" si="0"/>
        <v>2023</v>
      </c>
      <c r="B6" cm="1">
        <f t="array" ref="B6">AVERAGE(_xlfn._xlws.FILTER('ETS price ICAP'!$E$3:$E$5000,YEAR('ETS price ICAP'!$A$3:$A$5000)=$A6))</f>
        <v>83.596502242152496</v>
      </c>
      <c r="C6" cm="1">
        <f t="array" ref="C6">AVERAGE(_xlfn._xlws.FILTER('ETS price ICAP'!$F$3:$F$5000,YEAR('ETS price ICAP'!$A$3:$A$5000)=$A6))</f>
        <v>85.384000000000015</v>
      </c>
      <c r="G6" s="92">
        <v>2015</v>
      </c>
      <c r="H6" s="93">
        <v>7.6189999999999998</v>
      </c>
      <c r="I6" s="93" t="s">
        <v>101</v>
      </c>
      <c r="J6" s="93">
        <v>7.6102999999999996</v>
      </c>
      <c r="K6" s="93" t="s">
        <v>102</v>
      </c>
    </row>
    <row r="7" spans="1:11" x14ac:dyDescent="0.4">
      <c r="A7">
        <f t="shared" si="0"/>
        <v>2024</v>
      </c>
      <c r="B7" cm="1">
        <f t="array" ref="B7">AVERAGE(_xlfn._xlws.FILTER('ETS price ICAP'!$E$3:$E$5000,YEAR('ETS price ICAP'!$A$3:$A$5000)=$A7))</f>
        <v>64.757013574660633</v>
      </c>
      <c r="C7" cm="1">
        <f t="array" ref="C7">AVERAGE(_xlfn._xlws.FILTER('ETS price ICAP'!$F$3:$F$5000,YEAR('ETS price ICAP'!$A$3:$A$5000)=$A7))</f>
        <v>66.586538461538439</v>
      </c>
      <c r="G7" s="92">
        <v>2016</v>
      </c>
      <c r="H7" s="93">
        <v>5.2474999999999996</v>
      </c>
      <c r="I7" s="93" t="s">
        <v>101</v>
      </c>
      <c r="J7" s="93">
        <v>5.2474999999999996</v>
      </c>
      <c r="K7" s="93" t="s">
        <v>102</v>
      </c>
    </row>
    <row r="8" spans="1:11" x14ac:dyDescent="0.4">
      <c r="A8">
        <f t="shared" si="0"/>
        <v>2025</v>
      </c>
      <c r="B8" cm="1">
        <f t="array" ref="B8">AVERAGE(_xlfn._xlws.FILTER('ETS price ICAP'!$E$3:$E$5000,YEAR('ETS price ICAP'!$A$3:$A$5000)=$A8))</f>
        <v>73.452488262910762</v>
      </c>
      <c r="C8" cm="1">
        <f t="array" ref="C8">AVERAGE(_xlfn._xlws.FILTER('ETS price ICAP'!$F$3:$F$5000,YEAR('ETS price ICAP'!$A$3:$A$5000)=$A8))</f>
        <v>72.686153846153857</v>
      </c>
      <c r="G8" s="92">
        <v>2017</v>
      </c>
      <c r="H8" s="93">
        <v>5.7572999999999999</v>
      </c>
      <c r="I8" s="93" t="s">
        <v>101</v>
      </c>
      <c r="J8" s="93">
        <v>5.7953000000000001</v>
      </c>
      <c r="K8" s="93" t="s">
        <v>102</v>
      </c>
    </row>
    <row r="9" spans="1:11" x14ac:dyDescent="0.4">
      <c r="A9">
        <f t="shared" si="0"/>
        <v>2026</v>
      </c>
      <c r="B9" cm="1">
        <f t="array" ref="B9">AVERAGE(_xlfn._xlws.FILTER('ETS price ICAP'!$E$3:$E$5000,YEAR('ETS price ICAP'!$A$3:$A$5000)=$A9))</f>
        <v>74.928636363636357</v>
      </c>
      <c r="C9" t="e" cm="1">
        <f t="array" ref="C9">AVERAGE(_xlfn._xlws.FILTER('ETS price ICAP'!$F$3:$F$5000,YEAR('ETS price ICAP'!$A$3:$A$5000)=$A9))</f>
        <v>#DIV/0!</v>
      </c>
      <c r="G9" s="92">
        <v>2018</v>
      </c>
      <c r="H9" s="93">
        <v>15.4771</v>
      </c>
      <c r="I9" s="93" t="s">
        <v>101</v>
      </c>
      <c r="J9" s="93">
        <v>15.561500000000001</v>
      </c>
      <c r="K9" s="93" t="s">
        <v>102</v>
      </c>
    </row>
    <row r="10" spans="1:11" x14ac:dyDescent="0.4">
      <c r="G10" s="92">
        <v>2019</v>
      </c>
      <c r="H10" s="93">
        <v>24.723099999999999</v>
      </c>
      <c r="I10" s="93">
        <v>24.889399999999998</v>
      </c>
      <c r="J10" s="93">
        <v>24.723400000000002</v>
      </c>
      <c r="K10" s="93" t="s">
        <v>102</v>
      </c>
    </row>
    <row r="11" spans="1:11" x14ac:dyDescent="0.4">
      <c r="G11" s="92">
        <v>2020</v>
      </c>
      <c r="H11" s="93">
        <v>24.386600000000001</v>
      </c>
      <c r="I11" s="93">
        <v>24.544</v>
      </c>
      <c r="J11" s="93">
        <v>24.37</v>
      </c>
      <c r="K11" s="93" t="s">
        <v>102</v>
      </c>
    </row>
    <row r="12" spans="1:11" x14ac:dyDescent="0.4">
      <c r="G12" s="92">
        <v>2021</v>
      </c>
      <c r="H12" s="93">
        <v>54.151600000000002</v>
      </c>
      <c r="I12" s="93">
        <v>53.1357</v>
      </c>
      <c r="J12" s="93">
        <v>54.127600000000001</v>
      </c>
      <c r="K12" s="93" t="s">
        <v>102</v>
      </c>
    </row>
    <row r="13" spans="1:11" x14ac:dyDescent="0.4">
      <c r="G13" s="92">
        <v>2022</v>
      </c>
      <c r="H13" s="93">
        <v>80.183999999999997</v>
      </c>
      <c r="I13" s="93">
        <v>81.073499999999996</v>
      </c>
      <c r="J13" s="93">
        <v>80.183999999999997</v>
      </c>
      <c r="K13" s="93" t="s">
        <v>102</v>
      </c>
    </row>
    <row r="14" spans="1:11" x14ac:dyDescent="0.4">
      <c r="G14" s="92">
        <v>2023</v>
      </c>
      <c r="H14" s="93">
        <v>83.596500000000006</v>
      </c>
      <c r="I14" s="93">
        <v>85.384</v>
      </c>
      <c r="J14" s="93">
        <v>83.596500000000006</v>
      </c>
      <c r="K14" s="93" t="s">
        <v>102</v>
      </c>
    </row>
    <row r="15" spans="1:11" x14ac:dyDescent="0.4">
      <c r="G15" s="92">
        <v>2024</v>
      </c>
      <c r="H15" s="93">
        <v>64.757000000000005</v>
      </c>
      <c r="I15" s="93">
        <v>66.586500000000001</v>
      </c>
      <c r="J15" s="93">
        <v>64.757000000000005</v>
      </c>
      <c r="K15" s="93" t="s">
        <v>102</v>
      </c>
    </row>
    <row r="16" spans="1:11" x14ac:dyDescent="0.4">
      <c r="G16" s="92">
        <v>2025</v>
      </c>
      <c r="H16" s="93">
        <v>73.452500000000001</v>
      </c>
      <c r="I16" s="93">
        <v>72.686199999999999</v>
      </c>
      <c r="J16" s="93">
        <v>73.452500000000001</v>
      </c>
      <c r="K16" s="93" t="s">
        <v>102</v>
      </c>
    </row>
    <row r="17" spans="7:11" x14ac:dyDescent="0.4">
      <c r="G17" s="92">
        <v>2026</v>
      </c>
      <c r="H17" s="93">
        <v>74.928600000000003</v>
      </c>
      <c r="I17" s="93" t="s">
        <v>101</v>
      </c>
      <c r="J17" s="93" t="s">
        <v>101</v>
      </c>
      <c r="K17" s="93" t="s">
        <v>102</v>
      </c>
    </row>
  </sheetData>
  <mergeCells count="1">
    <mergeCell ref="G1:K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D6C9-FD82-4E89-8BED-2AC7D42BFD76}">
  <dimension ref="A1:G1623"/>
  <sheetViews>
    <sheetView workbookViewId="0">
      <selection activeCell="F22" sqref="F22"/>
    </sheetView>
  </sheetViews>
  <sheetFormatPr defaultRowHeight="14.6" x14ac:dyDescent="0.4"/>
  <cols>
    <col min="1" max="1" width="10.07421875" bestFit="1" customWidth="1"/>
  </cols>
  <sheetData>
    <row r="1" spans="1:7" x14ac:dyDescent="0.4">
      <c r="B1" t="s">
        <v>0</v>
      </c>
      <c r="G1" t="s">
        <v>1</v>
      </c>
    </row>
    <row r="2" spans="1:7" x14ac:dyDescent="0.4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1</v>
      </c>
    </row>
    <row r="3" spans="1:7" x14ac:dyDescent="0.4">
      <c r="A3" s="1">
        <v>43472</v>
      </c>
      <c r="B3">
        <v>1</v>
      </c>
      <c r="C3">
        <v>1.1416409089999999</v>
      </c>
      <c r="D3" t="s">
        <v>8</v>
      </c>
      <c r="E3">
        <v>23.01</v>
      </c>
      <c r="F3">
        <v>22.39</v>
      </c>
      <c r="G3" t="s">
        <v>1</v>
      </c>
    </row>
    <row r="4" spans="1:7" x14ac:dyDescent="0.4">
      <c r="A4" s="1">
        <v>43473</v>
      </c>
      <c r="B4">
        <v>1</v>
      </c>
      <c r="C4">
        <v>1.1416409089999999</v>
      </c>
      <c r="D4" t="s">
        <v>8</v>
      </c>
      <c r="E4">
        <v>22.4</v>
      </c>
      <c r="G4" t="s">
        <v>1</v>
      </c>
    </row>
    <row r="5" spans="1:7" x14ac:dyDescent="0.4">
      <c r="A5" s="1">
        <v>43475</v>
      </c>
      <c r="B5">
        <v>1</v>
      </c>
      <c r="C5">
        <v>1.1416409089999999</v>
      </c>
      <c r="D5" t="s">
        <v>8</v>
      </c>
      <c r="E5">
        <v>21.4</v>
      </c>
      <c r="G5" t="s">
        <v>1</v>
      </c>
    </row>
    <row r="6" spans="1:7" x14ac:dyDescent="0.4">
      <c r="A6" s="1">
        <v>43479</v>
      </c>
      <c r="B6">
        <v>1</v>
      </c>
      <c r="C6">
        <v>1.1416409089999999</v>
      </c>
      <c r="D6" t="s">
        <v>8</v>
      </c>
      <c r="E6">
        <v>21.95</v>
      </c>
      <c r="F6">
        <v>23.42</v>
      </c>
      <c r="G6" t="s">
        <v>1</v>
      </c>
    </row>
    <row r="7" spans="1:7" x14ac:dyDescent="0.4">
      <c r="A7" s="1">
        <v>43480</v>
      </c>
      <c r="B7">
        <v>1</v>
      </c>
      <c r="C7">
        <v>1.1416409089999999</v>
      </c>
      <c r="D7" t="s">
        <v>8</v>
      </c>
      <c r="E7">
        <v>22.55</v>
      </c>
      <c r="G7" t="s">
        <v>1</v>
      </c>
    </row>
    <row r="8" spans="1:7" x14ac:dyDescent="0.4">
      <c r="A8" s="1">
        <v>43481</v>
      </c>
      <c r="B8">
        <v>1</v>
      </c>
      <c r="C8">
        <v>1.1416409089999999</v>
      </c>
      <c r="D8" t="s">
        <v>8</v>
      </c>
      <c r="E8">
        <v>22.81</v>
      </c>
      <c r="G8" t="s">
        <v>1</v>
      </c>
    </row>
    <row r="9" spans="1:7" x14ac:dyDescent="0.4">
      <c r="A9" s="1">
        <v>43482</v>
      </c>
      <c r="B9">
        <v>1</v>
      </c>
      <c r="C9">
        <v>1.1416409089999999</v>
      </c>
      <c r="D9" t="s">
        <v>8</v>
      </c>
      <c r="E9">
        <v>23.55</v>
      </c>
      <c r="G9" t="s">
        <v>1</v>
      </c>
    </row>
    <row r="10" spans="1:7" x14ac:dyDescent="0.4">
      <c r="A10" s="1">
        <v>43486</v>
      </c>
      <c r="B10">
        <v>1</v>
      </c>
      <c r="C10">
        <v>1.1416409089999999</v>
      </c>
      <c r="D10" t="s">
        <v>8</v>
      </c>
      <c r="E10">
        <v>24.22</v>
      </c>
      <c r="F10">
        <v>24.48</v>
      </c>
      <c r="G10" t="s">
        <v>1</v>
      </c>
    </row>
    <row r="11" spans="1:7" x14ac:dyDescent="0.4">
      <c r="A11" s="1">
        <v>43487</v>
      </c>
      <c r="B11">
        <v>1</v>
      </c>
      <c r="C11">
        <v>1.1416409089999999</v>
      </c>
      <c r="D11" t="s">
        <v>8</v>
      </c>
      <c r="E11">
        <v>24.42</v>
      </c>
      <c r="G11" t="s">
        <v>1</v>
      </c>
    </row>
    <row r="12" spans="1:7" x14ac:dyDescent="0.4">
      <c r="A12" s="1">
        <v>43489</v>
      </c>
      <c r="B12">
        <v>1</v>
      </c>
      <c r="C12">
        <v>1.1416409089999999</v>
      </c>
      <c r="D12" t="s">
        <v>8</v>
      </c>
      <c r="E12">
        <v>24.6</v>
      </c>
      <c r="G12" t="s">
        <v>1</v>
      </c>
    </row>
    <row r="13" spans="1:7" x14ac:dyDescent="0.4">
      <c r="A13" s="1">
        <v>43493</v>
      </c>
      <c r="B13">
        <v>1</v>
      </c>
      <c r="C13">
        <v>1.1416409089999999</v>
      </c>
      <c r="D13" t="s">
        <v>8</v>
      </c>
      <c r="E13">
        <v>23.01</v>
      </c>
      <c r="F13">
        <v>22.7</v>
      </c>
      <c r="G13" t="s">
        <v>1</v>
      </c>
    </row>
    <row r="14" spans="1:7" x14ac:dyDescent="0.4">
      <c r="A14" s="1">
        <v>43494</v>
      </c>
      <c r="B14">
        <v>1</v>
      </c>
      <c r="C14">
        <v>1.1416409089999999</v>
      </c>
      <c r="D14" t="s">
        <v>8</v>
      </c>
      <c r="E14">
        <v>22.43</v>
      </c>
      <c r="G14" t="s">
        <v>1</v>
      </c>
    </row>
    <row r="15" spans="1:7" x14ac:dyDescent="0.4">
      <c r="A15" s="1">
        <v>43495</v>
      </c>
      <c r="B15">
        <v>1</v>
      </c>
      <c r="C15">
        <v>1.1416409089999999</v>
      </c>
      <c r="D15" t="s">
        <v>8</v>
      </c>
      <c r="E15">
        <v>22.91</v>
      </c>
      <c r="G15" t="s">
        <v>1</v>
      </c>
    </row>
    <row r="16" spans="1:7" x14ac:dyDescent="0.4">
      <c r="A16" s="1">
        <v>43496</v>
      </c>
      <c r="B16">
        <v>1</v>
      </c>
      <c r="C16">
        <v>1.1416409089999999</v>
      </c>
      <c r="D16" t="s">
        <v>8</v>
      </c>
      <c r="E16">
        <v>22.3</v>
      </c>
      <c r="G16" t="s">
        <v>1</v>
      </c>
    </row>
    <row r="17" spans="1:7" x14ac:dyDescent="0.4">
      <c r="A17" s="1">
        <v>43497</v>
      </c>
      <c r="B17">
        <v>1</v>
      </c>
      <c r="C17">
        <v>1.1351150000000001</v>
      </c>
      <c r="D17" t="s">
        <v>8</v>
      </c>
      <c r="E17">
        <v>21.38</v>
      </c>
      <c r="G17" t="s">
        <v>1</v>
      </c>
    </row>
    <row r="18" spans="1:7" x14ac:dyDescent="0.4">
      <c r="A18" s="1">
        <v>43500</v>
      </c>
      <c r="B18">
        <v>1</v>
      </c>
      <c r="C18">
        <v>1.1351150000000001</v>
      </c>
      <c r="D18" t="s">
        <v>8</v>
      </c>
      <c r="E18">
        <v>21.38</v>
      </c>
      <c r="F18">
        <v>23.16</v>
      </c>
      <c r="G18" t="s">
        <v>1</v>
      </c>
    </row>
    <row r="19" spans="1:7" x14ac:dyDescent="0.4">
      <c r="A19" s="1">
        <v>43501</v>
      </c>
      <c r="B19">
        <v>1</v>
      </c>
      <c r="C19">
        <v>1.1351150000000001</v>
      </c>
      <c r="D19" t="s">
        <v>8</v>
      </c>
      <c r="E19">
        <v>22.93</v>
      </c>
      <c r="G19" t="s">
        <v>1</v>
      </c>
    </row>
    <row r="20" spans="1:7" x14ac:dyDescent="0.4">
      <c r="A20" s="1">
        <v>43503</v>
      </c>
      <c r="B20">
        <v>1</v>
      </c>
      <c r="C20">
        <v>1.1351150000000001</v>
      </c>
      <c r="D20" t="s">
        <v>8</v>
      </c>
      <c r="E20">
        <v>23.8</v>
      </c>
      <c r="G20" t="s">
        <v>1</v>
      </c>
    </row>
    <row r="21" spans="1:7" x14ac:dyDescent="0.4">
      <c r="A21" s="1">
        <v>43504</v>
      </c>
      <c r="B21">
        <v>1</v>
      </c>
      <c r="C21">
        <v>1.1351150000000001</v>
      </c>
      <c r="D21" t="s">
        <v>8</v>
      </c>
      <c r="E21">
        <v>23.28</v>
      </c>
      <c r="G21" t="s">
        <v>1</v>
      </c>
    </row>
    <row r="22" spans="1:7" x14ac:dyDescent="0.4">
      <c r="A22" s="1">
        <v>43507</v>
      </c>
      <c r="B22">
        <v>1</v>
      </c>
      <c r="C22">
        <v>1.1351150000000001</v>
      </c>
      <c r="D22" t="s">
        <v>8</v>
      </c>
      <c r="E22">
        <v>21.8</v>
      </c>
      <c r="F22">
        <v>20.85</v>
      </c>
      <c r="G22" t="s">
        <v>1</v>
      </c>
    </row>
    <row r="23" spans="1:7" x14ac:dyDescent="0.4">
      <c r="A23" s="1">
        <v>43508</v>
      </c>
      <c r="B23">
        <v>1</v>
      </c>
      <c r="C23">
        <v>1.1351150000000001</v>
      </c>
      <c r="D23" t="s">
        <v>8</v>
      </c>
      <c r="E23">
        <v>21.71</v>
      </c>
      <c r="G23" t="s">
        <v>1</v>
      </c>
    </row>
    <row r="24" spans="1:7" x14ac:dyDescent="0.4">
      <c r="A24" s="1">
        <v>43509</v>
      </c>
      <c r="B24">
        <v>1</v>
      </c>
      <c r="C24">
        <v>1.1351150000000001</v>
      </c>
      <c r="D24" t="s">
        <v>8</v>
      </c>
      <c r="E24">
        <v>20.010000000000002</v>
      </c>
      <c r="G24" t="s">
        <v>1</v>
      </c>
    </row>
    <row r="25" spans="1:7" x14ac:dyDescent="0.4">
      <c r="A25" s="1">
        <v>43510</v>
      </c>
      <c r="B25">
        <v>1</v>
      </c>
      <c r="C25">
        <v>1.1351150000000001</v>
      </c>
      <c r="D25" t="s">
        <v>8</v>
      </c>
      <c r="E25">
        <v>20.86</v>
      </c>
      <c r="G25" t="s">
        <v>1</v>
      </c>
    </row>
    <row r="26" spans="1:7" x14ac:dyDescent="0.4">
      <c r="A26" s="1">
        <v>43511</v>
      </c>
      <c r="B26">
        <v>1</v>
      </c>
      <c r="C26">
        <v>1.1351150000000001</v>
      </c>
      <c r="D26" t="s">
        <v>8</v>
      </c>
      <c r="E26">
        <v>19.989999999999998</v>
      </c>
      <c r="G26" t="s">
        <v>1</v>
      </c>
    </row>
    <row r="27" spans="1:7" x14ac:dyDescent="0.4">
      <c r="A27" s="1">
        <v>43514</v>
      </c>
      <c r="B27">
        <v>1</v>
      </c>
      <c r="C27">
        <v>1.1351150000000001</v>
      </c>
      <c r="D27" t="s">
        <v>8</v>
      </c>
      <c r="E27">
        <v>20.14</v>
      </c>
      <c r="F27">
        <v>19.690000000000001</v>
      </c>
      <c r="G27" t="s">
        <v>1</v>
      </c>
    </row>
    <row r="28" spans="1:7" x14ac:dyDescent="0.4">
      <c r="A28" s="1">
        <v>43515</v>
      </c>
      <c r="B28">
        <v>1</v>
      </c>
      <c r="C28">
        <v>1.1351150000000001</v>
      </c>
      <c r="D28" t="s">
        <v>8</v>
      </c>
      <c r="E28">
        <v>20.260000000000002</v>
      </c>
      <c r="G28" t="s">
        <v>1</v>
      </c>
    </row>
    <row r="29" spans="1:7" x14ac:dyDescent="0.4">
      <c r="A29" s="1">
        <v>43517</v>
      </c>
      <c r="B29">
        <v>1</v>
      </c>
      <c r="C29">
        <v>1.1351150000000001</v>
      </c>
      <c r="D29" t="s">
        <v>8</v>
      </c>
      <c r="E29">
        <v>19.850000000000001</v>
      </c>
      <c r="G29" t="s">
        <v>1</v>
      </c>
    </row>
    <row r="30" spans="1:7" x14ac:dyDescent="0.4">
      <c r="A30" s="1">
        <v>43518</v>
      </c>
      <c r="B30">
        <v>1</v>
      </c>
      <c r="C30">
        <v>1.1351150000000001</v>
      </c>
      <c r="D30" t="s">
        <v>8</v>
      </c>
      <c r="E30">
        <v>18.350000000000001</v>
      </c>
      <c r="G30" t="s">
        <v>1</v>
      </c>
    </row>
    <row r="31" spans="1:7" x14ac:dyDescent="0.4">
      <c r="A31" s="1">
        <v>43521</v>
      </c>
      <c r="B31">
        <v>1</v>
      </c>
      <c r="C31">
        <v>1.1351150000000001</v>
      </c>
      <c r="D31" t="s">
        <v>8</v>
      </c>
      <c r="E31">
        <v>18.62</v>
      </c>
      <c r="F31">
        <v>20.83</v>
      </c>
      <c r="G31" t="s">
        <v>1</v>
      </c>
    </row>
    <row r="32" spans="1:7" x14ac:dyDescent="0.4">
      <c r="A32" s="1">
        <v>43522</v>
      </c>
      <c r="B32">
        <v>1</v>
      </c>
      <c r="C32">
        <v>1.1351150000000001</v>
      </c>
      <c r="D32" t="s">
        <v>8</v>
      </c>
      <c r="E32">
        <v>19.600000000000001</v>
      </c>
      <c r="G32" t="s">
        <v>1</v>
      </c>
    </row>
    <row r="33" spans="1:7" x14ac:dyDescent="0.4">
      <c r="A33" s="1">
        <v>43523</v>
      </c>
      <c r="B33">
        <v>1</v>
      </c>
      <c r="C33">
        <v>1.1351150000000001</v>
      </c>
      <c r="D33" t="s">
        <v>8</v>
      </c>
      <c r="E33">
        <v>20.309999999999999</v>
      </c>
      <c r="G33" t="s">
        <v>1</v>
      </c>
    </row>
    <row r="34" spans="1:7" x14ac:dyDescent="0.4">
      <c r="A34" s="1">
        <v>43524</v>
      </c>
      <c r="B34">
        <v>1</v>
      </c>
      <c r="C34">
        <v>1.1351150000000001</v>
      </c>
      <c r="D34" t="s">
        <v>8</v>
      </c>
      <c r="E34">
        <v>20.9</v>
      </c>
      <c r="G34" t="s">
        <v>1</v>
      </c>
    </row>
    <row r="35" spans="1:7" x14ac:dyDescent="0.4">
      <c r="A35" s="1">
        <v>43525</v>
      </c>
      <c r="B35">
        <v>1</v>
      </c>
      <c r="C35">
        <v>1.1302476189999999</v>
      </c>
      <c r="D35" t="s">
        <v>8</v>
      </c>
      <c r="E35">
        <v>21.31</v>
      </c>
      <c r="G35" t="s">
        <v>1</v>
      </c>
    </row>
    <row r="36" spans="1:7" x14ac:dyDescent="0.4">
      <c r="A36" s="1">
        <v>43528</v>
      </c>
      <c r="B36">
        <v>1</v>
      </c>
      <c r="C36">
        <v>1.1302476189999999</v>
      </c>
      <c r="D36" t="s">
        <v>8</v>
      </c>
      <c r="E36">
        <v>22.12</v>
      </c>
      <c r="F36">
        <v>22.9</v>
      </c>
      <c r="G36" t="s">
        <v>1</v>
      </c>
    </row>
    <row r="37" spans="1:7" x14ac:dyDescent="0.4">
      <c r="A37" s="1">
        <v>43529</v>
      </c>
      <c r="B37">
        <v>1</v>
      </c>
      <c r="C37">
        <v>1.1302476189999999</v>
      </c>
      <c r="D37" t="s">
        <v>8</v>
      </c>
      <c r="E37">
        <v>22.86</v>
      </c>
      <c r="G37" t="s">
        <v>1</v>
      </c>
    </row>
    <row r="38" spans="1:7" x14ac:dyDescent="0.4">
      <c r="A38" s="1">
        <v>43531</v>
      </c>
      <c r="B38">
        <v>1</v>
      </c>
      <c r="C38">
        <v>1.1302476189999999</v>
      </c>
      <c r="D38" t="s">
        <v>8</v>
      </c>
      <c r="E38">
        <v>22.03</v>
      </c>
      <c r="G38" t="s">
        <v>1</v>
      </c>
    </row>
    <row r="39" spans="1:7" x14ac:dyDescent="0.4">
      <c r="A39" s="1">
        <v>43532</v>
      </c>
      <c r="B39">
        <v>1</v>
      </c>
      <c r="C39">
        <v>1.1302476189999999</v>
      </c>
      <c r="D39" t="s">
        <v>8</v>
      </c>
      <c r="E39">
        <v>22.88</v>
      </c>
      <c r="G39" t="s">
        <v>1</v>
      </c>
    </row>
    <row r="40" spans="1:7" x14ac:dyDescent="0.4">
      <c r="A40" s="1">
        <v>43535</v>
      </c>
      <c r="B40">
        <v>1</v>
      </c>
      <c r="C40">
        <v>1.1302476189999999</v>
      </c>
      <c r="D40" t="s">
        <v>8</v>
      </c>
      <c r="E40">
        <v>22.6</v>
      </c>
      <c r="F40">
        <v>22.42</v>
      </c>
      <c r="G40" t="s">
        <v>1</v>
      </c>
    </row>
    <row r="41" spans="1:7" x14ac:dyDescent="0.4">
      <c r="A41" s="1">
        <v>43536</v>
      </c>
      <c r="B41">
        <v>1</v>
      </c>
      <c r="C41">
        <v>1.1302476189999999</v>
      </c>
      <c r="D41" t="s">
        <v>8</v>
      </c>
      <c r="E41">
        <v>22.48</v>
      </c>
      <c r="G41" t="s">
        <v>1</v>
      </c>
    </row>
    <row r="42" spans="1:7" x14ac:dyDescent="0.4">
      <c r="A42" s="1">
        <v>43537</v>
      </c>
      <c r="B42">
        <v>1</v>
      </c>
      <c r="C42">
        <v>1.1302476189999999</v>
      </c>
      <c r="D42" t="s">
        <v>8</v>
      </c>
      <c r="E42">
        <v>21.98</v>
      </c>
      <c r="G42" t="s">
        <v>1</v>
      </c>
    </row>
    <row r="43" spans="1:7" x14ac:dyDescent="0.4">
      <c r="A43" s="1">
        <v>43538</v>
      </c>
      <c r="B43">
        <v>1</v>
      </c>
      <c r="C43">
        <v>1.1302476189999999</v>
      </c>
      <c r="D43" t="s">
        <v>8</v>
      </c>
      <c r="E43">
        <v>22.23</v>
      </c>
      <c r="G43" t="s">
        <v>1</v>
      </c>
    </row>
    <row r="44" spans="1:7" x14ac:dyDescent="0.4">
      <c r="A44" s="1">
        <v>43539</v>
      </c>
      <c r="B44">
        <v>1</v>
      </c>
      <c r="C44">
        <v>1.1302476189999999</v>
      </c>
      <c r="D44" t="s">
        <v>8</v>
      </c>
      <c r="E44">
        <v>22.77</v>
      </c>
      <c r="G44" t="s">
        <v>1</v>
      </c>
    </row>
    <row r="45" spans="1:7" x14ac:dyDescent="0.4">
      <c r="A45" s="1">
        <v>43542</v>
      </c>
      <c r="B45">
        <v>1</v>
      </c>
      <c r="C45">
        <v>1.1302476189999999</v>
      </c>
      <c r="D45" t="s">
        <v>8</v>
      </c>
      <c r="E45">
        <v>21.5</v>
      </c>
      <c r="F45">
        <v>21.24</v>
      </c>
      <c r="G45" t="s">
        <v>1</v>
      </c>
    </row>
    <row r="46" spans="1:7" x14ac:dyDescent="0.4">
      <c r="A46" s="1">
        <v>43543</v>
      </c>
      <c r="B46">
        <v>1</v>
      </c>
      <c r="C46">
        <v>1.1302476189999999</v>
      </c>
      <c r="D46" t="s">
        <v>8</v>
      </c>
      <c r="E46">
        <v>21.35</v>
      </c>
      <c r="G46" t="s">
        <v>1</v>
      </c>
    </row>
    <row r="47" spans="1:7" x14ac:dyDescent="0.4">
      <c r="A47" s="1">
        <v>43545</v>
      </c>
      <c r="B47">
        <v>1</v>
      </c>
      <c r="C47">
        <v>1.1302476189999999</v>
      </c>
      <c r="D47" t="s">
        <v>8</v>
      </c>
      <c r="E47">
        <v>21.1</v>
      </c>
      <c r="G47" t="s">
        <v>1</v>
      </c>
    </row>
    <row r="48" spans="1:7" x14ac:dyDescent="0.4">
      <c r="A48" s="1">
        <v>43546</v>
      </c>
      <c r="B48">
        <v>1</v>
      </c>
      <c r="C48">
        <v>1.1302476189999999</v>
      </c>
      <c r="D48" t="s">
        <v>8</v>
      </c>
      <c r="E48">
        <v>20.64</v>
      </c>
      <c r="G48" t="s">
        <v>1</v>
      </c>
    </row>
    <row r="49" spans="1:7" x14ac:dyDescent="0.4">
      <c r="A49" s="1">
        <v>43549</v>
      </c>
      <c r="B49">
        <v>1</v>
      </c>
      <c r="C49">
        <v>1.1302476189999999</v>
      </c>
      <c r="D49" t="s">
        <v>8</v>
      </c>
      <c r="E49">
        <v>20.6</v>
      </c>
      <c r="F49">
        <v>21.63</v>
      </c>
      <c r="G49" t="s">
        <v>1</v>
      </c>
    </row>
    <row r="50" spans="1:7" x14ac:dyDescent="0.4">
      <c r="A50" s="1">
        <v>43550</v>
      </c>
      <c r="B50">
        <v>1</v>
      </c>
      <c r="C50">
        <v>1.1302476189999999</v>
      </c>
      <c r="D50" t="s">
        <v>8</v>
      </c>
      <c r="E50">
        <v>21.17</v>
      </c>
      <c r="G50" t="s">
        <v>1</v>
      </c>
    </row>
    <row r="51" spans="1:7" x14ac:dyDescent="0.4">
      <c r="A51" s="1">
        <v>43551</v>
      </c>
      <c r="B51">
        <v>1</v>
      </c>
      <c r="C51">
        <v>1.1302476189999999</v>
      </c>
      <c r="D51" t="s">
        <v>8</v>
      </c>
      <c r="E51">
        <v>21.45</v>
      </c>
      <c r="G51" t="s">
        <v>1</v>
      </c>
    </row>
    <row r="52" spans="1:7" x14ac:dyDescent="0.4">
      <c r="A52" s="1">
        <v>43552</v>
      </c>
      <c r="B52">
        <v>1</v>
      </c>
      <c r="C52">
        <v>1.1302476189999999</v>
      </c>
      <c r="D52" t="s">
        <v>8</v>
      </c>
      <c r="E52">
        <v>21.55</v>
      </c>
      <c r="G52" t="s">
        <v>1</v>
      </c>
    </row>
    <row r="53" spans="1:7" x14ac:dyDescent="0.4">
      <c r="A53" s="1">
        <v>43553</v>
      </c>
      <c r="B53">
        <v>1</v>
      </c>
      <c r="C53">
        <v>1.1302476189999999</v>
      </c>
      <c r="D53" t="s">
        <v>8</v>
      </c>
      <c r="E53">
        <v>21.83</v>
      </c>
      <c r="G53" t="s">
        <v>1</v>
      </c>
    </row>
    <row r="54" spans="1:7" x14ac:dyDescent="0.4">
      <c r="A54" s="1">
        <v>43556</v>
      </c>
      <c r="B54">
        <v>1</v>
      </c>
      <c r="C54">
        <v>1.1238250000000001</v>
      </c>
      <c r="D54" t="s">
        <v>8</v>
      </c>
      <c r="E54">
        <v>21.06</v>
      </c>
      <c r="F54">
        <v>23.22</v>
      </c>
      <c r="G54" t="s">
        <v>1</v>
      </c>
    </row>
    <row r="55" spans="1:7" x14ac:dyDescent="0.4">
      <c r="A55" s="1">
        <v>43557</v>
      </c>
      <c r="B55">
        <v>1</v>
      </c>
      <c r="C55">
        <v>1.1238250000000001</v>
      </c>
      <c r="D55" t="s">
        <v>8</v>
      </c>
      <c r="E55">
        <v>21.4</v>
      </c>
      <c r="G55" t="s">
        <v>1</v>
      </c>
    </row>
    <row r="56" spans="1:7" x14ac:dyDescent="0.4">
      <c r="A56" s="1">
        <v>43559</v>
      </c>
      <c r="B56">
        <v>1</v>
      </c>
      <c r="C56">
        <v>1.1238250000000001</v>
      </c>
      <c r="D56" t="s">
        <v>8</v>
      </c>
      <c r="E56">
        <v>23.65</v>
      </c>
      <c r="G56" t="s">
        <v>1</v>
      </c>
    </row>
    <row r="57" spans="1:7" x14ac:dyDescent="0.4">
      <c r="A57" s="1">
        <v>43560</v>
      </c>
      <c r="B57">
        <v>1</v>
      </c>
      <c r="C57">
        <v>1.1238250000000001</v>
      </c>
      <c r="D57" t="s">
        <v>8</v>
      </c>
      <c r="E57">
        <v>24.17</v>
      </c>
      <c r="G57" t="s">
        <v>1</v>
      </c>
    </row>
    <row r="58" spans="1:7" x14ac:dyDescent="0.4">
      <c r="A58" s="1">
        <v>43563</v>
      </c>
      <c r="B58">
        <v>1</v>
      </c>
      <c r="C58">
        <v>1.1238250000000001</v>
      </c>
      <c r="D58" t="s">
        <v>8</v>
      </c>
      <c r="E58">
        <v>24.07</v>
      </c>
      <c r="F58">
        <v>25.97</v>
      </c>
      <c r="G58" t="s">
        <v>1</v>
      </c>
    </row>
    <row r="59" spans="1:7" x14ac:dyDescent="0.4">
      <c r="A59" s="1">
        <v>43564</v>
      </c>
      <c r="B59">
        <v>1</v>
      </c>
      <c r="C59">
        <v>1.1238250000000001</v>
      </c>
      <c r="D59" t="s">
        <v>8</v>
      </c>
      <c r="E59">
        <v>25.2</v>
      </c>
      <c r="G59" t="s">
        <v>1</v>
      </c>
    </row>
    <row r="60" spans="1:7" x14ac:dyDescent="0.4">
      <c r="A60" s="1">
        <v>43565</v>
      </c>
      <c r="B60">
        <v>1</v>
      </c>
      <c r="C60">
        <v>1.1238250000000001</v>
      </c>
      <c r="D60" t="s">
        <v>8</v>
      </c>
      <c r="E60">
        <v>26.21</v>
      </c>
      <c r="G60" t="s">
        <v>1</v>
      </c>
    </row>
    <row r="61" spans="1:7" x14ac:dyDescent="0.4">
      <c r="A61" s="1">
        <v>43566</v>
      </c>
      <c r="B61">
        <v>1</v>
      </c>
      <c r="C61">
        <v>1.1238250000000001</v>
      </c>
      <c r="D61" t="s">
        <v>8</v>
      </c>
      <c r="E61">
        <v>25.88</v>
      </c>
      <c r="G61" t="s">
        <v>1</v>
      </c>
    </row>
    <row r="62" spans="1:7" x14ac:dyDescent="0.4">
      <c r="A62" s="1">
        <v>43567</v>
      </c>
      <c r="B62">
        <v>1</v>
      </c>
      <c r="C62">
        <v>1.1238250000000001</v>
      </c>
      <c r="D62" t="s">
        <v>8</v>
      </c>
      <c r="E62">
        <v>26.72</v>
      </c>
      <c r="G62" t="s">
        <v>1</v>
      </c>
    </row>
    <row r="63" spans="1:7" x14ac:dyDescent="0.4">
      <c r="A63" s="1">
        <v>43570</v>
      </c>
      <c r="B63">
        <v>1</v>
      </c>
      <c r="C63">
        <v>1.1238250000000001</v>
      </c>
      <c r="D63" t="s">
        <v>8</v>
      </c>
      <c r="E63">
        <v>27</v>
      </c>
      <c r="F63">
        <v>27.04</v>
      </c>
      <c r="G63" t="s">
        <v>1</v>
      </c>
    </row>
    <row r="64" spans="1:7" x14ac:dyDescent="0.4">
      <c r="A64" s="1">
        <v>43571</v>
      </c>
      <c r="B64">
        <v>1</v>
      </c>
      <c r="C64">
        <v>1.1238250000000001</v>
      </c>
      <c r="D64" t="s">
        <v>8</v>
      </c>
      <c r="E64">
        <v>26.8</v>
      </c>
      <c r="G64" t="s">
        <v>1</v>
      </c>
    </row>
    <row r="65" spans="1:7" x14ac:dyDescent="0.4">
      <c r="A65" s="1">
        <v>43573</v>
      </c>
      <c r="B65">
        <v>1</v>
      </c>
      <c r="C65">
        <v>1.1238250000000001</v>
      </c>
      <c r="D65" t="s">
        <v>8</v>
      </c>
      <c r="E65">
        <v>26.92</v>
      </c>
      <c r="G65" t="s">
        <v>1</v>
      </c>
    </row>
    <row r="66" spans="1:7" x14ac:dyDescent="0.4">
      <c r="A66" s="1">
        <v>43577</v>
      </c>
      <c r="B66">
        <v>1</v>
      </c>
      <c r="C66">
        <v>1.1238250000000001</v>
      </c>
      <c r="D66" t="s">
        <v>8</v>
      </c>
      <c r="F66">
        <v>26.99</v>
      </c>
      <c r="G66" t="s">
        <v>1</v>
      </c>
    </row>
    <row r="67" spans="1:7" x14ac:dyDescent="0.4">
      <c r="A67" s="1">
        <v>43578</v>
      </c>
      <c r="B67">
        <v>1</v>
      </c>
      <c r="C67">
        <v>1.1238250000000001</v>
      </c>
      <c r="D67" t="s">
        <v>8</v>
      </c>
      <c r="E67">
        <v>27.17</v>
      </c>
      <c r="G67" t="s">
        <v>1</v>
      </c>
    </row>
    <row r="68" spans="1:7" x14ac:dyDescent="0.4">
      <c r="A68" s="1">
        <v>43579</v>
      </c>
      <c r="B68">
        <v>1</v>
      </c>
      <c r="C68">
        <v>1.1238250000000001</v>
      </c>
      <c r="D68" t="s">
        <v>8</v>
      </c>
      <c r="E68">
        <v>27.02</v>
      </c>
      <c r="G68" t="s">
        <v>1</v>
      </c>
    </row>
    <row r="69" spans="1:7" x14ac:dyDescent="0.4">
      <c r="A69" s="1">
        <v>43580</v>
      </c>
      <c r="B69">
        <v>1</v>
      </c>
      <c r="C69">
        <v>1.1238250000000001</v>
      </c>
      <c r="D69" t="s">
        <v>8</v>
      </c>
      <c r="E69">
        <v>27.46</v>
      </c>
      <c r="G69" t="s">
        <v>1</v>
      </c>
    </row>
    <row r="70" spans="1:7" x14ac:dyDescent="0.4">
      <c r="A70" s="1">
        <v>43581</v>
      </c>
      <c r="B70">
        <v>1</v>
      </c>
      <c r="C70">
        <v>1.1238250000000001</v>
      </c>
      <c r="D70" t="s">
        <v>8</v>
      </c>
      <c r="E70">
        <v>26.79</v>
      </c>
      <c r="G70" t="s">
        <v>1</v>
      </c>
    </row>
    <row r="71" spans="1:7" x14ac:dyDescent="0.4">
      <c r="A71" s="1">
        <v>43584</v>
      </c>
      <c r="B71">
        <v>1</v>
      </c>
      <c r="C71">
        <v>1.1238250000000001</v>
      </c>
      <c r="D71" t="s">
        <v>8</v>
      </c>
      <c r="E71">
        <v>25.81</v>
      </c>
      <c r="F71">
        <v>25.67</v>
      </c>
      <c r="G71" t="s">
        <v>1</v>
      </c>
    </row>
    <row r="72" spans="1:7" x14ac:dyDescent="0.4">
      <c r="A72" s="1">
        <v>43585</v>
      </c>
      <c r="B72">
        <v>1</v>
      </c>
      <c r="C72">
        <v>1.1238250000000001</v>
      </c>
      <c r="D72" t="s">
        <v>8</v>
      </c>
      <c r="E72">
        <v>25.85</v>
      </c>
      <c r="G72" t="s">
        <v>1</v>
      </c>
    </row>
    <row r="73" spans="1:7" x14ac:dyDescent="0.4">
      <c r="A73" s="1">
        <v>43587</v>
      </c>
      <c r="B73">
        <v>1</v>
      </c>
      <c r="C73">
        <v>1.1184590910000001</v>
      </c>
      <c r="D73" t="s">
        <v>8</v>
      </c>
      <c r="E73">
        <v>25.04</v>
      </c>
      <c r="G73" t="s">
        <v>1</v>
      </c>
    </row>
    <row r="74" spans="1:7" x14ac:dyDescent="0.4">
      <c r="A74" s="1">
        <v>43588</v>
      </c>
      <c r="B74">
        <v>1</v>
      </c>
      <c r="C74">
        <v>1.1184590910000001</v>
      </c>
      <c r="D74" t="s">
        <v>8</v>
      </c>
      <c r="E74">
        <v>24.32</v>
      </c>
      <c r="G74" t="s">
        <v>1</v>
      </c>
    </row>
    <row r="75" spans="1:7" x14ac:dyDescent="0.4">
      <c r="A75" s="1">
        <v>43591</v>
      </c>
      <c r="B75">
        <v>1</v>
      </c>
      <c r="C75">
        <v>1.1184590910000001</v>
      </c>
      <c r="D75" t="s">
        <v>8</v>
      </c>
      <c r="F75">
        <v>26.15</v>
      </c>
      <c r="G75" t="s">
        <v>1</v>
      </c>
    </row>
    <row r="76" spans="1:7" x14ac:dyDescent="0.4">
      <c r="A76" s="1">
        <v>43592</v>
      </c>
      <c r="B76">
        <v>1</v>
      </c>
      <c r="C76">
        <v>1.1184590910000001</v>
      </c>
      <c r="D76" t="s">
        <v>8</v>
      </c>
      <c r="E76">
        <v>25.65</v>
      </c>
      <c r="G76" t="s">
        <v>1</v>
      </c>
    </row>
    <row r="77" spans="1:7" x14ac:dyDescent="0.4">
      <c r="A77" s="1">
        <v>43593</v>
      </c>
      <c r="B77">
        <v>1</v>
      </c>
      <c r="C77">
        <v>1.1184590910000001</v>
      </c>
      <c r="D77" t="s">
        <v>8</v>
      </c>
      <c r="E77">
        <v>26.5</v>
      </c>
      <c r="G77" t="s">
        <v>1</v>
      </c>
    </row>
    <row r="78" spans="1:7" x14ac:dyDescent="0.4">
      <c r="A78" s="1">
        <v>43594</v>
      </c>
      <c r="B78">
        <v>1</v>
      </c>
      <c r="C78">
        <v>1.1184590910000001</v>
      </c>
      <c r="D78" t="s">
        <v>8</v>
      </c>
      <c r="E78">
        <v>26.81</v>
      </c>
      <c r="G78" t="s">
        <v>1</v>
      </c>
    </row>
    <row r="79" spans="1:7" x14ac:dyDescent="0.4">
      <c r="A79" s="1">
        <v>43595</v>
      </c>
      <c r="B79">
        <v>1</v>
      </c>
      <c r="C79">
        <v>1.1184590910000001</v>
      </c>
      <c r="D79" t="s">
        <v>8</v>
      </c>
      <c r="E79">
        <v>26.35</v>
      </c>
      <c r="G79" t="s">
        <v>1</v>
      </c>
    </row>
    <row r="80" spans="1:7" x14ac:dyDescent="0.4">
      <c r="A80" s="1">
        <v>43598</v>
      </c>
      <c r="B80">
        <v>1</v>
      </c>
      <c r="C80">
        <v>1.1184590910000001</v>
      </c>
      <c r="D80" t="s">
        <v>8</v>
      </c>
      <c r="E80">
        <v>25.25</v>
      </c>
      <c r="F80">
        <v>25.49</v>
      </c>
      <c r="G80" t="s">
        <v>1</v>
      </c>
    </row>
    <row r="81" spans="1:7" x14ac:dyDescent="0.4">
      <c r="A81" s="1">
        <v>43599</v>
      </c>
      <c r="B81">
        <v>1</v>
      </c>
      <c r="C81">
        <v>1.1184590910000001</v>
      </c>
      <c r="D81" t="s">
        <v>8</v>
      </c>
      <c r="E81">
        <v>25.03</v>
      </c>
      <c r="G81" t="s">
        <v>1</v>
      </c>
    </row>
    <row r="82" spans="1:7" x14ac:dyDescent="0.4">
      <c r="A82" s="1">
        <v>43601</v>
      </c>
      <c r="B82">
        <v>1</v>
      </c>
      <c r="C82">
        <v>1.1184590910000001</v>
      </c>
      <c r="D82" t="s">
        <v>8</v>
      </c>
      <c r="E82">
        <v>25.81</v>
      </c>
      <c r="G82" t="s">
        <v>1</v>
      </c>
    </row>
    <row r="83" spans="1:7" x14ac:dyDescent="0.4">
      <c r="A83" s="1">
        <v>43602</v>
      </c>
      <c r="B83">
        <v>1</v>
      </c>
      <c r="C83">
        <v>1.1184590910000001</v>
      </c>
      <c r="D83" t="s">
        <v>8</v>
      </c>
      <c r="E83">
        <v>25.01</v>
      </c>
      <c r="G83" t="s">
        <v>1</v>
      </c>
    </row>
    <row r="84" spans="1:7" x14ac:dyDescent="0.4">
      <c r="A84" s="1">
        <v>43605</v>
      </c>
      <c r="B84">
        <v>1</v>
      </c>
      <c r="C84">
        <v>1.1184590910000001</v>
      </c>
      <c r="D84" t="s">
        <v>8</v>
      </c>
      <c r="E84">
        <v>24.91</v>
      </c>
      <c r="F84">
        <v>25.7</v>
      </c>
      <c r="G84" t="s">
        <v>1</v>
      </c>
    </row>
    <row r="85" spans="1:7" x14ac:dyDescent="0.4">
      <c r="A85" s="1">
        <v>43606</v>
      </c>
      <c r="B85">
        <v>1</v>
      </c>
      <c r="C85">
        <v>1.1184590910000001</v>
      </c>
      <c r="D85" t="s">
        <v>8</v>
      </c>
      <c r="E85">
        <v>25.01</v>
      </c>
      <c r="G85" t="s">
        <v>1</v>
      </c>
    </row>
    <row r="86" spans="1:7" x14ac:dyDescent="0.4">
      <c r="A86" s="1">
        <v>43607</v>
      </c>
      <c r="B86">
        <v>1</v>
      </c>
      <c r="C86">
        <v>1.1184590910000001</v>
      </c>
      <c r="D86" t="s">
        <v>8</v>
      </c>
      <c r="E86">
        <v>25.65</v>
      </c>
      <c r="G86" t="s">
        <v>1</v>
      </c>
    </row>
    <row r="87" spans="1:7" x14ac:dyDescent="0.4">
      <c r="A87" s="1">
        <v>43608</v>
      </c>
      <c r="B87">
        <v>1</v>
      </c>
      <c r="C87">
        <v>1.1184590910000001</v>
      </c>
      <c r="D87" t="s">
        <v>8</v>
      </c>
      <c r="E87">
        <v>26.05</v>
      </c>
      <c r="G87" t="s">
        <v>1</v>
      </c>
    </row>
    <row r="88" spans="1:7" x14ac:dyDescent="0.4">
      <c r="A88" s="1">
        <v>43609</v>
      </c>
      <c r="B88">
        <v>1</v>
      </c>
      <c r="C88">
        <v>1.1184590910000001</v>
      </c>
      <c r="D88" t="s">
        <v>8</v>
      </c>
      <c r="E88">
        <v>25.61</v>
      </c>
      <c r="G88" t="s">
        <v>1</v>
      </c>
    </row>
    <row r="89" spans="1:7" x14ac:dyDescent="0.4">
      <c r="A89" s="1">
        <v>43612</v>
      </c>
      <c r="B89">
        <v>1</v>
      </c>
      <c r="C89">
        <v>1.1184590910000001</v>
      </c>
      <c r="D89" t="s">
        <v>8</v>
      </c>
      <c r="F89">
        <v>25.27</v>
      </c>
      <c r="G89" t="s">
        <v>1</v>
      </c>
    </row>
    <row r="90" spans="1:7" x14ac:dyDescent="0.4">
      <c r="A90" s="1">
        <v>43613</v>
      </c>
      <c r="B90">
        <v>1</v>
      </c>
      <c r="C90">
        <v>1.1184590910000001</v>
      </c>
      <c r="D90" t="s">
        <v>8</v>
      </c>
      <c r="E90">
        <v>25.3</v>
      </c>
      <c r="G90" t="s">
        <v>1</v>
      </c>
    </row>
    <row r="91" spans="1:7" x14ac:dyDescent="0.4">
      <c r="A91" s="1">
        <v>43619</v>
      </c>
      <c r="B91">
        <v>1</v>
      </c>
      <c r="C91">
        <v>1.12934</v>
      </c>
      <c r="D91" t="s">
        <v>8</v>
      </c>
      <c r="E91">
        <v>23.96</v>
      </c>
      <c r="F91">
        <v>24.21</v>
      </c>
      <c r="G91" t="s">
        <v>1</v>
      </c>
    </row>
    <row r="92" spans="1:7" x14ac:dyDescent="0.4">
      <c r="A92" s="1">
        <v>43620</v>
      </c>
      <c r="B92">
        <v>1</v>
      </c>
      <c r="C92">
        <v>1.12934</v>
      </c>
      <c r="D92" t="s">
        <v>8</v>
      </c>
      <c r="E92">
        <v>23.86</v>
      </c>
      <c r="G92" t="s">
        <v>1</v>
      </c>
    </row>
    <row r="93" spans="1:7" x14ac:dyDescent="0.4">
      <c r="A93" s="1">
        <v>43621</v>
      </c>
      <c r="B93">
        <v>1</v>
      </c>
      <c r="C93">
        <v>1.12934</v>
      </c>
      <c r="D93" t="s">
        <v>8</v>
      </c>
      <c r="E93">
        <v>24.42</v>
      </c>
      <c r="G93" t="s">
        <v>1</v>
      </c>
    </row>
    <row r="94" spans="1:7" x14ac:dyDescent="0.4">
      <c r="A94" s="1">
        <v>43622</v>
      </c>
      <c r="B94">
        <v>1</v>
      </c>
      <c r="C94">
        <v>1.12934</v>
      </c>
      <c r="D94" t="s">
        <v>8</v>
      </c>
      <c r="E94">
        <v>24.07</v>
      </c>
      <c r="G94" t="s">
        <v>1</v>
      </c>
    </row>
    <row r="95" spans="1:7" x14ac:dyDescent="0.4">
      <c r="A95" s="1">
        <v>43623</v>
      </c>
      <c r="B95">
        <v>1</v>
      </c>
      <c r="C95">
        <v>1.12934</v>
      </c>
      <c r="D95" t="s">
        <v>8</v>
      </c>
      <c r="E95">
        <v>24.24</v>
      </c>
      <c r="G95" t="s">
        <v>1</v>
      </c>
    </row>
    <row r="96" spans="1:7" x14ac:dyDescent="0.4">
      <c r="A96" s="1">
        <v>43626</v>
      </c>
      <c r="B96">
        <v>1</v>
      </c>
      <c r="C96">
        <v>1.12934</v>
      </c>
      <c r="D96" t="s">
        <v>8</v>
      </c>
      <c r="F96">
        <v>25</v>
      </c>
      <c r="G96" t="s">
        <v>1</v>
      </c>
    </row>
    <row r="97" spans="1:7" x14ac:dyDescent="0.4">
      <c r="A97" s="1">
        <v>43627</v>
      </c>
      <c r="B97">
        <v>1</v>
      </c>
      <c r="C97">
        <v>1.12934</v>
      </c>
      <c r="D97" t="s">
        <v>8</v>
      </c>
      <c r="E97">
        <v>25.12</v>
      </c>
      <c r="G97" t="s">
        <v>1</v>
      </c>
    </row>
    <row r="98" spans="1:7" x14ac:dyDescent="0.4">
      <c r="A98" s="1">
        <v>43629</v>
      </c>
      <c r="B98">
        <v>1</v>
      </c>
      <c r="C98">
        <v>1.12934</v>
      </c>
      <c r="D98" t="s">
        <v>8</v>
      </c>
      <c r="E98">
        <v>24.92</v>
      </c>
      <c r="G98" t="s">
        <v>1</v>
      </c>
    </row>
    <row r="99" spans="1:7" x14ac:dyDescent="0.4">
      <c r="A99" s="1">
        <v>43630</v>
      </c>
      <c r="B99">
        <v>1</v>
      </c>
      <c r="C99">
        <v>1.12934</v>
      </c>
      <c r="D99" t="s">
        <v>8</v>
      </c>
      <c r="E99">
        <v>24.67</v>
      </c>
      <c r="G99" t="s">
        <v>1</v>
      </c>
    </row>
    <row r="100" spans="1:7" x14ac:dyDescent="0.4">
      <c r="A100" s="1">
        <v>43633</v>
      </c>
      <c r="B100">
        <v>1</v>
      </c>
      <c r="C100">
        <v>1.12934</v>
      </c>
      <c r="D100" t="s">
        <v>8</v>
      </c>
      <c r="E100">
        <v>24.78</v>
      </c>
      <c r="F100">
        <v>25.1</v>
      </c>
      <c r="G100" t="s">
        <v>1</v>
      </c>
    </row>
    <row r="101" spans="1:7" x14ac:dyDescent="0.4">
      <c r="A101" s="1">
        <v>43634</v>
      </c>
      <c r="B101">
        <v>1</v>
      </c>
      <c r="C101">
        <v>1.12934</v>
      </c>
      <c r="D101" t="s">
        <v>8</v>
      </c>
      <c r="E101">
        <v>24.98</v>
      </c>
      <c r="G101" t="s">
        <v>1</v>
      </c>
    </row>
    <row r="102" spans="1:7" x14ac:dyDescent="0.4">
      <c r="A102" s="1">
        <v>43635</v>
      </c>
      <c r="B102">
        <v>1</v>
      </c>
      <c r="C102">
        <v>1.12934</v>
      </c>
      <c r="D102" t="s">
        <v>8</v>
      </c>
      <c r="E102">
        <v>24.98</v>
      </c>
      <c r="G102" t="s">
        <v>1</v>
      </c>
    </row>
    <row r="103" spans="1:7" x14ac:dyDescent="0.4">
      <c r="A103" s="1">
        <v>43636</v>
      </c>
      <c r="B103">
        <v>1</v>
      </c>
      <c r="C103">
        <v>1.12934</v>
      </c>
      <c r="D103" t="s">
        <v>8</v>
      </c>
      <c r="E103">
        <v>24.86</v>
      </c>
      <c r="G103" t="s">
        <v>1</v>
      </c>
    </row>
    <row r="104" spans="1:7" x14ac:dyDescent="0.4">
      <c r="A104" s="1">
        <v>43637</v>
      </c>
      <c r="B104">
        <v>1</v>
      </c>
      <c r="C104">
        <v>1.12934</v>
      </c>
      <c r="D104" t="s">
        <v>8</v>
      </c>
      <c r="E104">
        <v>24.87</v>
      </c>
      <c r="G104" t="s">
        <v>1</v>
      </c>
    </row>
    <row r="105" spans="1:7" x14ac:dyDescent="0.4">
      <c r="A105" s="1">
        <v>43640</v>
      </c>
      <c r="B105">
        <v>1</v>
      </c>
      <c r="C105">
        <v>1.12934</v>
      </c>
      <c r="D105" t="s">
        <v>8</v>
      </c>
      <c r="E105">
        <v>25.64</v>
      </c>
      <c r="F105">
        <v>26.67</v>
      </c>
      <c r="G105" t="s">
        <v>1</v>
      </c>
    </row>
    <row r="106" spans="1:7" x14ac:dyDescent="0.4">
      <c r="A106" s="1">
        <v>43643</v>
      </c>
      <c r="B106">
        <v>1</v>
      </c>
      <c r="C106">
        <v>1.12934</v>
      </c>
      <c r="D106" t="s">
        <v>8</v>
      </c>
      <c r="E106">
        <v>27.1</v>
      </c>
      <c r="G106" t="s">
        <v>1</v>
      </c>
    </row>
    <row r="107" spans="1:7" x14ac:dyDescent="0.4">
      <c r="A107" s="1">
        <v>43644</v>
      </c>
      <c r="B107">
        <v>1</v>
      </c>
      <c r="C107">
        <v>1.12934</v>
      </c>
      <c r="D107" t="s">
        <v>8</v>
      </c>
      <c r="E107">
        <v>26.4</v>
      </c>
      <c r="G107" t="s">
        <v>1</v>
      </c>
    </row>
    <row r="108" spans="1:7" x14ac:dyDescent="0.4">
      <c r="A108" s="1">
        <v>43647</v>
      </c>
      <c r="B108">
        <v>1</v>
      </c>
      <c r="C108">
        <v>1.1218391299999999</v>
      </c>
      <c r="D108" t="s">
        <v>8</v>
      </c>
      <c r="E108">
        <v>26.72</v>
      </c>
      <c r="F108">
        <v>26.51</v>
      </c>
      <c r="G108" t="s">
        <v>1</v>
      </c>
    </row>
    <row r="109" spans="1:7" x14ac:dyDescent="0.4">
      <c r="A109" s="1">
        <v>43648</v>
      </c>
      <c r="B109">
        <v>1</v>
      </c>
      <c r="C109">
        <v>1.1218391299999999</v>
      </c>
      <c r="D109" t="s">
        <v>8</v>
      </c>
      <c r="E109">
        <v>27.22</v>
      </c>
      <c r="G109" t="s">
        <v>1</v>
      </c>
    </row>
    <row r="110" spans="1:7" x14ac:dyDescent="0.4">
      <c r="A110" s="1">
        <v>43649</v>
      </c>
      <c r="B110">
        <v>1</v>
      </c>
      <c r="C110">
        <v>1.1218391299999999</v>
      </c>
      <c r="D110" t="s">
        <v>8</v>
      </c>
      <c r="E110">
        <v>26.33</v>
      </c>
      <c r="G110" t="s">
        <v>1</v>
      </c>
    </row>
    <row r="111" spans="1:7" x14ac:dyDescent="0.4">
      <c r="A111" s="1">
        <v>43650</v>
      </c>
      <c r="B111">
        <v>1</v>
      </c>
      <c r="C111">
        <v>1.1218391299999999</v>
      </c>
      <c r="D111" t="s">
        <v>8</v>
      </c>
      <c r="E111">
        <v>26.22</v>
      </c>
      <c r="G111" t="s">
        <v>1</v>
      </c>
    </row>
    <row r="112" spans="1:7" x14ac:dyDescent="0.4">
      <c r="A112" s="1">
        <v>43651</v>
      </c>
      <c r="B112">
        <v>1</v>
      </c>
      <c r="C112">
        <v>1.1218391299999999</v>
      </c>
      <c r="D112" t="s">
        <v>8</v>
      </c>
      <c r="E112">
        <v>25.84</v>
      </c>
      <c r="G112" t="s">
        <v>1</v>
      </c>
    </row>
    <row r="113" spans="1:7" x14ac:dyDescent="0.4">
      <c r="A113" s="1">
        <v>43654</v>
      </c>
      <c r="B113">
        <v>1</v>
      </c>
      <c r="C113">
        <v>1.1218391299999999</v>
      </c>
      <c r="D113" t="s">
        <v>8</v>
      </c>
      <c r="E113">
        <v>26.6</v>
      </c>
      <c r="F113">
        <v>27.73</v>
      </c>
      <c r="G113" t="s">
        <v>1</v>
      </c>
    </row>
    <row r="114" spans="1:7" x14ac:dyDescent="0.4">
      <c r="A114" s="1">
        <v>43655</v>
      </c>
      <c r="B114">
        <v>1</v>
      </c>
      <c r="C114">
        <v>1.1218391299999999</v>
      </c>
      <c r="D114" t="s">
        <v>8</v>
      </c>
      <c r="E114">
        <v>26.68</v>
      </c>
      <c r="G114" t="s">
        <v>1</v>
      </c>
    </row>
    <row r="115" spans="1:7" x14ac:dyDescent="0.4">
      <c r="A115" s="1">
        <v>43657</v>
      </c>
      <c r="B115">
        <v>1</v>
      </c>
      <c r="C115">
        <v>1.1218391299999999</v>
      </c>
      <c r="D115" t="s">
        <v>8</v>
      </c>
      <c r="E115">
        <v>28.5</v>
      </c>
      <c r="G115" t="s">
        <v>1</v>
      </c>
    </row>
    <row r="116" spans="1:7" x14ac:dyDescent="0.4">
      <c r="A116" s="1">
        <v>43658</v>
      </c>
      <c r="B116">
        <v>1</v>
      </c>
      <c r="C116">
        <v>1.1218391299999999</v>
      </c>
      <c r="D116" t="s">
        <v>8</v>
      </c>
      <c r="E116">
        <v>28.25</v>
      </c>
      <c r="G116" t="s">
        <v>1</v>
      </c>
    </row>
    <row r="117" spans="1:7" x14ac:dyDescent="0.4">
      <c r="A117" s="1">
        <v>43661</v>
      </c>
      <c r="B117">
        <v>1</v>
      </c>
      <c r="C117">
        <v>1.1218391299999999</v>
      </c>
      <c r="D117" t="s">
        <v>8</v>
      </c>
      <c r="E117">
        <v>29.15</v>
      </c>
      <c r="F117">
        <v>28.53</v>
      </c>
      <c r="G117" t="s">
        <v>1</v>
      </c>
    </row>
    <row r="118" spans="1:7" x14ac:dyDescent="0.4">
      <c r="A118" s="1">
        <v>43662</v>
      </c>
      <c r="B118">
        <v>1</v>
      </c>
      <c r="C118">
        <v>1.1218391299999999</v>
      </c>
      <c r="D118" t="s">
        <v>8</v>
      </c>
      <c r="E118">
        <v>29.1</v>
      </c>
      <c r="G118" t="s">
        <v>1</v>
      </c>
    </row>
    <row r="119" spans="1:7" x14ac:dyDescent="0.4">
      <c r="A119" s="1">
        <v>43663</v>
      </c>
      <c r="B119">
        <v>1</v>
      </c>
      <c r="C119">
        <v>1.1218391299999999</v>
      </c>
      <c r="D119" t="s">
        <v>8</v>
      </c>
      <c r="E119">
        <v>28.37</v>
      </c>
      <c r="G119" t="s">
        <v>1</v>
      </c>
    </row>
    <row r="120" spans="1:7" x14ac:dyDescent="0.4">
      <c r="A120" s="1">
        <v>43664</v>
      </c>
      <c r="B120">
        <v>1</v>
      </c>
      <c r="C120">
        <v>1.1218391299999999</v>
      </c>
      <c r="D120" t="s">
        <v>8</v>
      </c>
      <c r="E120">
        <v>27.99</v>
      </c>
      <c r="G120" t="s">
        <v>1</v>
      </c>
    </row>
    <row r="121" spans="1:7" x14ac:dyDescent="0.4">
      <c r="A121" s="1">
        <v>43665</v>
      </c>
      <c r="B121">
        <v>1</v>
      </c>
      <c r="C121">
        <v>1.1218391299999999</v>
      </c>
      <c r="D121" t="s">
        <v>8</v>
      </c>
      <c r="E121">
        <v>28.15</v>
      </c>
      <c r="G121" t="s">
        <v>1</v>
      </c>
    </row>
    <row r="122" spans="1:7" x14ac:dyDescent="0.4">
      <c r="A122" s="1">
        <v>43668</v>
      </c>
      <c r="B122">
        <v>1</v>
      </c>
      <c r="C122">
        <v>1.1218391299999999</v>
      </c>
      <c r="D122" t="s">
        <v>8</v>
      </c>
      <c r="E122">
        <v>28.96</v>
      </c>
      <c r="F122">
        <v>29.06</v>
      </c>
      <c r="G122" t="s">
        <v>1</v>
      </c>
    </row>
    <row r="123" spans="1:7" x14ac:dyDescent="0.4">
      <c r="A123" s="1">
        <v>43669</v>
      </c>
      <c r="B123">
        <v>1</v>
      </c>
      <c r="C123">
        <v>1.1218391299999999</v>
      </c>
      <c r="D123" t="s">
        <v>8</v>
      </c>
      <c r="E123">
        <v>29.05</v>
      </c>
      <c r="G123" t="s">
        <v>1</v>
      </c>
    </row>
    <row r="124" spans="1:7" x14ac:dyDescent="0.4">
      <c r="A124" s="1">
        <v>43671</v>
      </c>
      <c r="B124">
        <v>1</v>
      </c>
      <c r="C124">
        <v>1.1218391299999999</v>
      </c>
      <c r="D124" t="s">
        <v>8</v>
      </c>
      <c r="E124">
        <v>29.46</v>
      </c>
      <c r="G124" t="s">
        <v>1</v>
      </c>
    </row>
    <row r="125" spans="1:7" x14ac:dyDescent="0.4">
      <c r="A125" s="1">
        <v>43672</v>
      </c>
      <c r="B125">
        <v>1</v>
      </c>
      <c r="C125">
        <v>1.1218391299999999</v>
      </c>
      <c r="D125" t="s">
        <v>8</v>
      </c>
      <c r="E125">
        <v>28.51</v>
      </c>
      <c r="G125" t="s">
        <v>1</v>
      </c>
    </row>
    <row r="126" spans="1:7" x14ac:dyDescent="0.4">
      <c r="A126" s="1">
        <v>43675</v>
      </c>
      <c r="B126">
        <v>1</v>
      </c>
      <c r="C126">
        <v>1.1218391299999999</v>
      </c>
      <c r="D126" t="s">
        <v>8</v>
      </c>
      <c r="E126">
        <v>28.8</v>
      </c>
      <c r="F126">
        <v>28.6</v>
      </c>
      <c r="G126" t="s">
        <v>1</v>
      </c>
    </row>
    <row r="127" spans="1:7" x14ac:dyDescent="0.4">
      <c r="A127" s="1">
        <v>43676</v>
      </c>
      <c r="B127">
        <v>1</v>
      </c>
      <c r="C127">
        <v>1.1218391299999999</v>
      </c>
      <c r="D127" t="s">
        <v>8</v>
      </c>
      <c r="E127">
        <v>28.18</v>
      </c>
      <c r="G127" t="s">
        <v>1</v>
      </c>
    </row>
    <row r="128" spans="1:7" x14ac:dyDescent="0.4">
      <c r="A128" s="1">
        <v>43677</v>
      </c>
      <c r="B128">
        <v>1</v>
      </c>
      <c r="C128">
        <v>1.1218391299999999</v>
      </c>
      <c r="D128" t="s">
        <v>8</v>
      </c>
      <c r="E128">
        <v>28.04</v>
      </c>
      <c r="G128" t="s">
        <v>1</v>
      </c>
    </row>
    <row r="129" spans="1:7" x14ac:dyDescent="0.4">
      <c r="A129" s="1">
        <v>43678</v>
      </c>
      <c r="B129">
        <v>1</v>
      </c>
      <c r="C129">
        <v>1.112622727</v>
      </c>
      <c r="D129" t="s">
        <v>8</v>
      </c>
      <c r="E129">
        <v>28.9</v>
      </c>
      <c r="G129" t="s">
        <v>1</v>
      </c>
    </row>
    <row r="130" spans="1:7" x14ac:dyDescent="0.4">
      <c r="A130" s="1">
        <v>43679</v>
      </c>
      <c r="B130">
        <v>1</v>
      </c>
      <c r="C130">
        <v>1.112622727</v>
      </c>
      <c r="D130" t="s">
        <v>8</v>
      </c>
      <c r="E130">
        <v>29.1</v>
      </c>
      <c r="G130" t="s">
        <v>1</v>
      </c>
    </row>
    <row r="131" spans="1:7" x14ac:dyDescent="0.4">
      <c r="A131" s="1">
        <v>43682</v>
      </c>
      <c r="B131">
        <v>1</v>
      </c>
      <c r="C131">
        <v>1.112622727</v>
      </c>
      <c r="D131" t="s">
        <v>8</v>
      </c>
      <c r="E131">
        <v>28.82</v>
      </c>
      <c r="F131">
        <v>28.41</v>
      </c>
      <c r="G131" t="s">
        <v>1</v>
      </c>
    </row>
    <row r="132" spans="1:7" x14ac:dyDescent="0.4">
      <c r="A132" s="1">
        <v>43683</v>
      </c>
      <c r="B132">
        <v>1</v>
      </c>
      <c r="C132">
        <v>1.112622727</v>
      </c>
      <c r="D132" t="s">
        <v>8</v>
      </c>
      <c r="E132">
        <v>28.48</v>
      </c>
      <c r="G132" t="s">
        <v>1</v>
      </c>
    </row>
    <row r="133" spans="1:7" x14ac:dyDescent="0.4">
      <c r="A133" s="1">
        <v>43685</v>
      </c>
      <c r="B133">
        <v>1</v>
      </c>
      <c r="C133">
        <v>1.112622727</v>
      </c>
      <c r="D133" t="s">
        <v>8</v>
      </c>
      <c r="E133">
        <v>28.68</v>
      </c>
      <c r="G133" t="s">
        <v>1</v>
      </c>
    </row>
    <row r="134" spans="1:7" x14ac:dyDescent="0.4">
      <c r="A134" s="1">
        <v>43686</v>
      </c>
      <c r="B134">
        <v>1</v>
      </c>
      <c r="C134">
        <v>1.112622727</v>
      </c>
      <c r="D134" t="s">
        <v>8</v>
      </c>
      <c r="E134">
        <v>28.37</v>
      </c>
      <c r="G134" t="s">
        <v>1</v>
      </c>
    </row>
    <row r="135" spans="1:7" x14ac:dyDescent="0.4">
      <c r="A135" s="1">
        <v>43689</v>
      </c>
      <c r="B135">
        <v>1</v>
      </c>
      <c r="C135">
        <v>1.112622727</v>
      </c>
      <c r="D135" t="s">
        <v>8</v>
      </c>
      <c r="E135">
        <v>27.7</v>
      </c>
      <c r="F135">
        <v>26.53</v>
      </c>
      <c r="G135" t="s">
        <v>1</v>
      </c>
    </row>
    <row r="136" spans="1:7" x14ac:dyDescent="0.4">
      <c r="A136" s="1">
        <v>43690</v>
      </c>
      <c r="B136">
        <v>1</v>
      </c>
      <c r="C136">
        <v>1.112622727</v>
      </c>
      <c r="D136" t="s">
        <v>8</v>
      </c>
      <c r="E136">
        <v>27.1</v>
      </c>
      <c r="G136" t="s">
        <v>1</v>
      </c>
    </row>
    <row r="137" spans="1:7" x14ac:dyDescent="0.4">
      <c r="A137" s="1">
        <v>43691</v>
      </c>
      <c r="B137">
        <v>1</v>
      </c>
      <c r="C137">
        <v>1.112622727</v>
      </c>
      <c r="D137" t="s">
        <v>8</v>
      </c>
      <c r="E137">
        <v>27.15</v>
      </c>
      <c r="G137" t="s">
        <v>1</v>
      </c>
    </row>
    <row r="138" spans="1:7" x14ac:dyDescent="0.4">
      <c r="A138" s="1">
        <v>43692</v>
      </c>
      <c r="B138">
        <v>1</v>
      </c>
      <c r="C138">
        <v>1.112622727</v>
      </c>
      <c r="D138" t="s">
        <v>8</v>
      </c>
      <c r="E138">
        <v>26.41</v>
      </c>
      <c r="G138" t="s">
        <v>1</v>
      </c>
    </row>
    <row r="139" spans="1:7" x14ac:dyDescent="0.4">
      <c r="A139" s="1">
        <v>43693</v>
      </c>
      <c r="B139">
        <v>1</v>
      </c>
      <c r="C139">
        <v>1.112622727</v>
      </c>
      <c r="D139" t="s">
        <v>8</v>
      </c>
      <c r="E139">
        <v>26.12</v>
      </c>
      <c r="G139" t="s">
        <v>1</v>
      </c>
    </row>
    <row r="140" spans="1:7" x14ac:dyDescent="0.4">
      <c r="A140" s="1">
        <v>43696</v>
      </c>
      <c r="B140">
        <v>1</v>
      </c>
      <c r="C140">
        <v>1.112622727</v>
      </c>
      <c r="D140" t="s">
        <v>8</v>
      </c>
      <c r="E140">
        <v>26.25</v>
      </c>
      <c r="F140">
        <v>25.92</v>
      </c>
      <c r="G140" t="s">
        <v>1</v>
      </c>
    </row>
    <row r="141" spans="1:7" x14ac:dyDescent="0.4">
      <c r="A141" s="1">
        <v>43697</v>
      </c>
      <c r="B141">
        <v>1</v>
      </c>
      <c r="C141">
        <v>1.112622727</v>
      </c>
      <c r="D141" t="s">
        <v>8</v>
      </c>
      <c r="E141">
        <v>26.94</v>
      </c>
      <c r="G141" t="s">
        <v>1</v>
      </c>
    </row>
    <row r="142" spans="1:7" x14ac:dyDescent="0.4">
      <c r="A142" s="1">
        <v>43699</v>
      </c>
      <c r="B142">
        <v>1</v>
      </c>
      <c r="C142">
        <v>1.112622727</v>
      </c>
      <c r="D142" t="s">
        <v>8</v>
      </c>
      <c r="E142">
        <v>25.78</v>
      </c>
      <c r="G142" t="s">
        <v>1</v>
      </c>
    </row>
    <row r="143" spans="1:7" x14ac:dyDescent="0.4">
      <c r="A143" s="1">
        <v>43700</v>
      </c>
      <c r="B143">
        <v>1</v>
      </c>
      <c r="C143">
        <v>1.112622727</v>
      </c>
      <c r="D143" t="s">
        <v>8</v>
      </c>
      <c r="E143">
        <v>25.33</v>
      </c>
      <c r="G143" t="s">
        <v>1</v>
      </c>
    </row>
    <row r="144" spans="1:7" x14ac:dyDescent="0.4">
      <c r="A144" s="1">
        <v>43703</v>
      </c>
      <c r="B144">
        <v>1</v>
      </c>
      <c r="C144">
        <v>1.112622727</v>
      </c>
      <c r="D144" t="s">
        <v>8</v>
      </c>
      <c r="F144">
        <v>26.01</v>
      </c>
      <c r="G144" t="s">
        <v>1</v>
      </c>
    </row>
    <row r="145" spans="1:7" x14ac:dyDescent="0.4">
      <c r="A145" s="1">
        <v>43704</v>
      </c>
      <c r="B145">
        <v>1</v>
      </c>
      <c r="C145">
        <v>1.112622727</v>
      </c>
      <c r="D145" t="s">
        <v>8</v>
      </c>
      <c r="E145">
        <v>25.25</v>
      </c>
      <c r="G145" t="s">
        <v>1</v>
      </c>
    </row>
    <row r="146" spans="1:7" x14ac:dyDescent="0.4">
      <c r="A146" s="1">
        <v>43705</v>
      </c>
      <c r="B146">
        <v>1</v>
      </c>
      <c r="C146">
        <v>1.112622727</v>
      </c>
      <c r="D146" t="s">
        <v>8</v>
      </c>
      <c r="E146">
        <v>26</v>
      </c>
      <c r="G146" t="s">
        <v>1</v>
      </c>
    </row>
    <row r="147" spans="1:7" x14ac:dyDescent="0.4">
      <c r="A147" s="1">
        <v>43706</v>
      </c>
      <c r="B147">
        <v>1</v>
      </c>
      <c r="C147">
        <v>1.112622727</v>
      </c>
      <c r="D147" t="s">
        <v>8</v>
      </c>
      <c r="E147">
        <v>25.93</v>
      </c>
      <c r="G147" t="s">
        <v>1</v>
      </c>
    </row>
    <row r="148" spans="1:7" x14ac:dyDescent="0.4">
      <c r="A148" s="1">
        <v>43707</v>
      </c>
      <c r="B148">
        <v>1</v>
      </c>
      <c r="C148">
        <v>1.112622727</v>
      </c>
      <c r="D148" t="s">
        <v>8</v>
      </c>
      <c r="E148">
        <v>26.8</v>
      </c>
      <c r="G148" t="s">
        <v>1</v>
      </c>
    </row>
    <row r="149" spans="1:7" x14ac:dyDescent="0.4">
      <c r="A149" s="1">
        <v>43710</v>
      </c>
      <c r="B149">
        <v>1</v>
      </c>
      <c r="C149">
        <v>1.1003904760000001</v>
      </c>
      <c r="D149" t="s">
        <v>8</v>
      </c>
      <c r="E149">
        <v>25.4</v>
      </c>
      <c r="F149">
        <v>25.31</v>
      </c>
      <c r="G149" t="s">
        <v>1</v>
      </c>
    </row>
    <row r="150" spans="1:7" x14ac:dyDescent="0.4">
      <c r="A150" s="1">
        <v>43711</v>
      </c>
      <c r="B150">
        <v>1</v>
      </c>
      <c r="C150">
        <v>1.1003904760000001</v>
      </c>
      <c r="D150" t="s">
        <v>8</v>
      </c>
      <c r="E150">
        <v>24.82</v>
      </c>
      <c r="G150" t="s">
        <v>1</v>
      </c>
    </row>
    <row r="151" spans="1:7" x14ac:dyDescent="0.4">
      <c r="A151" s="1">
        <v>43714</v>
      </c>
      <c r="B151">
        <v>1</v>
      </c>
      <c r="C151">
        <v>1.1003904760000001</v>
      </c>
      <c r="D151" t="s">
        <v>8</v>
      </c>
      <c r="E151">
        <v>25.46</v>
      </c>
      <c r="G151" t="s">
        <v>1</v>
      </c>
    </row>
    <row r="152" spans="1:7" x14ac:dyDescent="0.4">
      <c r="A152" s="1">
        <v>43717</v>
      </c>
      <c r="B152">
        <v>1</v>
      </c>
      <c r="C152">
        <v>1.1003904760000001</v>
      </c>
      <c r="D152" t="s">
        <v>8</v>
      </c>
      <c r="E152">
        <v>25.01</v>
      </c>
      <c r="F152">
        <v>26.16</v>
      </c>
      <c r="G152" t="s">
        <v>1</v>
      </c>
    </row>
    <row r="153" spans="1:7" x14ac:dyDescent="0.4">
      <c r="A153" s="1">
        <v>43718</v>
      </c>
      <c r="B153">
        <v>1</v>
      </c>
      <c r="C153">
        <v>1.1003904760000001</v>
      </c>
      <c r="D153" t="s">
        <v>8</v>
      </c>
      <c r="E153">
        <v>25.5</v>
      </c>
      <c r="G153" t="s">
        <v>1</v>
      </c>
    </row>
    <row r="154" spans="1:7" x14ac:dyDescent="0.4">
      <c r="A154" s="1">
        <v>43719</v>
      </c>
      <c r="B154">
        <v>1</v>
      </c>
      <c r="C154">
        <v>1.1003904760000001</v>
      </c>
      <c r="D154" t="s">
        <v>8</v>
      </c>
      <c r="E154">
        <v>26.34</v>
      </c>
      <c r="G154" t="s">
        <v>1</v>
      </c>
    </row>
    <row r="155" spans="1:7" x14ac:dyDescent="0.4">
      <c r="A155" s="1">
        <v>43720</v>
      </c>
      <c r="B155">
        <v>1</v>
      </c>
      <c r="C155">
        <v>1.1003904760000001</v>
      </c>
      <c r="D155" t="s">
        <v>8</v>
      </c>
      <c r="E155">
        <v>26.55</v>
      </c>
      <c r="G155" t="s">
        <v>1</v>
      </c>
    </row>
    <row r="156" spans="1:7" x14ac:dyDescent="0.4">
      <c r="A156" s="1">
        <v>43721</v>
      </c>
      <c r="B156">
        <v>1</v>
      </c>
      <c r="C156">
        <v>1.1003904760000001</v>
      </c>
      <c r="D156" t="s">
        <v>8</v>
      </c>
      <c r="E156">
        <v>26.22</v>
      </c>
      <c r="G156" t="s">
        <v>1</v>
      </c>
    </row>
    <row r="157" spans="1:7" x14ac:dyDescent="0.4">
      <c r="A157" s="1">
        <v>43724</v>
      </c>
      <c r="B157">
        <v>1</v>
      </c>
      <c r="C157">
        <v>1.1003904760000001</v>
      </c>
      <c r="D157" t="s">
        <v>8</v>
      </c>
      <c r="E157">
        <v>26.58</v>
      </c>
      <c r="F157">
        <v>26.24</v>
      </c>
      <c r="G157" t="s">
        <v>1</v>
      </c>
    </row>
    <row r="158" spans="1:7" x14ac:dyDescent="0.4">
      <c r="A158" s="1">
        <v>43725</v>
      </c>
      <c r="B158">
        <v>1</v>
      </c>
      <c r="C158">
        <v>1.1003904760000001</v>
      </c>
      <c r="D158" t="s">
        <v>8</v>
      </c>
      <c r="E158">
        <v>26.75</v>
      </c>
      <c r="G158" t="s">
        <v>1</v>
      </c>
    </row>
    <row r="159" spans="1:7" x14ac:dyDescent="0.4">
      <c r="A159" s="1">
        <v>43727</v>
      </c>
      <c r="B159">
        <v>1</v>
      </c>
      <c r="C159">
        <v>1.1003904760000001</v>
      </c>
      <c r="D159" t="s">
        <v>8</v>
      </c>
      <c r="E159">
        <v>25.56</v>
      </c>
      <c r="G159" t="s">
        <v>1</v>
      </c>
    </row>
    <row r="160" spans="1:7" x14ac:dyDescent="0.4">
      <c r="A160" s="1">
        <v>43728</v>
      </c>
      <c r="B160">
        <v>1</v>
      </c>
      <c r="C160">
        <v>1.1003904760000001</v>
      </c>
      <c r="D160" t="s">
        <v>8</v>
      </c>
      <c r="E160">
        <v>26.17</v>
      </c>
      <c r="G160" t="s">
        <v>1</v>
      </c>
    </row>
    <row r="161" spans="1:7" x14ac:dyDescent="0.4">
      <c r="A161" s="1">
        <v>43731</v>
      </c>
      <c r="B161">
        <v>1</v>
      </c>
      <c r="C161">
        <v>1.1003904760000001</v>
      </c>
      <c r="D161" t="s">
        <v>8</v>
      </c>
      <c r="E161">
        <v>25.93</v>
      </c>
      <c r="F161">
        <v>25.5</v>
      </c>
      <c r="G161" t="s">
        <v>1</v>
      </c>
    </row>
    <row r="162" spans="1:7" x14ac:dyDescent="0.4">
      <c r="A162" s="1">
        <v>43732</v>
      </c>
      <c r="B162">
        <v>1</v>
      </c>
      <c r="C162">
        <v>1.1003904760000001</v>
      </c>
      <c r="D162" t="s">
        <v>8</v>
      </c>
      <c r="E162">
        <v>25.59</v>
      </c>
      <c r="G162" t="s">
        <v>1</v>
      </c>
    </row>
    <row r="163" spans="1:7" x14ac:dyDescent="0.4">
      <c r="A163" s="1">
        <v>43733</v>
      </c>
      <c r="B163">
        <v>1</v>
      </c>
      <c r="C163">
        <v>1.1003904760000001</v>
      </c>
      <c r="D163" t="s">
        <v>8</v>
      </c>
      <c r="E163">
        <v>25.17</v>
      </c>
      <c r="G163" t="s">
        <v>1</v>
      </c>
    </row>
    <row r="164" spans="1:7" x14ac:dyDescent="0.4">
      <c r="A164" s="1">
        <v>43734</v>
      </c>
      <c r="B164">
        <v>1</v>
      </c>
      <c r="C164">
        <v>1.1003904760000001</v>
      </c>
      <c r="D164" t="s">
        <v>8</v>
      </c>
      <c r="E164">
        <v>25.21</v>
      </c>
      <c r="G164" t="s">
        <v>1</v>
      </c>
    </row>
    <row r="165" spans="1:7" x14ac:dyDescent="0.4">
      <c r="A165" s="1">
        <v>43735</v>
      </c>
      <c r="B165">
        <v>1</v>
      </c>
      <c r="C165">
        <v>1.1003904760000001</v>
      </c>
      <c r="D165" t="s">
        <v>8</v>
      </c>
      <c r="E165">
        <v>25.3</v>
      </c>
      <c r="G165" t="s">
        <v>1</v>
      </c>
    </row>
    <row r="166" spans="1:7" x14ac:dyDescent="0.4">
      <c r="A166" s="1">
        <v>43738</v>
      </c>
      <c r="B166">
        <v>1</v>
      </c>
      <c r="C166">
        <v>1.1003904760000001</v>
      </c>
      <c r="D166" t="s">
        <v>8</v>
      </c>
      <c r="E166">
        <v>25.03</v>
      </c>
      <c r="F166">
        <v>24.03</v>
      </c>
      <c r="G166" t="s">
        <v>1</v>
      </c>
    </row>
    <row r="167" spans="1:7" x14ac:dyDescent="0.4">
      <c r="A167" s="1">
        <v>43739</v>
      </c>
      <c r="B167">
        <v>1</v>
      </c>
      <c r="C167">
        <v>1.1052565219999999</v>
      </c>
      <c r="D167" t="s">
        <v>8</v>
      </c>
      <c r="E167">
        <v>24.4</v>
      </c>
      <c r="G167" t="s">
        <v>1</v>
      </c>
    </row>
    <row r="168" spans="1:7" x14ac:dyDescent="0.4">
      <c r="A168" s="1">
        <v>43741</v>
      </c>
      <c r="B168">
        <v>1</v>
      </c>
      <c r="C168">
        <v>1.1052565219999999</v>
      </c>
      <c r="D168" t="s">
        <v>8</v>
      </c>
      <c r="E168">
        <v>24.03</v>
      </c>
      <c r="G168" t="s">
        <v>1</v>
      </c>
    </row>
    <row r="169" spans="1:7" x14ac:dyDescent="0.4">
      <c r="A169" s="1">
        <v>43742</v>
      </c>
      <c r="B169">
        <v>1</v>
      </c>
      <c r="C169">
        <v>1.1052565219999999</v>
      </c>
      <c r="D169" t="s">
        <v>8</v>
      </c>
      <c r="E169">
        <v>23.41</v>
      </c>
      <c r="G169" t="s">
        <v>1</v>
      </c>
    </row>
    <row r="170" spans="1:7" x14ac:dyDescent="0.4">
      <c r="A170" s="1">
        <v>43745</v>
      </c>
      <c r="B170">
        <v>1</v>
      </c>
      <c r="C170">
        <v>1.1052565219999999</v>
      </c>
      <c r="D170" t="s">
        <v>8</v>
      </c>
      <c r="E170">
        <v>22.77</v>
      </c>
      <c r="F170">
        <v>23.26</v>
      </c>
      <c r="G170" t="s">
        <v>1</v>
      </c>
    </row>
    <row r="171" spans="1:7" x14ac:dyDescent="0.4">
      <c r="A171" s="1">
        <v>43746</v>
      </c>
      <c r="B171">
        <v>1</v>
      </c>
      <c r="C171">
        <v>1.1052565219999999</v>
      </c>
      <c r="D171" t="s">
        <v>8</v>
      </c>
      <c r="E171">
        <v>23.37</v>
      </c>
      <c r="G171" t="s">
        <v>1</v>
      </c>
    </row>
    <row r="172" spans="1:7" x14ac:dyDescent="0.4">
      <c r="A172" s="1">
        <v>43747</v>
      </c>
      <c r="B172">
        <v>1</v>
      </c>
      <c r="C172">
        <v>1.1052565219999999</v>
      </c>
      <c r="D172" t="s">
        <v>8</v>
      </c>
      <c r="E172">
        <v>22.32</v>
      </c>
      <c r="G172" t="s">
        <v>1</v>
      </c>
    </row>
    <row r="173" spans="1:7" x14ac:dyDescent="0.4">
      <c r="A173" s="1">
        <v>43748</v>
      </c>
      <c r="B173">
        <v>1</v>
      </c>
      <c r="C173">
        <v>1.1052565219999999</v>
      </c>
      <c r="D173" t="s">
        <v>8</v>
      </c>
      <c r="E173">
        <v>22.83</v>
      </c>
      <c r="G173" t="s">
        <v>1</v>
      </c>
    </row>
    <row r="174" spans="1:7" x14ac:dyDescent="0.4">
      <c r="A174" s="1">
        <v>43749</v>
      </c>
      <c r="B174">
        <v>1</v>
      </c>
      <c r="C174">
        <v>1.1052565219999999</v>
      </c>
      <c r="D174" t="s">
        <v>8</v>
      </c>
      <c r="E174">
        <v>23.62</v>
      </c>
      <c r="G174" t="s">
        <v>1</v>
      </c>
    </row>
    <row r="175" spans="1:7" x14ac:dyDescent="0.4">
      <c r="A175" s="1">
        <v>43752</v>
      </c>
      <c r="B175">
        <v>1</v>
      </c>
      <c r="C175">
        <v>1.1052565219999999</v>
      </c>
      <c r="D175" t="s">
        <v>8</v>
      </c>
      <c r="E175">
        <v>23.82</v>
      </c>
      <c r="F175">
        <v>25.62</v>
      </c>
      <c r="G175" t="s">
        <v>1</v>
      </c>
    </row>
    <row r="176" spans="1:7" x14ac:dyDescent="0.4">
      <c r="A176" s="1">
        <v>43753</v>
      </c>
      <c r="B176">
        <v>1</v>
      </c>
      <c r="C176">
        <v>1.1052565219999999</v>
      </c>
      <c r="D176" t="s">
        <v>8</v>
      </c>
      <c r="E176">
        <v>24.48</v>
      </c>
      <c r="G176" t="s">
        <v>1</v>
      </c>
    </row>
    <row r="177" spans="1:7" x14ac:dyDescent="0.4">
      <c r="A177" s="1">
        <v>43755</v>
      </c>
      <c r="B177">
        <v>1</v>
      </c>
      <c r="C177">
        <v>1.1052565219999999</v>
      </c>
      <c r="D177" t="s">
        <v>8</v>
      </c>
      <c r="E177">
        <v>25.96</v>
      </c>
      <c r="G177" t="s">
        <v>1</v>
      </c>
    </row>
    <row r="178" spans="1:7" x14ac:dyDescent="0.4">
      <c r="A178" s="1">
        <v>43756</v>
      </c>
      <c r="B178">
        <v>1</v>
      </c>
      <c r="C178">
        <v>1.1052565219999999</v>
      </c>
      <c r="D178" t="s">
        <v>8</v>
      </c>
      <c r="E178">
        <v>25.64</v>
      </c>
      <c r="G178" t="s">
        <v>1</v>
      </c>
    </row>
    <row r="179" spans="1:7" x14ac:dyDescent="0.4">
      <c r="A179" s="1">
        <v>43759</v>
      </c>
      <c r="B179">
        <v>1</v>
      </c>
      <c r="C179">
        <v>1.1052565219999999</v>
      </c>
      <c r="D179" t="s">
        <v>8</v>
      </c>
      <c r="E179">
        <v>25.9</v>
      </c>
      <c r="F179">
        <v>25.35</v>
      </c>
      <c r="G179" t="s">
        <v>1</v>
      </c>
    </row>
    <row r="180" spans="1:7" x14ac:dyDescent="0.4">
      <c r="A180" s="1">
        <v>43760</v>
      </c>
      <c r="B180">
        <v>1</v>
      </c>
      <c r="C180">
        <v>1.1052565219999999</v>
      </c>
      <c r="D180" t="s">
        <v>8</v>
      </c>
      <c r="E180">
        <v>25.7</v>
      </c>
      <c r="G180" t="s">
        <v>1</v>
      </c>
    </row>
    <row r="181" spans="1:7" x14ac:dyDescent="0.4">
      <c r="A181" s="1">
        <v>43761</v>
      </c>
      <c r="B181">
        <v>1</v>
      </c>
      <c r="C181">
        <v>1.1052565219999999</v>
      </c>
      <c r="D181" t="s">
        <v>8</v>
      </c>
      <c r="E181">
        <v>25.09</v>
      </c>
      <c r="G181" t="s">
        <v>1</v>
      </c>
    </row>
    <row r="182" spans="1:7" x14ac:dyDescent="0.4">
      <c r="A182" s="1">
        <v>43762</v>
      </c>
      <c r="B182">
        <v>1</v>
      </c>
      <c r="C182">
        <v>1.1052565219999999</v>
      </c>
      <c r="D182" t="s">
        <v>8</v>
      </c>
      <c r="E182">
        <v>24.61</v>
      </c>
      <c r="G182" t="s">
        <v>1</v>
      </c>
    </row>
    <row r="183" spans="1:7" x14ac:dyDescent="0.4">
      <c r="A183" s="1">
        <v>43763</v>
      </c>
      <c r="B183">
        <v>1</v>
      </c>
      <c r="C183">
        <v>1.1052565219999999</v>
      </c>
      <c r="D183" t="s">
        <v>8</v>
      </c>
      <c r="E183">
        <v>24.86</v>
      </c>
      <c r="G183" t="s">
        <v>1</v>
      </c>
    </row>
    <row r="184" spans="1:7" x14ac:dyDescent="0.4">
      <c r="A184" s="1">
        <v>43766</v>
      </c>
      <c r="B184">
        <v>1</v>
      </c>
      <c r="C184">
        <v>1.1052565219999999</v>
      </c>
      <c r="D184" t="s">
        <v>8</v>
      </c>
      <c r="E184">
        <v>24.68</v>
      </c>
      <c r="F184">
        <v>25.49</v>
      </c>
      <c r="G184" t="s">
        <v>1</v>
      </c>
    </row>
    <row r="185" spans="1:7" x14ac:dyDescent="0.4">
      <c r="A185" s="1">
        <v>43767</v>
      </c>
      <c r="B185">
        <v>1</v>
      </c>
      <c r="C185">
        <v>1.1052565219999999</v>
      </c>
      <c r="D185" t="s">
        <v>8</v>
      </c>
      <c r="E185">
        <v>25.4</v>
      </c>
      <c r="G185" t="s">
        <v>1</v>
      </c>
    </row>
    <row r="186" spans="1:7" x14ac:dyDescent="0.4">
      <c r="A186" s="1">
        <v>43769</v>
      </c>
      <c r="B186">
        <v>1</v>
      </c>
      <c r="C186">
        <v>1.1052565219999999</v>
      </c>
      <c r="D186" t="s">
        <v>8</v>
      </c>
      <c r="E186">
        <v>25.95</v>
      </c>
      <c r="G186" t="s">
        <v>1</v>
      </c>
    </row>
    <row r="187" spans="1:7" x14ac:dyDescent="0.4">
      <c r="A187" s="1">
        <v>43770</v>
      </c>
      <c r="B187">
        <v>1</v>
      </c>
      <c r="C187">
        <v>1.1050952380000001</v>
      </c>
      <c r="D187" t="s">
        <v>8</v>
      </c>
      <c r="E187">
        <v>25.71</v>
      </c>
      <c r="G187" t="s">
        <v>1</v>
      </c>
    </row>
    <row r="188" spans="1:7" x14ac:dyDescent="0.4">
      <c r="A188" s="1">
        <v>43773</v>
      </c>
      <c r="B188">
        <v>1</v>
      </c>
      <c r="C188">
        <v>1.1050952380000001</v>
      </c>
      <c r="D188" t="s">
        <v>8</v>
      </c>
      <c r="E188">
        <v>24.93</v>
      </c>
      <c r="F188">
        <v>25.14</v>
      </c>
      <c r="G188" t="s">
        <v>1</v>
      </c>
    </row>
    <row r="189" spans="1:7" x14ac:dyDescent="0.4">
      <c r="A189" s="1">
        <v>43774</v>
      </c>
      <c r="B189">
        <v>1</v>
      </c>
      <c r="C189">
        <v>1.1050952380000001</v>
      </c>
      <c r="D189" t="s">
        <v>8</v>
      </c>
      <c r="E189">
        <v>25.8</v>
      </c>
      <c r="G189" t="s">
        <v>1</v>
      </c>
    </row>
    <row r="190" spans="1:7" x14ac:dyDescent="0.4">
      <c r="A190" s="1">
        <v>43775</v>
      </c>
      <c r="B190">
        <v>1</v>
      </c>
      <c r="C190">
        <v>1.1050952380000001</v>
      </c>
      <c r="D190" t="s">
        <v>8</v>
      </c>
      <c r="E190">
        <v>25.18</v>
      </c>
      <c r="G190" t="s">
        <v>1</v>
      </c>
    </row>
    <row r="191" spans="1:7" x14ac:dyDescent="0.4">
      <c r="A191" s="1">
        <v>43776</v>
      </c>
      <c r="B191">
        <v>1</v>
      </c>
      <c r="C191">
        <v>1.1050952380000001</v>
      </c>
      <c r="D191" t="s">
        <v>8</v>
      </c>
      <c r="E191">
        <v>24.86</v>
      </c>
      <c r="G191" t="s">
        <v>1</v>
      </c>
    </row>
    <row r="192" spans="1:7" x14ac:dyDescent="0.4">
      <c r="A192" s="1">
        <v>43777</v>
      </c>
      <c r="B192">
        <v>1</v>
      </c>
      <c r="C192">
        <v>1.1050952380000001</v>
      </c>
      <c r="D192" t="s">
        <v>8</v>
      </c>
      <c r="E192">
        <v>24.62</v>
      </c>
      <c r="G192" t="s">
        <v>1</v>
      </c>
    </row>
    <row r="193" spans="1:7" x14ac:dyDescent="0.4">
      <c r="A193" s="1">
        <v>43780</v>
      </c>
      <c r="B193">
        <v>1</v>
      </c>
      <c r="C193">
        <v>1.1050952380000001</v>
      </c>
      <c r="D193" t="s">
        <v>8</v>
      </c>
      <c r="E193">
        <v>25.21</v>
      </c>
      <c r="F193">
        <v>24.25</v>
      </c>
      <c r="G193" t="s">
        <v>1</v>
      </c>
    </row>
    <row r="194" spans="1:7" x14ac:dyDescent="0.4">
      <c r="A194" s="1">
        <v>43781</v>
      </c>
      <c r="B194">
        <v>1</v>
      </c>
      <c r="C194">
        <v>1.1050952380000001</v>
      </c>
      <c r="D194" t="s">
        <v>8</v>
      </c>
      <c r="E194">
        <v>24.95</v>
      </c>
      <c r="G194" t="s">
        <v>1</v>
      </c>
    </row>
    <row r="195" spans="1:7" x14ac:dyDescent="0.4">
      <c r="A195" s="1">
        <v>43783</v>
      </c>
      <c r="B195">
        <v>1</v>
      </c>
      <c r="C195">
        <v>1.1050952380000001</v>
      </c>
      <c r="D195" t="s">
        <v>8</v>
      </c>
      <c r="E195">
        <v>24.28</v>
      </c>
      <c r="G195" t="s">
        <v>1</v>
      </c>
    </row>
    <row r="196" spans="1:7" x14ac:dyDescent="0.4">
      <c r="A196" s="1">
        <v>43784</v>
      </c>
      <c r="B196">
        <v>1</v>
      </c>
      <c r="C196">
        <v>1.1050952380000001</v>
      </c>
      <c r="D196" t="s">
        <v>8</v>
      </c>
      <c r="E196">
        <v>23.41</v>
      </c>
      <c r="G196" t="s">
        <v>1</v>
      </c>
    </row>
    <row r="197" spans="1:7" x14ac:dyDescent="0.4">
      <c r="A197" s="1">
        <v>43787</v>
      </c>
      <c r="B197">
        <v>1</v>
      </c>
      <c r="C197">
        <v>1.1050952380000001</v>
      </c>
      <c r="D197" t="s">
        <v>8</v>
      </c>
      <c r="E197">
        <v>23.41</v>
      </c>
      <c r="F197">
        <v>23.88</v>
      </c>
      <c r="G197" t="s">
        <v>1</v>
      </c>
    </row>
    <row r="198" spans="1:7" x14ac:dyDescent="0.4">
      <c r="A198" s="1">
        <v>43788</v>
      </c>
      <c r="B198">
        <v>1</v>
      </c>
      <c r="C198">
        <v>1.1050952380000001</v>
      </c>
      <c r="D198" t="s">
        <v>8</v>
      </c>
      <c r="E198">
        <v>23.62</v>
      </c>
      <c r="G198" t="s">
        <v>1</v>
      </c>
    </row>
    <row r="199" spans="1:7" x14ac:dyDescent="0.4">
      <c r="A199" s="1">
        <v>43789</v>
      </c>
      <c r="B199">
        <v>1</v>
      </c>
      <c r="C199">
        <v>1.1050952380000001</v>
      </c>
      <c r="D199" t="s">
        <v>8</v>
      </c>
      <c r="E199">
        <v>23.34</v>
      </c>
      <c r="G199" t="s">
        <v>1</v>
      </c>
    </row>
    <row r="200" spans="1:7" x14ac:dyDescent="0.4">
      <c r="A200" s="1">
        <v>43790</v>
      </c>
      <c r="B200">
        <v>1</v>
      </c>
      <c r="C200">
        <v>1.1050952380000001</v>
      </c>
      <c r="D200" t="s">
        <v>8</v>
      </c>
      <c r="E200">
        <v>23.96</v>
      </c>
      <c r="G200" t="s">
        <v>1</v>
      </c>
    </row>
    <row r="201" spans="1:7" x14ac:dyDescent="0.4">
      <c r="A201" s="1">
        <v>43791</v>
      </c>
      <c r="B201">
        <v>1</v>
      </c>
      <c r="C201">
        <v>1.1050952380000001</v>
      </c>
      <c r="D201" t="s">
        <v>8</v>
      </c>
      <c r="E201">
        <v>24.32</v>
      </c>
      <c r="G201" t="s">
        <v>1</v>
      </c>
    </row>
    <row r="202" spans="1:7" x14ac:dyDescent="0.4">
      <c r="A202" s="1">
        <v>43794</v>
      </c>
      <c r="B202">
        <v>1</v>
      </c>
      <c r="C202">
        <v>1.1050952380000001</v>
      </c>
      <c r="D202" t="s">
        <v>8</v>
      </c>
      <c r="E202">
        <v>24.52</v>
      </c>
      <c r="F202">
        <v>24.83</v>
      </c>
      <c r="G202" t="s">
        <v>1</v>
      </c>
    </row>
    <row r="203" spans="1:7" x14ac:dyDescent="0.4">
      <c r="A203" s="1">
        <v>43795</v>
      </c>
      <c r="B203">
        <v>1</v>
      </c>
      <c r="C203">
        <v>1.1050952380000001</v>
      </c>
      <c r="D203" t="s">
        <v>8</v>
      </c>
      <c r="E203">
        <v>24.29</v>
      </c>
      <c r="G203" t="s">
        <v>1</v>
      </c>
    </row>
    <row r="204" spans="1:7" x14ac:dyDescent="0.4">
      <c r="A204" s="1">
        <v>43797</v>
      </c>
      <c r="B204">
        <v>1</v>
      </c>
      <c r="C204">
        <v>1.1050952380000001</v>
      </c>
      <c r="D204" t="s">
        <v>8</v>
      </c>
      <c r="E204">
        <v>24.91</v>
      </c>
      <c r="G204" t="s">
        <v>1</v>
      </c>
    </row>
    <row r="205" spans="1:7" x14ac:dyDescent="0.4">
      <c r="A205" s="1">
        <v>43798</v>
      </c>
      <c r="B205">
        <v>1</v>
      </c>
      <c r="C205">
        <v>1.1050952380000001</v>
      </c>
      <c r="D205" t="s">
        <v>8</v>
      </c>
      <c r="E205">
        <v>25.03</v>
      </c>
      <c r="G205" t="s">
        <v>1</v>
      </c>
    </row>
    <row r="206" spans="1:7" x14ac:dyDescent="0.4">
      <c r="A206" s="1">
        <v>43801</v>
      </c>
      <c r="B206">
        <v>1</v>
      </c>
      <c r="C206">
        <v>1.111345</v>
      </c>
      <c r="D206" t="s">
        <v>8</v>
      </c>
      <c r="E206">
        <v>24.62</v>
      </c>
      <c r="F206">
        <v>24.54</v>
      </c>
      <c r="G206" t="s">
        <v>1</v>
      </c>
    </row>
    <row r="207" spans="1:7" x14ac:dyDescent="0.4">
      <c r="A207" s="1">
        <v>43802</v>
      </c>
      <c r="B207">
        <v>1</v>
      </c>
      <c r="C207">
        <v>1.111345</v>
      </c>
      <c r="D207" t="s">
        <v>8</v>
      </c>
      <c r="E207">
        <v>24.41</v>
      </c>
      <c r="G207" t="s">
        <v>1</v>
      </c>
    </row>
    <row r="208" spans="1:7" x14ac:dyDescent="0.4">
      <c r="A208" s="1">
        <v>43803</v>
      </c>
      <c r="B208">
        <v>1</v>
      </c>
      <c r="C208">
        <v>1.111345</v>
      </c>
      <c r="D208" t="s">
        <v>8</v>
      </c>
      <c r="E208">
        <v>24.1</v>
      </c>
      <c r="G208" t="s">
        <v>1</v>
      </c>
    </row>
    <row r="209" spans="1:7" x14ac:dyDescent="0.4">
      <c r="A209" s="1">
        <v>43804</v>
      </c>
      <c r="B209">
        <v>1</v>
      </c>
      <c r="C209">
        <v>1.111345</v>
      </c>
      <c r="D209" t="s">
        <v>8</v>
      </c>
      <c r="E209">
        <v>24.5</v>
      </c>
      <c r="G209" t="s">
        <v>1</v>
      </c>
    </row>
    <row r="210" spans="1:7" x14ac:dyDescent="0.4">
      <c r="A210" s="1">
        <v>43805</v>
      </c>
      <c r="B210">
        <v>1</v>
      </c>
      <c r="C210">
        <v>1.111345</v>
      </c>
      <c r="D210" t="s">
        <v>8</v>
      </c>
      <c r="E210">
        <v>24.7</v>
      </c>
      <c r="G210" t="s">
        <v>1</v>
      </c>
    </row>
    <row r="211" spans="1:7" x14ac:dyDescent="0.4">
      <c r="A211" s="1">
        <v>43808</v>
      </c>
      <c r="B211">
        <v>1</v>
      </c>
      <c r="C211">
        <v>1.111345</v>
      </c>
      <c r="D211" t="s">
        <v>8</v>
      </c>
      <c r="E211">
        <v>24.4</v>
      </c>
      <c r="F211">
        <v>24.73</v>
      </c>
      <c r="G211" t="s">
        <v>1</v>
      </c>
    </row>
    <row r="212" spans="1:7" x14ac:dyDescent="0.4">
      <c r="A212" s="1">
        <v>43809</v>
      </c>
      <c r="B212">
        <v>1</v>
      </c>
      <c r="C212">
        <v>1.111345</v>
      </c>
      <c r="D212" t="s">
        <v>8</v>
      </c>
      <c r="E212">
        <v>24.98</v>
      </c>
      <c r="G212" t="s">
        <v>1</v>
      </c>
    </row>
    <row r="213" spans="1:7" x14ac:dyDescent="0.4">
      <c r="A213" s="1">
        <v>43811</v>
      </c>
      <c r="B213">
        <v>1</v>
      </c>
      <c r="C213">
        <v>1.111345</v>
      </c>
      <c r="D213" t="s">
        <v>8</v>
      </c>
      <c r="E213">
        <v>24.62</v>
      </c>
      <c r="G213" t="s">
        <v>1</v>
      </c>
    </row>
    <row r="214" spans="1:7" x14ac:dyDescent="0.4">
      <c r="A214" s="1">
        <v>43812</v>
      </c>
      <c r="B214">
        <v>1</v>
      </c>
      <c r="C214">
        <v>1.111345</v>
      </c>
      <c r="D214" t="s">
        <v>8</v>
      </c>
      <c r="E214">
        <v>25.33</v>
      </c>
      <c r="G214" t="s">
        <v>1</v>
      </c>
    </row>
    <row r="215" spans="1:7" x14ac:dyDescent="0.4">
      <c r="A215" s="1">
        <v>43815</v>
      </c>
      <c r="B215">
        <v>1</v>
      </c>
      <c r="C215">
        <v>1.111345</v>
      </c>
      <c r="D215" t="s">
        <v>8</v>
      </c>
      <c r="E215">
        <v>24.21</v>
      </c>
      <c r="F215">
        <v>24.86</v>
      </c>
      <c r="G215" t="s">
        <v>1</v>
      </c>
    </row>
    <row r="216" spans="1:7" x14ac:dyDescent="0.4">
      <c r="A216" s="1">
        <v>43829</v>
      </c>
      <c r="B216">
        <v>1</v>
      </c>
      <c r="C216">
        <v>1.111345</v>
      </c>
      <c r="D216" t="s">
        <v>8</v>
      </c>
      <c r="F216">
        <v>24.68</v>
      </c>
      <c r="G216" t="s">
        <v>1</v>
      </c>
    </row>
    <row r="217" spans="1:7" x14ac:dyDescent="0.4">
      <c r="A217" s="1">
        <v>43836</v>
      </c>
      <c r="B217">
        <v>1</v>
      </c>
      <c r="C217">
        <v>1.1100363639999999</v>
      </c>
      <c r="D217" t="s">
        <v>8</v>
      </c>
      <c r="F217">
        <v>24.35</v>
      </c>
      <c r="G217" t="s">
        <v>1</v>
      </c>
    </row>
    <row r="218" spans="1:7" x14ac:dyDescent="0.4">
      <c r="A218" s="1">
        <v>43837</v>
      </c>
      <c r="B218">
        <v>1</v>
      </c>
      <c r="C218">
        <v>1.1100363639999999</v>
      </c>
      <c r="D218" t="s">
        <v>8</v>
      </c>
      <c r="E218">
        <v>24.06</v>
      </c>
      <c r="G218" t="s">
        <v>1</v>
      </c>
    </row>
    <row r="219" spans="1:7" x14ac:dyDescent="0.4">
      <c r="A219" s="1">
        <v>43839</v>
      </c>
      <c r="B219">
        <v>1</v>
      </c>
      <c r="C219">
        <v>1.1100363639999999</v>
      </c>
      <c r="D219" t="s">
        <v>8</v>
      </c>
      <c r="E219">
        <v>24.01</v>
      </c>
      <c r="G219" t="s">
        <v>1</v>
      </c>
    </row>
    <row r="220" spans="1:7" x14ac:dyDescent="0.4">
      <c r="A220" s="1">
        <v>43840</v>
      </c>
      <c r="B220">
        <v>1</v>
      </c>
      <c r="C220">
        <v>1.1100363639999999</v>
      </c>
      <c r="D220" t="s">
        <v>8</v>
      </c>
      <c r="E220">
        <v>24.48</v>
      </c>
      <c r="G220" t="s">
        <v>1</v>
      </c>
    </row>
    <row r="221" spans="1:7" x14ac:dyDescent="0.4">
      <c r="A221" s="1">
        <v>43843</v>
      </c>
      <c r="B221">
        <v>1</v>
      </c>
      <c r="C221">
        <v>1.1100363639999999</v>
      </c>
      <c r="D221" t="s">
        <v>8</v>
      </c>
      <c r="E221">
        <v>24.03</v>
      </c>
      <c r="F221">
        <v>24.56</v>
      </c>
      <c r="G221" t="s">
        <v>1</v>
      </c>
    </row>
    <row r="222" spans="1:7" x14ac:dyDescent="0.4">
      <c r="A222" s="1">
        <v>43844</v>
      </c>
      <c r="B222">
        <v>1</v>
      </c>
      <c r="C222">
        <v>1.1100363639999999</v>
      </c>
      <c r="D222" t="s">
        <v>8</v>
      </c>
      <c r="E222">
        <v>23.74</v>
      </c>
      <c r="G222" t="s">
        <v>1</v>
      </c>
    </row>
    <row r="223" spans="1:7" x14ac:dyDescent="0.4">
      <c r="A223" s="1">
        <v>43845</v>
      </c>
      <c r="B223">
        <v>1</v>
      </c>
      <c r="C223">
        <v>1.1100363639999999</v>
      </c>
      <c r="D223" t="s">
        <v>8</v>
      </c>
      <c r="E223">
        <v>24.08</v>
      </c>
      <c r="G223" t="s">
        <v>1</v>
      </c>
    </row>
    <row r="224" spans="1:7" x14ac:dyDescent="0.4">
      <c r="A224" s="1">
        <v>43846</v>
      </c>
      <c r="B224">
        <v>1</v>
      </c>
      <c r="C224">
        <v>1.1100363639999999</v>
      </c>
      <c r="D224" t="s">
        <v>8</v>
      </c>
      <c r="E224">
        <v>24.85</v>
      </c>
      <c r="G224" t="s">
        <v>1</v>
      </c>
    </row>
    <row r="225" spans="1:7" x14ac:dyDescent="0.4">
      <c r="A225" s="1">
        <v>43847</v>
      </c>
      <c r="B225">
        <v>1</v>
      </c>
      <c r="C225">
        <v>1.1100363639999999</v>
      </c>
      <c r="D225" t="s">
        <v>8</v>
      </c>
      <c r="E225">
        <v>25.01</v>
      </c>
      <c r="G225" t="s">
        <v>1</v>
      </c>
    </row>
    <row r="226" spans="1:7" x14ac:dyDescent="0.4">
      <c r="A226" s="1">
        <v>43850</v>
      </c>
      <c r="B226">
        <v>1</v>
      </c>
      <c r="C226">
        <v>1.1100363639999999</v>
      </c>
      <c r="D226" t="s">
        <v>8</v>
      </c>
      <c r="E226">
        <v>25.6</v>
      </c>
      <c r="F226">
        <v>24.84</v>
      </c>
      <c r="G226" t="s">
        <v>1</v>
      </c>
    </row>
    <row r="227" spans="1:7" x14ac:dyDescent="0.4">
      <c r="A227" s="1">
        <v>43851</v>
      </c>
      <c r="B227">
        <v>1</v>
      </c>
      <c r="C227">
        <v>1.1100363639999999</v>
      </c>
      <c r="D227" t="s">
        <v>8</v>
      </c>
      <c r="E227">
        <v>25.1</v>
      </c>
      <c r="G227" t="s">
        <v>1</v>
      </c>
    </row>
    <row r="228" spans="1:7" x14ac:dyDescent="0.4">
      <c r="A228" s="1">
        <v>43853</v>
      </c>
      <c r="B228">
        <v>1</v>
      </c>
      <c r="C228">
        <v>1.1100363639999999</v>
      </c>
      <c r="D228" t="s">
        <v>8</v>
      </c>
      <c r="E228">
        <v>24.65</v>
      </c>
      <c r="G228" t="s">
        <v>1</v>
      </c>
    </row>
    <row r="229" spans="1:7" x14ac:dyDescent="0.4">
      <c r="A229" s="1">
        <v>43854</v>
      </c>
      <c r="B229">
        <v>1</v>
      </c>
      <c r="C229">
        <v>1.1100363639999999</v>
      </c>
      <c r="D229" t="s">
        <v>8</v>
      </c>
      <c r="E229">
        <v>24.48</v>
      </c>
      <c r="G229" t="s">
        <v>1</v>
      </c>
    </row>
    <row r="230" spans="1:7" x14ac:dyDescent="0.4">
      <c r="A230" s="1">
        <v>43857</v>
      </c>
      <c r="B230">
        <v>1</v>
      </c>
      <c r="C230">
        <v>1.1100363639999999</v>
      </c>
      <c r="D230" t="s">
        <v>8</v>
      </c>
      <c r="E230">
        <v>24.04</v>
      </c>
      <c r="F230">
        <v>24.17</v>
      </c>
      <c r="G230" t="s">
        <v>1</v>
      </c>
    </row>
    <row r="231" spans="1:7" x14ac:dyDescent="0.4">
      <c r="A231" s="1">
        <v>43858</v>
      </c>
      <c r="B231">
        <v>1</v>
      </c>
      <c r="C231">
        <v>1.1100363639999999</v>
      </c>
      <c r="D231" t="s">
        <v>8</v>
      </c>
      <c r="E231">
        <v>24.55</v>
      </c>
      <c r="G231" t="s">
        <v>1</v>
      </c>
    </row>
    <row r="232" spans="1:7" x14ac:dyDescent="0.4">
      <c r="A232" s="1">
        <v>43859</v>
      </c>
      <c r="B232">
        <v>1</v>
      </c>
      <c r="C232">
        <v>1.1100363639999999</v>
      </c>
      <c r="D232" t="s">
        <v>8</v>
      </c>
      <c r="E232">
        <v>24.04</v>
      </c>
      <c r="G232" t="s">
        <v>1</v>
      </c>
    </row>
    <row r="233" spans="1:7" x14ac:dyDescent="0.4">
      <c r="A233" s="1">
        <v>43860</v>
      </c>
      <c r="B233">
        <v>1</v>
      </c>
      <c r="C233">
        <v>1.1100363639999999</v>
      </c>
      <c r="D233" t="s">
        <v>8</v>
      </c>
      <c r="E233">
        <v>23.74</v>
      </c>
      <c r="G233" t="s">
        <v>1</v>
      </c>
    </row>
    <row r="234" spans="1:7" x14ac:dyDescent="0.4">
      <c r="A234" s="1">
        <v>43861</v>
      </c>
      <c r="B234">
        <v>1</v>
      </c>
      <c r="C234">
        <v>1.1100363639999999</v>
      </c>
      <c r="D234" t="s">
        <v>8</v>
      </c>
      <c r="E234">
        <v>23.48</v>
      </c>
      <c r="G234" t="s">
        <v>1</v>
      </c>
    </row>
    <row r="235" spans="1:7" x14ac:dyDescent="0.4">
      <c r="A235" s="1">
        <v>43864</v>
      </c>
      <c r="B235">
        <v>1</v>
      </c>
      <c r="C235">
        <v>1.0905</v>
      </c>
      <c r="D235" t="s">
        <v>8</v>
      </c>
      <c r="E235">
        <v>23.2</v>
      </c>
      <c r="F235">
        <v>23.44</v>
      </c>
      <c r="G235" t="s">
        <v>1</v>
      </c>
    </row>
    <row r="236" spans="1:7" x14ac:dyDescent="0.4">
      <c r="A236" s="1">
        <v>43865</v>
      </c>
      <c r="B236">
        <v>1</v>
      </c>
      <c r="C236">
        <v>1.0905</v>
      </c>
      <c r="D236" t="s">
        <v>8</v>
      </c>
      <c r="E236">
        <v>23.33</v>
      </c>
      <c r="G236" t="s">
        <v>1</v>
      </c>
    </row>
    <row r="237" spans="1:7" x14ac:dyDescent="0.4">
      <c r="A237" s="1">
        <v>43867</v>
      </c>
      <c r="B237">
        <v>1</v>
      </c>
      <c r="C237">
        <v>1.0905</v>
      </c>
      <c r="D237" t="s">
        <v>8</v>
      </c>
      <c r="E237">
        <v>23.4</v>
      </c>
      <c r="G237" t="s">
        <v>1</v>
      </c>
    </row>
    <row r="238" spans="1:7" x14ac:dyDescent="0.4">
      <c r="A238" s="1">
        <v>43868</v>
      </c>
      <c r="B238">
        <v>1</v>
      </c>
      <c r="C238">
        <v>1.0905</v>
      </c>
      <c r="D238" t="s">
        <v>8</v>
      </c>
      <c r="E238">
        <v>23.17</v>
      </c>
      <c r="G238" t="s">
        <v>1</v>
      </c>
    </row>
    <row r="239" spans="1:7" x14ac:dyDescent="0.4">
      <c r="A239" s="1">
        <v>43871</v>
      </c>
      <c r="B239">
        <v>1</v>
      </c>
      <c r="C239">
        <v>1.0905</v>
      </c>
      <c r="D239" t="s">
        <v>8</v>
      </c>
      <c r="E239">
        <v>22.91</v>
      </c>
      <c r="F239">
        <v>23.81</v>
      </c>
      <c r="G239" t="s">
        <v>1</v>
      </c>
    </row>
    <row r="240" spans="1:7" x14ac:dyDescent="0.4">
      <c r="A240" s="1">
        <v>43872</v>
      </c>
      <c r="B240">
        <v>1</v>
      </c>
      <c r="C240">
        <v>1.0905</v>
      </c>
      <c r="D240" t="s">
        <v>8</v>
      </c>
      <c r="E240">
        <v>23.15</v>
      </c>
      <c r="G240" t="s">
        <v>1</v>
      </c>
    </row>
    <row r="241" spans="1:7" x14ac:dyDescent="0.4">
      <c r="A241" s="1">
        <v>43873</v>
      </c>
      <c r="B241">
        <v>1</v>
      </c>
      <c r="C241">
        <v>1.0905</v>
      </c>
      <c r="D241" t="s">
        <v>8</v>
      </c>
      <c r="E241">
        <v>23.35</v>
      </c>
      <c r="G241" t="s">
        <v>1</v>
      </c>
    </row>
    <row r="242" spans="1:7" x14ac:dyDescent="0.4">
      <c r="A242" s="1">
        <v>43874</v>
      </c>
      <c r="B242">
        <v>1</v>
      </c>
      <c r="C242">
        <v>1.0905</v>
      </c>
      <c r="D242" t="s">
        <v>8</v>
      </c>
      <c r="E242">
        <v>23.52</v>
      </c>
      <c r="G242" t="s">
        <v>1</v>
      </c>
    </row>
    <row r="243" spans="1:7" x14ac:dyDescent="0.4">
      <c r="A243" s="1">
        <v>43875</v>
      </c>
      <c r="B243">
        <v>1</v>
      </c>
      <c r="C243">
        <v>1.0905</v>
      </c>
      <c r="D243" t="s">
        <v>8</v>
      </c>
      <c r="E243">
        <v>24.27</v>
      </c>
      <c r="G243" t="s">
        <v>1</v>
      </c>
    </row>
    <row r="244" spans="1:7" x14ac:dyDescent="0.4">
      <c r="A244" s="1">
        <v>43878</v>
      </c>
      <c r="B244">
        <v>1</v>
      </c>
      <c r="C244">
        <v>1.0905</v>
      </c>
      <c r="D244" t="s">
        <v>8</v>
      </c>
      <c r="E244">
        <v>24.11</v>
      </c>
      <c r="F244">
        <v>25.43</v>
      </c>
      <c r="G244" t="s">
        <v>1</v>
      </c>
    </row>
    <row r="245" spans="1:7" x14ac:dyDescent="0.4">
      <c r="A245" s="1">
        <v>43879</v>
      </c>
      <c r="B245">
        <v>1</v>
      </c>
      <c r="C245">
        <v>1.0905</v>
      </c>
      <c r="D245" t="s">
        <v>8</v>
      </c>
      <c r="E245">
        <v>24.8</v>
      </c>
      <c r="G245" t="s">
        <v>1</v>
      </c>
    </row>
    <row r="246" spans="1:7" x14ac:dyDescent="0.4">
      <c r="A246" s="1">
        <v>43881</v>
      </c>
      <c r="B246">
        <v>1</v>
      </c>
      <c r="C246">
        <v>1.0905</v>
      </c>
      <c r="D246" t="s">
        <v>8</v>
      </c>
      <c r="E246">
        <v>25.5</v>
      </c>
      <c r="G246" t="s">
        <v>1</v>
      </c>
    </row>
    <row r="247" spans="1:7" x14ac:dyDescent="0.4">
      <c r="A247" s="1">
        <v>43882</v>
      </c>
      <c r="B247">
        <v>1</v>
      </c>
      <c r="C247">
        <v>1.0905</v>
      </c>
      <c r="D247" t="s">
        <v>8</v>
      </c>
      <c r="E247">
        <v>25.15</v>
      </c>
      <c r="G247" t="s">
        <v>1</v>
      </c>
    </row>
    <row r="248" spans="1:7" x14ac:dyDescent="0.4">
      <c r="A248" s="1">
        <v>43885</v>
      </c>
      <c r="B248">
        <v>1</v>
      </c>
      <c r="C248">
        <v>1.0905</v>
      </c>
      <c r="D248" t="s">
        <v>8</v>
      </c>
      <c r="E248">
        <v>24.64</v>
      </c>
      <c r="F248">
        <v>24.04</v>
      </c>
      <c r="G248" t="s">
        <v>1</v>
      </c>
    </row>
    <row r="249" spans="1:7" x14ac:dyDescent="0.4">
      <c r="A249" s="1">
        <v>43886</v>
      </c>
      <c r="B249">
        <v>1</v>
      </c>
      <c r="C249">
        <v>1.0905</v>
      </c>
      <c r="D249" t="s">
        <v>8</v>
      </c>
      <c r="E249">
        <v>24.32</v>
      </c>
      <c r="G249" t="s">
        <v>1</v>
      </c>
    </row>
    <row r="250" spans="1:7" x14ac:dyDescent="0.4">
      <c r="A250" s="1">
        <v>43887</v>
      </c>
      <c r="B250">
        <v>1</v>
      </c>
      <c r="C250">
        <v>1.0905</v>
      </c>
      <c r="D250" t="s">
        <v>8</v>
      </c>
      <c r="E250">
        <v>23.85</v>
      </c>
      <c r="G250" t="s">
        <v>1</v>
      </c>
    </row>
    <row r="251" spans="1:7" x14ac:dyDescent="0.4">
      <c r="A251" s="1">
        <v>43888</v>
      </c>
      <c r="B251">
        <v>1</v>
      </c>
      <c r="C251">
        <v>1.0905</v>
      </c>
      <c r="D251" t="s">
        <v>8</v>
      </c>
      <c r="E251">
        <v>23.8</v>
      </c>
      <c r="G251" t="s">
        <v>1</v>
      </c>
    </row>
    <row r="252" spans="1:7" x14ac:dyDescent="0.4">
      <c r="A252" s="1">
        <v>43889</v>
      </c>
      <c r="B252">
        <v>1</v>
      </c>
      <c r="C252">
        <v>1.0905</v>
      </c>
      <c r="D252" t="s">
        <v>8</v>
      </c>
      <c r="E252">
        <v>23.46</v>
      </c>
      <c r="G252" t="s">
        <v>1</v>
      </c>
    </row>
    <row r="253" spans="1:7" x14ac:dyDescent="0.4">
      <c r="A253" s="1">
        <v>43892</v>
      </c>
      <c r="B253">
        <v>1</v>
      </c>
      <c r="C253">
        <v>1.106340909</v>
      </c>
      <c r="D253" t="s">
        <v>8</v>
      </c>
      <c r="E253">
        <v>23.96</v>
      </c>
      <c r="F253">
        <v>23.59</v>
      </c>
      <c r="G253" t="s">
        <v>1</v>
      </c>
    </row>
    <row r="254" spans="1:7" x14ac:dyDescent="0.4">
      <c r="A254" s="1">
        <v>43893</v>
      </c>
      <c r="B254">
        <v>1</v>
      </c>
      <c r="C254">
        <v>1.106340909</v>
      </c>
      <c r="D254" t="s">
        <v>8</v>
      </c>
      <c r="E254">
        <v>23.26</v>
      </c>
      <c r="G254" t="s">
        <v>1</v>
      </c>
    </row>
    <row r="255" spans="1:7" x14ac:dyDescent="0.4">
      <c r="A255" s="1">
        <v>43895</v>
      </c>
      <c r="B255">
        <v>1</v>
      </c>
      <c r="C255">
        <v>1.106340909</v>
      </c>
      <c r="D255" t="s">
        <v>8</v>
      </c>
      <c r="E255">
        <v>23.9</v>
      </c>
      <c r="G255" t="s">
        <v>1</v>
      </c>
    </row>
    <row r="256" spans="1:7" x14ac:dyDescent="0.4">
      <c r="A256" s="1">
        <v>43896</v>
      </c>
      <c r="B256">
        <v>1</v>
      </c>
      <c r="C256">
        <v>1.106340909</v>
      </c>
      <c r="D256" t="s">
        <v>8</v>
      </c>
      <c r="E256">
        <v>23.36</v>
      </c>
      <c r="G256" t="s">
        <v>1</v>
      </c>
    </row>
    <row r="257" spans="1:7" x14ac:dyDescent="0.4">
      <c r="A257" s="1">
        <v>43899</v>
      </c>
      <c r="B257">
        <v>1</v>
      </c>
      <c r="C257">
        <v>1.106340909</v>
      </c>
      <c r="D257" t="s">
        <v>8</v>
      </c>
      <c r="E257">
        <v>22.65</v>
      </c>
      <c r="F257">
        <v>23.15</v>
      </c>
      <c r="G257" t="s">
        <v>1</v>
      </c>
    </row>
    <row r="258" spans="1:7" x14ac:dyDescent="0.4">
      <c r="A258" s="1">
        <v>43900</v>
      </c>
      <c r="B258">
        <v>1</v>
      </c>
      <c r="C258">
        <v>1.106340909</v>
      </c>
      <c r="D258" t="s">
        <v>8</v>
      </c>
      <c r="E258">
        <v>23.76</v>
      </c>
      <c r="G258" t="s">
        <v>1</v>
      </c>
    </row>
    <row r="259" spans="1:7" x14ac:dyDescent="0.4">
      <c r="A259" s="1">
        <v>43901</v>
      </c>
      <c r="B259">
        <v>1</v>
      </c>
      <c r="C259">
        <v>1.106340909</v>
      </c>
      <c r="D259" t="s">
        <v>8</v>
      </c>
      <c r="E259">
        <v>23.59</v>
      </c>
      <c r="G259" t="s">
        <v>1</v>
      </c>
    </row>
    <row r="260" spans="1:7" x14ac:dyDescent="0.4">
      <c r="A260" s="1">
        <v>43902</v>
      </c>
      <c r="B260">
        <v>1</v>
      </c>
      <c r="C260">
        <v>1.106340909</v>
      </c>
      <c r="D260" t="s">
        <v>8</v>
      </c>
      <c r="E260">
        <v>22.85</v>
      </c>
      <c r="G260" t="s">
        <v>1</v>
      </c>
    </row>
    <row r="261" spans="1:7" x14ac:dyDescent="0.4">
      <c r="A261" s="1">
        <v>43903</v>
      </c>
      <c r="B261">
        <v>1</v>
      </c>
      <c r="C261">
        <v>1.106340909</v>
      </c>
      <c r="D261" t="s">
        <v>8</v>
      </c>
      <c r="E261">
        <v>22.78</v>
      </c>
      <c r="G261" t="s">
        <v>1</v>
      </c>
    </row>
    <row r="262" spans="1:7" x14ac:dyDescent="0.4">
      <c r="A262" s="1">
        <v>43906</v>
      </c>
      <c r="B262">
        <v>1</v>
      </c>
      <c r="C262">
        <v>1.106340909</v>
      </c>
      <c r="D262" t="s">
        <v>8</v>
      </c>
      <c r="E262">
        <v>20.64</v>
      </c>
      <c r="F262">
        <v>17.12</v>
      </c>
      <c r="G262" t="s">
        <v>1</v>
      </c>
    </row>
    <row r="263" spans="1:7" x14ac:dyDescent="0.4">
      <c r="A263" s="1">
        <v>43909</v>
      </c>
      <c r="B263">
        <v>1</v>
      </c>
      <c r="C263">
        <v>1.106340909</v>
      </c>
      <c r="D263" t="s">
        <v>8</v>
      </c>
      <c r="E263">
        <v>16.03</v>
      </c>
      <c r="G263" t="s">
        <v>1</v>
      </c>
    </row>
    <row r="264" spans="1:7" x14ac:dyDescent="0.4">
      <c r="A264" s="1">
        <v>43910</v>
      </c>
      <c r="B264">
        <v>1</v>
      </c>
      <c r="C264">
        <v>1.106340909</v>
      </c>
      <c r="D264" t="s">
        <v>8</v>
      </c>
      <c r="E264">
        <v>16.350000000000001</v>
      </c>
      <c r="G264" t="s">
        <v>1</v>
      </c>
    </row>
    <row r="265" spans="1:7" x14ac:dyDescent="0.4">
      <c r="A265" s="1">
        <v>43913</v>
      </c>
      <c r="B265">
        <v>1</v>
      </c>
      <c r="C265">
        <v>1.106340909</v>
      </c>
      <c r="D265" t="s">
        <v>8</v>
      </c>
      <c r="E265">
        <v>14.6</v>
      </c>
      <c r="F265">
        <v>16.71</v>
      </c>
      <c r="G265" t="s">
        <v>1</v>
      </c>
    </row>
    <row r="266" spans="1:7" x14ac:dyDescent="0.4">
      <c r="A266" s="1">
        <v>43914</v>
      </c>
      <c r="B266">
        <v>1</v>
      </c>
      <c r="C266">
        <v>1.106340909</v>
      </c>
      <c r="D266" t="s">
        <v>8</v>
      </c>
      <c r="E266">
        <v>16.25</v>
      </c>
      <c r="G266" t="s">
        <v>1</v>
      </c>
    </row>
    <row r="267" spans="1:7" x14ac:dyDescent="0.4">
      <c r="A267" s="1">
        <v>43915</v>
      </c>
      <c r="B267">
        <v>1</v>
      </c>
      <c r="C267">
        <v>1.106340909</v>
      </c>
      <c r="D267" t="s">
        <v>8</v>
      </c>
      <c r="E267">
        <v>16.95</v>
      </c>
      <c r="G267" t="s">
        <v>1</v>
      </c>
    </row>
    <row r="268" spans="1:7" x14ac:dyDescent="0.4">
      <c r="A268" s="1">
        <v>43916</v>
      </c>
      <c r="B268">
        <v>1</v>
      </c>
      <c r="C268">
        <v>1.106340909</v>
      </c>
      <c r="D268" t="s">
        <v>8</v>
      </c>
      <c r="E268">
        <v>16.3</v>
      </c>
      <c r="G268" t="s">
        <v>1</v>
      </c>
    </row>
    <row r="269" spans="1:7" x14ac:dyDescent="0.4">
      <c r="A269" s="1">
        <v>43917</v>
      </c>
      <c r="B269">
        <v>1</v>
      </c>
      <c r="C269">
        <v>1.106340909</v>
      </c>
      <c r="D269" t="s">
        <v>8</v>
      </c>
      <c r="E269">
        <v>16.55</v>
      </c>
      <c r="G269" t="s">
        <v>1</v>
      </c>
    </row>
    <row r="270" spans="1:7" x14ac:dyDescent="0.4">
      <c r="A270" s="1">
        <v>43920</v>
      </c>
      <c r="B270">
        <v>1</v>
      </c>
      <c r="C270">
        <v>1.106340909</v>
      </c>
      <c r="D270" t="s">
        <v>8</v>
      </c>
      <c r="E270">
        <v>16.32</v>
      </c>
      <c r="F270">
        <v>17.57</v>
      </c>
      <c r="G270" t="s">
        <v>1</v>
      </c>
    </row>
    <row r="271" spans="1:7" x14ac:dyDescent="0.4">
      <c r="A271" s="1">
        <v>43921</v>
      </c>
      <c r="B271">
        <v>1</v>
      </c>
      <c r="C271">
        <v>1.106340909</v>
      </c>
      <c r="D271" t="s">
        <v>8</v>
      </c>
      <c r="E271">
        <v>17.399999999999999</v>
      </c>
      <c r="G271" t="s">
        <v>1</v>
      </c>
    </row>
    <row r="272" spans="1:7" x14ac:dyDescent="0.4">
      <c r="A272" s="1">
        <v>43923</v>
      </c>
      <c r="B272">
        <v>1</v>
      </c>
      <c r="C272">
        <v>1.08619</v>
      </c>
      <c r="D272" t="s">
        <v>8</v>
      </c>
      <c r="E272">
        <v>17.52</v>
      </c>
      <c r="G272" t="s">
        <v>1</v>
      </c>
    </row>
    <row r="273" spans="1:7" x14ac:dyDescent="0.4">
      <c r="A273" s="1">
        <v>43924</v>
      </c>
      <c r="B273">
        <v>1</v>
      </c>
      <c r="C273">
        <v>1.08619</v>
      </c>
      <c r="D273" t="s">
        <v>8</v>
      </c>
      <c r="E273">
        <v>17.899999999999999</v>
      </c>
      <c r="G273" t="s">
        <v>1</v>
      </c>
    </row>
    <row r="274" spans="1:7" x14ac:dyDescent="0.4">
      <c r="A274" s="1">
        <v>43927</v>
      </c>
      <c r="B274">
        <v>1</v>
      </c>
      <c r="C274">
        <v>1.08619</v>
      </c>
      <c r="D274" t="s">
        <v>8</v>
      </c>
      <c r="E274">
        <v>18.36</v>
      </c>
      <c r="F274">
        <v>20.78</v>
      </c>
      <c r="G274" t="s">
        <v>1</v>
      </c>
    </row>
    <row r="275" spans="1:7" x14ac:dyDescent="0.4">
      <c r="A275" s="1">
        <v>43928</v>
      </c>
      <c r="B275">
        <v>1</v>
      </c>
      <c r="C275">
        <v>1.08619</v>
      </c>
      <c r="D275" t="s">
        <v>8</v>
      </c>
      <c r="E275">
        <v>21.11</v>
      </c>
      <c r="G275" t="s">
        <v>1</v>
      </c>
    </row>
    <row r="276" spans="1:7" x14ac:dyDescent="0.4">
      <c r="A276" s="1">
        <v>43929</v>
      </c>
      <c r="B276">
        <v>1</v>
      </c>
      <c r="C276">
        <v>1.08619</v>
      </c>
      <c r="D276" t="s">
        <v>8</v>
      </c>
      <c r="E276">
        <v>20.74</v>
      </c>
      <c r="G276" t="s">
        <v>1</v>
      </c>
    </row>
    <row r="277" spans="1:7" x14ac:dyDescent="0.4">
      <c r="A277" s="1">
        <v>43930</v>
      </c>
      <c r="B277">
        <v>1</v>
      </c>
      <c r="C277">
        <v>1.08619</v>
      </c>
      <c r="D277" t="s">
        <v>8</v>
      </c>
      <c r="E277">
        <v>21.4</v>
      </c>
      <c r="G277" t="s">
        <v>1</v>
      </c>
    </row>
    <row r="278" spans="1:7" x14ac:dyDescent="0.4">
      <c r="A278" s="1">
        <v>43934</v>
      </c>
      <c r="B278">
        <v>1</v>
      </c>
      <c r="C278">
        <v>1.08619</v>
      </c>
      <c r="D278" t="s">
        <v>8</v>
      </c>
      <c r="F278">
        <v>20.56</v>
      </c>
      <c r="G278" t="s">
        <v>1</v>
      </c>
    </row>
    <row r="279" spans="1:7" x14ac:dyDescent="0.4">
      <c r="A279" s="1">
        <v>43935</v>
      </c>
      <c r="B279">
        <v>1</v>
      </c>
      <c r="C279">
        <v>1.08619</v>
      </c>
      <c r="D279" t="s">
        <v>8</v>
      </c>
      <c r="E279">
        <v>20.170000000000002</v>
      </c>
      <c r="G279" t="s">
        <v>1</v>
      </c>
    </row>
    <row r="280" spans="1:7" x14ac:dyDescent="0.4">
      <c r="A280" s="1">
        <v>43937</v>
      </c>
      <c r="B280">
        <v>1</v>
      </c>
      <c r="C280">
        <v>1.08619</v>
      </c>
      <c r="D280" t="s">
        <v>8</v>
      </c>
      <c r="E280">
        <v>20.100000000000001</v>
      </c>
      <c r="G280" t="s">
        <v>1</v>
      </c>
    </row>
    <row r="281" spans="1:7" x14ac:dyDescent="0.4">
      <c r="A281" s="1">
        <v>43938</v>
      </c>
      <c r="B281">
        <v>1</v>
      </c>
      <c r="C281">
        <v>1.08619</v>
      </c>
      <c r="D281" t="s">
        <v>8</v>
      </c>
      <c r="E281">
        <v>21.87</v>
      </c>
      <c r="G281" t="s">
        <v>1</v>
      </c>
    </row>
    <row r="282" spans="1:7" x14ac:dyDescent="0.4">
      <c r="A282" s="1">
        <v>43941</v>
      </c>
      <c r="B282">
        <v>1</v>
      </c>
      <c r="C282">
        <v>1.08619</v>
      </c>
      <c r="D282" t="s">
        <v>8</v>
      </c>
      <c r="E282">
        <v>21.24</v>
      </c>
      <c r="F282">
        <v>20.73</v>
      </c>
      <c r="G282" t="s">
        <v>1</v>
      </c>
    </row>
    <row r="283" spans="1:7" x14ac:dyDescent="0.4">
      <c r="A283" s="1">
        <v>43942</v>
      </c>
      <c r="B283">
        <v>1</v>
      </c>
      <c r="C283">
        <v>1.08619</v>
      </c>
      <c r="D283" t="s">
        <v>8</v>
      </c>
      <c r="E283">
        <v>20.399999999999999</v>
      </c>
      <c r="G283" t="s">
        <v>1</v>
      </c>
    </row>
    <row r="284" spans="1:7" x14ac:dyDescent="0.4">
      <c r="A284" s="1">
        <v>43943</v>
      </c>
      <c r="B284">
        <v>1</v>
      </c>
      <c r="C284">
        <v>1.08619</v>
      </c>
      <c r="D284" t="s">
        <v>8</v>
      </c>
      <c r="E284">
        <v>19.75</v>
      </c>
      <c r="G284" t="s">
        <v>1</v>
      </c>
    </row>
    <row r="285" spans="1:7" x14ac:dyDescent="0.4">
      <c r="A285" s="1">
        <v>43944</v>
      </c>
      <c r="B285">
        <v>1</v>
      </c>
      <c r="C285">
        <v>1.08619</v>
      </c>
      <c r="D285" t="s">
        <v>8</v>
      </c>
      <c r="E285">
        <v>20.239999999999998</v>
      </c>
      <c r="G285" t="s">
        <v>1</v>
      </c>
    </row>
    <row r="286" spans="1:7" x14ac:dyDescent="0.4">
      <c r="A286" s="1">
        <v>43945</v>
      </c>
      <c r="B286">
        <v>1</v>
      </c>
      <c r="C286">
        <v>1.08619</v>
      </c>
      <c r="D286" t="s">
        <v>8</v>
      </c>
      <c r="E286">
        <v>20.49</v>
      </c>
      <c r="G286" t="s">
        <v>1</v>
      </c>
    </row>
    <row r="287" spans="1:7" x14ac:dyDescent="0.4">
      <c r="A287" s="1">
        <v>43948</v>
      </c>
      <c r="B287">
        <v>1</v>
      </c>
      <c r="C287">
        <v>1.08619</v>
      </c>
      <c r="D287" t="s">
        <v>8</v>
      </c>
      <c r="E287">
        <v>20.399999999999999</v>
      </c>
      <c r="F287">
        <v>19.84</v>
      </c>
      <c r="G287" t="s">
        <v>1</v>
      </c>
    </row>
    <row r="288" spans="1:7" x14ac:dyDescent="0.4">
      <c r="A288" s="1">
        <v>43949</v>
      </c>
      <c r="B288">
        <v>1</v>
      </c>
      <c r="C288">
        <v>1.08619</v>
      </c>
      <c r="D288" t="s">
        <v>8</v>
      </c>
      <c r="E288">
        <v>19.989999999999998</v>
      </c>
      <c r="G288" t="s">
        <v>1</v>
      </c>
    </row>
    <row r="289" spans="1:7" x14ac:dyDescent="0.4">
      <c r="A289" s="1">
        <v>43951</v>
      </c>
      <c r="B289">
        <v>1</v>
      </c>
      <c r="C289">
        <v>1.08619</v>
      </c>
      <c r="D289" t="s">
        <v>8</v>
      </c>
      <c r="E289">
        <v>19.97</v>
      </c>
      <c r="G289" t="s">
        <v>1</v>
      </c>
    </row>
    <row r="290" spans="1:7" x14ac:dyDescent="0.4">
      <c r="A290" s="1">
        <v>43955</v>
      </c>
      <c r="B290">
        <v>1</v>
      </c>
      <c r="C290">
        <v>1.090185</v>
      </c>
      <c r="D290" t="s">
        <v>8</v>
      </c>
      <c r="F290">
        <v>19.27</v>
      </c>
      <c r="G290" t="s">
        <v>1</v>
      </c>
    </row>
    <row r="291" spans="1:7" x14ac:dyDescent="0.4">
      <c r="A291" s="1">
        <v>43956</v>
      </c>
      <c r="B291">
        <v>1</v>
      </c>
      <c r="C291">
        <v>1.090185</v>
      </c>
      <c r="D291" t="s">
        <v>8</v>
      </c>
      <c r="E291">
        <v>19.010000000000002</v>
      </c>
      <c r="G291" t="s">
        <v>1</v>
      </c>
    </row>
    <row r="292" spans="1:7" x14ac:dyDescent="0.4">
      <c r="A292" s="1">
        <v>43957</v>
      </c>
      <c r="B292">
        <v>1</v>
      </c>
      <c r="C292">
        <v>1.090185</v>
      </c>
      <c r="D292" t="s">
        <v>8</v>
      </c>
      <c r="E292">
        <v>17.75</v>
      </c>
      <c r="G292" t="s">
        <v>1</v>
      </c>
    </row>
    <row r="293" spans="1:7" x14ac:dyDescent="0.4">
      <c r="A293" s="1">
        <v>43958</v>
      </c>
      <c r="B293">
        <v>1</v>
      </c>
      <c r="C293">
        <v>1.090185</v>
      </c>
      <c r="D293" t="s">
        <v>8</v>
      </c>
      <c r="E293">
        <v>19</v>
      </c>
      <c r="G293" t="s">
        <v>1</v>
      </c>
    </row>
    <row r="294" spans="1:7" x14ac:dyDescent="0.4">
      <c r="A294" s="1">
        <v>43959</v>
      </c>
      <c r="B294">
        <v>1</v>
      </c>
      <c r="C294">
        <v>1.090185</v>
      </c>
      <c r="D294" t="s">
        <v>8</v>
      </c>
      <c r="E294">
        <v>19.38</v>
      </c>
      <c r="G294" t="s">
        <v>1</v>
      </c>
    </row>
    <row r="295" spans="1:7" x14ac:dyDescent="0.4">
      <c r="A295" s="1">
        <v>43962</v>
      </c>
      <c r="B295">
        <v>1</v>
      </c>
      <c r="C295">
        <v>1.090185</v>
      </c>
      <c r="D295" t="s">
        <v>8</v>
      </c>
      <c r="E295">
        <v>18.809999999999999</v>
      </c>
      <c r="F295">
        <v>18.850000000000001</v>
      </c>
      <c r="G295" t="s">
        <v>1</v>
      </c>
    </row>
    <row r="296" spans="1:7" x14ac:dyDescent="0.4">
      <c r="A296" s="1">
        <v>43963</v>
      </c>
      <c r="B296">
        <v>1</v>
      </c>
      <c r="C296">
        <v>1.090185</v>
      </c>
      <c r="D296" t="s">
        <v>8</v>
      </c>
      <c r="E296">
        <v>18.72</v>
      </c>
      <c r="G296" t="s">
        <v>1</v>
      </c>
    </row>
    <row r="297" spans="1:7" x14ac:dyDescent="0.4">
      <c r="A297" s="1">
        <v>43965</v>
      </c>
      <c r="B297">
        <v>1</v>
      </c>
      <c r="C297">
        <v>1.090185</v>
      </c>
      <c r="D297" t="s">
        <v>8</v>
      </c>
      <c r="E297">
        <v>18.37</v>
      </c>
      <c r="G297" t="s">
        <v>1</v>
      </c>
    </row>
    <row r="298" spans="1:7" x14ac:dyDescent="0.4">
      <c r="A298" s="1">
        <v>43966</v>
      </c>
      <c r="B298">
        <v>1</v>
      </c>
      <c r="C298">
        <v>1.090185</v>
      </c>
      <c r="D298" t="s">
        <v>8</v>
      </c>
      <c r="E298">
        <v>19.02</v>
      </c>
      <c r="G298" t="s">
        <v>1</v>
      </c>
    </row>
    <row r="299" spans="1:7" x14ac:dyDescent="0.4">
      <c r="A299" s="1">
        <v>43969</v>
      </c>
      <c r="B299">
        <v>1</v>
      </c>
      <c r="C299">
        <v>1.090185</v>
      </c>
      <c r="D299" t="s">
        <v>8</v>
      </c>
      <c r="E299">
        <v>19.3</v>
      </c>
      <c r="F299">
        <v>20.83</v>
      </c>
      <c r="G299" t="s">
        <v>1</v>
      </c>
    </row>
    <row r="300" spans="1:7" x14ac:dyDescent="0.4">
      <c r="A300" s="1">
        <v>43970</v>
      </c>
      <c r="B300">
        <v>1</v>
      </c>
      <c r="C300">
        <v>1.090185</v>
      </c>
      <c r="D300" t="s">
        <v>8</v>
      </c>
      <c r="E300">
        <v>20.02</v>
      </c>
      <c r="G300" t="s">
        <v>1</v>
      </c>
    </row>
    <row r="301" spans="1:7" x14ac:dyDescent="0.4">
      <c r="A301" s="1">
        <v>43971</v>
      </c>
      <c r="B301">
        <v>1</v>
      </c>
      <c r="C301">
        <v>1.090185</v>
      </c>
      <c r="D301" t="s">
        <v>8</v>
      </c>
      <c r="E301">
        <v>20.11</v>
      </c>
      <c r="G301" t="s">
        <v>1</v>
      </c>
    </row>
    <row r="302" spans="1:7" x14ac:dyDescent="0.4">
      <c r="A302" s="1">
        <v>43976</v>
      </c>
      <c r="B302">
        <v>1</v>
      </c>
      <c r="C302">
        <v>1.090185</v>
      </c>
      <c r="D302" t="s">
        <v>8</v>
      </c>
      <c r="F302">
        <v>21.44</v>
      </c>
      <c r="G302" t="s">
        <v>1</v>
      </c>
    </row>
    <row r="303" spans="1:7" x14ac:dyDescent="0.4">
      <c r="A303" s="1">
        <v>43977</v>
      </c>
      <c r="B303">
        <v>1</v>
      </c>
      <c r="C303">
        <v>1.090185</v>
      </c>
      <c r="D303" t="s">
        <v>8</v>
      </c>
      <c r="E303">
        <v>21.45</v>
      </c>
      <c r="G303" t="s">
        <v>1</v>
      </c>
    </row>
    <row r="304" spans="1:7" x14ac:dyDescent="0.4">
      <c r="A304" s="1">
        <v>43979</v>
      </c>
      <c r="B304">
        <v>1</v>
      </c>
      <c r="C304">
        <v>1.090185</v>
      </c>
      <c r="D304" t="s">
        <v>8</v>
      </c>
      <c r="E304">
        <v>20.95</v>
      </c>
      <c r="G304" t="s">
        <v>1</v>
      </c>
    </row>
    <row r="305" spans="1:7" x14ac:dyDescent="0.4">
      <c r="A305" s="1">
        <v>43980</v>
      </c>
      <c r="B305">
        <v>1</v>
      </c>
      <c r="C305">
        <v>1.090185</v>
      </c>
      <c r="D305" t="s">
        <v>8</v>
      </c>
      <c r="E305">
        <v>21.7</v>
      </c>
      <c r="G305" t="s">
        <v>1</v>
      </c>
    </row>
    <row r="306" spans="1:7" x14ac:dyDescent="0.4">
      <c r="A306" s="1">
        <v>43983</v>
      </c>
      <c r="B306">
        <v>1</v>
      </c>
      <c r="C306">
        <v>1.125459091</v>
      </c>
      <c r="D306" t="s">
        <v>8</v>
      </c>
      <c r="F306">
        <v>22.11</v>
      </c>
      <c r="G306" t="s">
        <v>1</v>
      </c>
    </row>
    <row r="307" spans="1:7" x14ac:dyDescent="0.4">
      <c r="A307" s="1">
        <v>43984</v>
      </c>
      <c r="B307">
        <v>1</v>
      </c>
      <c r="C307">
        <v>1.125459091</v>
      </c>
      <c r="D307" t="s">
        <v>8</v>
      </c>
      <c r="E307">
        <v>21.15</v>
      </c>
      <c r="G307" t="s">
        <v>1</v>
      </c>
    </row>
    <row r="308" spans="1:7" x14ac:dyDescent="0.4">
      <c r="A308" s="1">
        <v>43985</v>
      </c>
      <c r="B308">
        <v>1</v>
      </c>
      <c r="C308">
        <v>1.125459091</v>
      </c>
      <c r="D308" t="s">
        <v>8</v>
      </c>
      <c r="E308">
        <v>21.98</v>
      </c>
      <c r="G308" t="s">
        <v>1</v>
      </c>
    </row>
    <row r="309" spans="1:7" x14ac:dyDescent="0.4">
      <c r="A309" s="1">
        <v>43986</v>
      </c>
      <c r="B309">
        <v>1</v>
      </c>
      <c r="C309">
        <v>1.125459091</v>
      </c>
      <c r="D309" t="s">
        <v>8</v>
      </c>
      <c r="E309">
        <v>21.77</v>
      </c>
      <c r="G309" t="s">
        <v>1</v>
      </c>
    </row>
    <row r="310" spans="1:7" x14ac:dyDescent="0.4">
      <c r="A310" s="1">
        <v>43987</v>
      </c>
      <c r="B310">
        <v>1</v>
      </c>
      <c r="C310">
        <v>1.125459091</v>
      </c>
      <c r="D310" t="s">
        <v>8</v>
      </c>
      <c r="E310">
        <v>22.5</v>
      </c>
      <c r="G310" t="s">
        <v>1</v>
      </c>
    </row>
    <row r="311" spans="1:7" x14ac:dyDescent="0.4">
      <c r="A311" s="1">
        <v>43990</v>
      </c>
      <c r="B311">
        <v>1</v>
      </c>
      <c r="C311">
        <v>1.125459091</v>
      </c>
      <c r="D311" t="s">
        <v>8</v>
      </c>
      <c r="E311">
        <v>22.66</v>
      </c>
      <c r="F311">
        <v>22.47</v>
      </c>
      <c r="G311" t="s">
        <v>1</v>
      </c>
    </row>
    <row r="312" spans="1:7" x14ac:dyDescent="0.4">
      <c r="A312" s="1">
        <v>43991</v>
      </c>
      <c r="B312">
        <v>1</v>
      </c>
      <c r="C312">
        <v>1.125459091</v>
      </c>
      <c r="D312" t="s">
        <v>8</v>
      </c>
      <c r="E312">
        <v>22.3</v>
      </c>
      <c r="G312" t="s">
        <v>1</v>
      </c>
    </row>
    <row r="313" spans="1:7" x14ac:dyDescent="0.4">
      <c r="A313" s="1">
        <v>43993</v>
      </c>
      <c r="B313">
        <v>1</v>
      </c>
      <c r="C313">
        <v>1.125459091</v>
      </c>
      <c r="D313" t="s">
        <v>8</v>
      </c>
      <c r="E313">
        <v>22.2</v>
      </c>
      <c r="G313" t="s">
        <v>1</v>
      </c>
    </row>
    <row r="314" spans="1:7" x14ac:dyDescent="0.4">
      <c r="A314" s="1">
        <v>43994</v>
      </c>
      <c r="B314">
        <v>1</v>
      </c>
      <c r="C314">
        <v>1.125459091</v>
      </c>
      <c r="D314" t="s">
        <v>8</v>
      </c>
      <c r="E314">
        <v>22.15</v>
      </c>
      <c r="G314" t="s">
        <v>1</v>
      </c>
    </row>
    <row r="315" spans="1:7" x14ac:dyDescent="0.4">
      <c r="A315" s="1">
        <v>43997</v>
      </c>
      <c r="B315">
        <v>1</v>
      </c>
      <c r="C315">
        <v>1.125459091</v>
      </c>
      <c r="D315" t="s">
        <v>8</v>
      </c>
      <c r="E315">
        <v>21.8</v>
      </c>
      <c r="F315">
        <v>23.26</v>
      </c>
      <c r="G315" t="s">
        <v>1</v>
      </c>
    </row>
    <row r="316" spans="1:7" x14ac:dyDescent="0.4">
      <c r="A316" s="1">
        <v>43998</v>
      </c>
      <c r="B316">
        <v>1</v>
      </c>
      <c r="C316">
        <v>1.125459091</v>
      </c>
      <c r="D316" t="s">
        <v>8</v>
      </c>
      <c r="E316">
        <v>22.87</v>
      </c>
      <c r="G316" t="s">
        <v>1</v>
      </c>
    </row>
    <row r="317" spans="1:7" x14ac:dyDescent="0.4">
      <c r="A317" s="1">
        <v>43999</v>
      </c>
      <c r="B317">
        <v>1</v>
      </c>
      <c r="C317">
        <v>1.125459091</v>
      </c>
      <c r="D317" t="s">
        <v>8</v>
      </c>
      <c r="E317">
        <v>22.81</v>
      </c>
      <c r="G317" t="s">
        <v>1</v>
      </c>
    </row>
    <row r="318" spans="1:7" x14ac:dyDescent="0.4">
      <c r="A318" s="1">
        <v>44000</v>
      </c>
      <c r="B318">
        <v>1</v>
      </c>
      <c r="C318">
        <v>1.125459091</v>
      </c>
      <c r="D318" t="s">
        <v>8</v>
      </c>
      <c r="E318">
        <v>23.63</v>
      </c>
      <c r="G318" t="s">
        <v>1</v>
      </c>
    </row>
    <row r="319" spans="1:7" x14ac:dyDescent="0.4">
      <c r="A319" s="1">
        <v>44001</v>
      </c>
      <c r="B319">
        <v>1</v>
      </c>
      <c r="C319">
        <v>1.125459091</v>
      </c>
      <c r="D319" t="s">
        <v>8</v>
      </c>
      <c r="E319">
        <v>24.18</v>
      </c>
      <c r="G319" t="s">
        <v>1</v>
      </c>
    </row>
    <row r="320" spans="1:7" x14ac:dyDescent="0.4">
      <c r="A320" s="1">
        <v>44004</v>
      </c>
      <c r="B320">
        <v>1</v>
      </c>
      <c r="C320">
        <v>1.125459091</v>
      </c>
      <c r="D320" t="s">
        <v>8</v>
      </c>
      <c r="E320">
        <v>24.15</v>
      </c>
      <c r="F320">
        <v>25.05</v>
      </c>
      <c r="G320" t="s">
        <v>1</v>
      </c>
    </row>
    <row r="321" spans="1:7" x14ac:dyDescent="0.4">
      <c r="A321" s="1">
        <v>44005</v>
      </c>
      <c r="B321">
        <v>1</v>
      </c>
      <c r="C321">
        <v>1.125459091</v>
      </c>
      <c r="D321" t="s">
        <v>8</v>
      </c>
      <c r="E321">
        <v>24.85</v>
      </c>
      <c r="G321" t="s">
        <v>1</v>
      </c>
    </row>
    <row r="322" spans="1:7" x14ac:dyDescent="0.4">
      <c r="A322" s="1">
        <v>44007</v>
      </c>
      <c r="B322">
        <v>1</v>
      </c>
      <c r="C322">
        <v>1.125459091</v>
      </c>
      <c r="D322" t="s">
        <v>8</v>
      </c>
      <c r="E322">
        <v>25.15</v>
      </c>
      <c r="G322" t="s">
        <v>1</v>
      </c>
    </row>
    <row r="323" spans="1:7" x14ac:dyDescent="0.4">
      <c r="A323" s="1">
        <v>44008</v>
      </c>
      <c r="B323">
        <v>1</v>
      </c>
      <c r="C323">
        <v>1.125459091</v>
      </c>
      <c r="D323" t="s">
        <v>8</v>
      </c>
      <c r="E323">
        <v>24.9</v>
      </c>
      <c r="G323" t="s">
        <v>1</v>
      </c>
    </row>
    <row r="324" spans="1:7" x14ac:dyDescent="0.4">
      <c r="A324" s="1">
        <v>44011</v>
      </c>
      <c r="B324">
        <v>1</v>
      </c>
      <c r="C324">
        <v>1.125459091</v>
      </c>
      <c r="D324" t="s">
        <v>8</v>
      </c>
      <c r="E324">
        <v>24.74</v>
      </c>
      <c r="F324">
        <v>27.32</v>
      </c>
      <c r="G324" t="s">
        <v>1</v>
      </c>
    </row>
    <row r="325" spans="1:7" x14ac:dyDescent="0.4">
      <c r="A325" s="1">
        <v>44012</v>
      </c>
      <c r="B325">
        <v>1</v>
      </c>
      <c r="C325">
        <v>1.125459091</v>
      </c>
      <c r="D325" t="s">
        <v>8</v>
      </c>
      <c r="E325">
        <v>25.99</v>
      </c>
      <c r="G325" t="s">
        <v>1</v>
      </c>
    </row>
    <row r="326" spans="1:7" x14ac:dyDescent="0.4">
      <c r="A326" s="1">
        <v>44013</v>
      </c>
      <c r="B326">
        <v>1</v>
      </c>
      <c r="C326">
        <v>1.1463391300000001</v>
      </c>
      <c r="D326" t="s">
        <v>8</v>
      </c>
      <c r="E326">
        <v>27.1</v>
      </c>
      <c r="G326" t="s">
        <v>1</v>
      </c>
    </row>
    <row r="327" spans="1:7" x14ac:dyDescent="0.4">
      <c r="A327" s="1">
        <v>44014</v>
      </c>
      <c r="B327">
        <v>1</v>
      </c>
      <c r="C327">
        <v>1.1463391300000001</v>
      </c>
      <c r="D327" t="s">
        <v>8</v>
      </c>
      <c r="E327">
        <v>27.25</v>
      </c>
      <c r="G327" t="s">
        <v>1</v>
      </c>
    </row>
    <row r="328" spans="1:7" x14ac:dyDescent="0.4">
      <c r="A328" s="1">
        <v>44015</v>
      </c>
      <c r="B328">
        <v>1</v>
      </c>
      <c r="C328">
        <v>1.1463391300000001</v>
      </c>
      <c r="D328" t="s">
        <v>8</v>
      </c>
      <c r="E328">
        <v>27</v>
      </c>
      <c r="G328" t="s">
        <v>1</v>
      </c>
    </row>
    <row r="329" spans="1:7" x14ac:dyDescent="0.4">
      <c r="A329" s="1">
        <v>44018</v>
      </c>
      <c r="B329">
        <v>1</v>
      </c>
      <c r="C329">
        <v>1.1463391300000001</v>
      </c>
      <c r="D329" t="s">
        <v>8</v>
      </c>
      <c r="E329">
        <v>28.86</v>
      </c>
      <c r="F329">
        <v>29.21</v>
      </c>
      <c r="G329" t="s">
        <v>1</v>
      </c>
    </row>
    <row r="330" spans="1:7" x14ac:dyDescent="0.4">
      <c r="A330" s="1">
        <v>44019</v>
      </c>
      <c r="B330">
        <v>1</v>
      </c>
      <c r="C330">
        <v>1.1463391300000001</v>
      </c>
      <c r="D330" t="s">
        <v>8</v>
      </c>
      <c r="E330">
        <v>29.34</v>
      </c>
      <c r="G330" t="s">
        <v>1</v>
      </c>
    </row>
    <row r="331" spans="1:7" x14ac:dyDescent="0.4">
      <c r="A331" s="1">
        <v>44021</v>
      </c>
      <c r="B331">
        <v>1</v>
      </c>
      <c r="C331">
        <v>1.1463391300000001</v>
      </c>
      <c r="D331" t="s">
        <v>8</v>
      </c>
      <c r="E331">
        <v>28.48</v>
      </c>
      <c r="G331" t="s">
        <v>1</v>
      </c>
    </row>
    <row r="332" spans="1:7" x14ac:dyDescent="0.4">
      <c r="A332" s="1">
        <v>44022</v>
      </c>
      <c r="B332">
        <v>1</v>
      </c>
      <c r="C332">
        <v>1.1463391300000001</v>
      </c>
      <c r="D332" t="s">
        <v>8</v>
      </c>
      <c r="E332">
        <v>27.66</v>
      </c>
      <c r="G332" t="s">
        <v>1</v>
      </c>
    </row>
    <row r="333" spans="1:7" x14ac:dyDescent="0.4">
      <c r="A333" s="1">
        <v>44025</v>
      </c>
      <c r="B333">
        <v>1</v>
      </c>
      <c r="C333">
        <v>1.1463391300000001</v>
      </c>
      <c r="D333" t="s">
        <v>8</v>
      </c>
      <c r="E333">
        <v>30.04</v>
      </c>
      <c r="F333">
        <v>28.45</v>
      </c>
      <c r="G333" t="s">
        <v>1</v>
      </c>
    </row>
    <row r="334" spans="1:7" x14ac:dyDescent="0.4">
      <c r="A334" s="1">
        <v>44026</v>
      </c>
      <c r="B334">
        <v>1</v>
      </c>
      <c r="C334">
        <v>1.1463391300000001</v>
      </c>
      <c r="D334" t="s">
        <v>8</v>
      </c>
      <c r="E334">
        <v>29.2</v>
      </c>
      <c r="G334" t="s">
        <v>1</v>
      </c>
    </row>
    <row r="335" spans="1:7" x14ac:dyDescent="0.4">
      <c r="A335" s="1">
        <v>44027</v>
      </c>
      <c r="B335">
        <v>1</v>
      </c>
      <c r="C335">
        <v>1.1463391300000001</v>
      </c>
      <c r="D335" t="s">
        <v>8</v>
      </c>
      <c r="E335">
        <v>29.81</v>
      </c>
      <c r="G335" t="s">
        <v>1</v>
      </c>
    </row>
    <row r="336" spans="1:7" x14ac:dyDescent="0.4">
      <c r="A336" s="1">
        <v>44028</v>
      </c>
      <c r="B336">
        <v>1</v>
      </c>
      <c r="C336">
        <v>1.1463391300000001</v>
      </c>
      <c r="D336" t="s">
        <v>8</v>
      </c>
      <c r="E336">
        <v>28.13</v>
      </c>
      <c r="G336" t="s">
        <v>1</v>
      </c>
    </row>
    <row r="337" spans="1:7" x14ac:dyDescent="0.4">
      <c r="A337" s="1">
        <v>44029</v>
      </c>
      <c r="B337">
        <v>1</v>
      </c>
      <c r="C337">
        <v>1.1463391300000001</v>
      </c>
      <c r="D337" t="s">
        <v>8</v>
      </c>
      <c r="E337">
        <v>26.85</v>
      </c>
      <c r="G337" t="s">
        <v>1</v>
      </c>
    </row>
    <row r="338" spans="1:7" x14ac:dyDescent="0.4">
      <c r="A338" s="1">
        <v>44032</v>
      </c>
      <c r="B338">
        <v>1</v>
      </c>
      <c r="C338">
        <v>1.1463391300000001</v>
      </c>
      <c r="D338" t="s">
        <v>8</v>
      </c>
      <c r="E338">
        <v>26.85</v>
      </c>
      <c r="F338">
        <v>26.62</v>
      </c>
      <c r="G338" t="s">
        <v>1</v>
      </c>
    </row>
    <row r="339" spans="1:7" x14ac:dyDescent="0.4">
      <c r="A339" s="1">
        <v>44033</v>
      </c>
      <c r="B339">
        <v>1</v>
      </c>
      <c r="C339">
        <v>1.1463391300000001</v>
      </c>
      <c r="D339" t="s">
        <v>8</v>
      </c>
      <c r="E339">
        <v>26.34</v>
      </c>
      <c r="G339" t="s">
        <v>1</v>
      </c>
    </row>
    <row r="340" spans="1:7" x14ac:dyDescent="0.4">
      <c r="A340" s="1">
        <v>44035</v>
      </c>
      <c r="B340">
        <v>1</v>
      </c>
      <c r="C340">
        <v>1.1463391300000001</v>
      </c>
      <c r="D340" t="s">
        <v>8</v>
      </c>
      <c r="E340">
        <v>26.76</v>
      </c>
      <c r="G340" t="s">
        <v>1</v>
      </c>
    </row>
    <row r="341" spans="1:7" x14ac:dyDescent="0.4">
      <c r="A341" s="1">
        <v>44036</v>
      </c>
      <c r="B341">
        <v>1</v>
      </c>
      <c r="C341">
        <v>1.1463391300000001</v>
      </c>
      <c r="D341" t="s">
        <v>8</v>
      </c>
      <c r="E341">
        <v>26.57</v>
      </c>
      <c r="G341" t="s">
        <v>1</v>
      </c>
    </row>
    <row r="342" spans="1:7" x14ac:dyDescent="0.4">
      <c r="A342" s="1">
        <v>44039</v>
      </c>
      <c r="B342">
        <v>1</v>
      </c>
      <c r="C342">
        <v>1.1463391300000001</v>
      </c>
      <c r="D342" t="s">
        <v>8</v>
      </c>
      <c r="E342">
        <v>25.53</v>
      </c>
      <c r="F342">
        <v>25.75</v>
      </c>
      <c r="G342" t="s">
        <v>1</v>
      </c>
    </row>
    <row r="343" spans="1:7" x14ac:dyDescent="0.4">
      <c r="A343" s="1">
        <v>44040</v>
      </c>
      <c r="B343">
        <v>1</v>
      </c>
      <c r="C343">
        <v>1.1463391300000001</v>
      </c>
      <c r="D343" t="s">
        <v>8</v>
      </c>
      <c r="E343">
        <v>25.03</v>
      </c>
      <c r="G343" t="s">
        <v>1</v>
      </c>
    </row>
    <row r="344" spans="1:7" x14ac:dyDescent="0.4">
      <c r="A344" s="1">
        <v>44041</v>
      </c>
      <c r="B344">
        <v>1</v>
      </c>
      <c r="C344">
        <v>1.1463391300000001</v>
      </c>
      <c r="D344" t="s">
        <v>8</v>
      </c>
      <c r="E344">
        <v>25.96</v>
      </c>
      <c r="G344" t="s">
        <v>1</v>
      </c>
    </row>
    <row r="345" spans="1:7" x14ac:dyDescent="0.4">
      <c r="A345" s="1">
        <v>44042</v>
      </c>
      <c r="B345">
        <v>1</v>
      </c>
      <c r="C345">
        <v>1.1463391300000001</v>
      </c>
      <c r="D345" t="s">
        <v>8</v>
      </c>
      <c r="E345">
        <v>25.34</v>
      </c>
      <c r="G345" t="s">
        <v>1</v>
      </c>
    </row>
    <row r="346" spans="1:7" x14ac:dyDescent="0.4">
      <c r="A346" s="1">
        <v>44043</v>
      </c>
      <c r="B346">
        <v>1</v>
      </c>
      <c r="C346">
        <v>1.1463391300000001</v>
      </c>
      <c r="D346" t="s">
        <v>8</v>
      </c>
      <c r="E346">
        <v>26.3</v>
      </c>
      <c r="G346" t="s">
        <v>1</v>
      </c>
    </row>
    <row r="347" spans="1:7" x14ac:dyDescent="0.4">
      <c r="A347" s="1">
        <v>44046</v>
      </c>
      <c r="B347">
        <v>1</v>
      </c>
      <c r="C347">
        <v>1.1828095240000001</v>
      </c>
      <c r="D347" t="s">
        <v>8</v>
      </c>
      <c r="E347">
        <v>25.81</v>
      </c>
      <c r="F347">
        <v>26.51</v>
      </c>
      <c r="G347" t="s">
        <v>1</v>
      </c>
    </row>
    <row r="348" spans="1:7" x14ac:dyDescent="0.4">
      <c r="A348" s="1">
        <v>44047</v>
      </c>
      <c r="B348">
        <v>1</v>
      </c>
      <c r="C348">
        <v>1.1828095240000001</v>
      </c>
      <c r="D348" t="s">
        <v>8</v>
      </c>
      <c r="E348">
        <v>25.95</v>
      </c>
      <c r="G348" t="s">
        <v>1</v>
      </c>
    </row>
    <row r="349" spans="1:7" x14ac:dyDescent="0.4">
      <c r="A349" s="1">
        <v>44049</v>
      </c>
      <c r="B349">
        <v>1</v>
      </c>
      <c r="C349">
        <v>1.1828095240000001</v>
      </c>
      <c r="D349" t="s">
        <v>8</v>
      </c>
      <c r="E349">
        <v>26.95</v>
      </c>
      <c r="G349" t="s">
        <v>1</v>
      </c>
    </row>
    <row r="350" spans="1:7" x14ac:dyDescent="0.4">
      <c r="A350" s="1">
        <v>44050</v>
      </c>
      <c r="B350">
        <v>1</v>
      </c>
      <c r="C350">
        <v>1.1828095240000001</v>
      </c>
      <c r="D350" t="s">
        <v>8</v>
      </c>
      <c r="E350">
        <v>26.16</v>
      </c>
      <c r="G350" t="s">
        <v>1</v>
      </c>
    </row>
    <row r="351" spans="1:7" x14ac:dyDescent="0.4">
      <c r="A351" s="1">
        <v>44053</v>
      </c>
      <c r="B351">
        <v>1</v>
      </c>
      <c r="C351">
        <v>1.1828095240000001</v>
      </c>
      <c r="D351" t="s">
        <v>8</v>
      </c>
      <c r="E351">
        <v>26.92</v>
      </c>
      <c r="F351">
        <v>25.96</v>
      </c>
      <c r="G351" t="s">
        <v>1</v>
      </c>
    </row>
    <row r="352" spans="1:7" x14ac:dyDescent="0.4">
      <c r="A352" s="1">
        <v>44054</v>
      </c>
      <c r="B352">
        <v>1</v>
      </c>
      <c r="C352">
        <v>1.1828095240000001</v>
      </c>
      <c r="D352" t="s">
        <v>8</v>
      </c>
      <c r="E352">
        <v>26.71</v>
      </c>
      <c r="G352" t="s">
        <v>1</v>
      </c>
    </row>
    <row r="353" spans="1:7" x14ac:dyDescent="0.4">
      <c r="A353" s="1">
        <v>44055</v>
      </c>
      <c r="B353">
        <v>1</v>
      </c>
      <c r="C353">
        <v>1.1828095240000001</v>
      </c>
      <c r="D353" t="s">
        <v>8</v>
      </c>
      <c r="E353">
        <v>25.55</v>
      </c>
      <c r="G353" t="s">
        <v>1</v>
      </c>
    </row>
    <row r="354" spans="1:7" x14ac:dyDescent="0.4">
      <c r="A354" s="1">
        <v>44056</v>
      </c>
      <c r="B354">
        <v>1</v>
      </c>
      <c r="C354">
        <v>1.1828095240000001</v>
      </c>
      <c r="D354" t="s">
        <v>8</v>
      </c>
      <c r="E354">
        <v>25.94</v>
      </c>
      <c r="G354" t="s">
        <v>1</v>
      </c>
    </row>
    <row r="355" spans="1:7" x14ac:dyDescent="0.4">
      <c r="A355" s="1">
        <v>44057</v>
      </c>
      <c r="B355">
        <v>1</v>
      </c>
      <c r="C355">
        <v>1.1828095240000001</v>
      </c>
      <c r="D355" t="s">
        <v>8</v>
      </c>
      <c r="E355">
        <v>25.25</v>
      </c>
      <c r="G355" t="s">
        <v>1</v>
      </c>
    </row>
    <row r="356" spans="1:7" x14ac:dyDescent="0.4">
      <c r="A356" s="1">
        <v>44060</v>
      </c>
      <c r="B356">
        <v>1</v>
      </c>
      <c r="C356">
        <v>1.1828095240000001</v>
      </c>
      <c r="D356" t="s">
        <v>8</v>
      </c>
      <c r="E356">
        <v>25.42</v>
      </c>
      <c r="F356">
        <v>26.13</v>
      </c>
      <c r="G356" t="s">
        <v>1</v>
      </c>
    </row>
    <row r="357" spans="1:7" x14ac:dyDescent="0.4">
      <c r="A357" s="1">
        <v>44061</v>
      </c>
      <c r="B357">
        <v>1</v>
      </c>
      <c r="C357">
        <v>1.1828095240000001</v>
      </c>
      <c r="D357" t="s">
        <v>8</v>
      </c>
      <c r="E357">
        <v>26.05</v>
      </c>
      <c r="G357" t="s">
        <v>1</v>
      </c>
    </row>
    <row r="358" spans="1:7" x14ac:dyDescent="0.4">
      <c r="A358" s="1">
        <v>44063</v>
      </c>
      <c r="B358">
        <v>1</v>
      </c>
      <c r="C358">
        <v>1.1828095240000001</v>
      </c>
      <c r="D358" t="s">
        <v>8</v>
      </c>
      <c r="E358">
        <v>25.7</v>
      </c>
      <c r="G358" t="s">
        <v>1</v>
      </c>
    </row>
    <row r="359" spans="1:7" x14ac:dyDescent="0.4">
      <c r="A359" s="1">
        <v>44064</v>
      </c>
      <c r="B359">
        <v>1</v>
      </c>
      <c r="C359">
        <v>1.1828095240000001</v>
      </c>
      <c r="D359" t="s">
        <v>8</v>
      </c>
      <c r="E359">
        <v>25.36</v>
      </c>
      <c r="G359" t="s">
        <v>1</v>
      </c>
    </row>
    <row r="360" spans="1:7" x14ac:dyDescent="0.4">
      <c r="A360" s="1">
        <v>44067</v>
      </c>
      <c r="B360">
        <v>1</v>
      </c>
      <c r="C360">
        <v>1.1828095240000001</v>
      </c>
      <c r="D360" t="s">
        <v>8</v>
      </c>
      <c r="E360">
        <v>26.6</v>
      </c>
      <c r="F360">
        <v>28.52</v>
      </c>
      <c r="G360" t="s">
        <v>1</v>
      </c>
    </row>
    <row r="361" spans="1:7" x14ac:dyDescent="0.4">
      <c r="A361" s="1">
        <v>44068</v>
      </c>
      <c r="B361">
        <v>1</v>
      </c>
      <c r="C361">
        <v>1.1828095240000001</v>
      </c>
      <c r="D361" t="s">
        <v>8</v>
      </c>
      <c r="E361">
        <v>27.33</v>
      </c>
      <c r="G361" t="s">
        <v>1</v>
      </c>
    </row>
    <row r="362" spans="1:7" x14ac:dyDescent="0.4">
      <c r="A362" s="1">
        <v>44069</v>
      </c>
      <c r="B362">
        <v>1</v>
      </c>
      <c r="C362">
        <v>1.1828095240000001</v>
      </c>
      <c r="D362" t="s">
        <v>8</v>
      </c>
      <c r="E362">
        <v>28.42</v>
      </c>
      <c r="G362" t="s">
        <v>1</v>
      </c>
    </row>
    <row r="363" spans="1:7" x14ac:dyDescent="0.4">
      <c r="A363" s="1">
        <v>44070</v>
      </c>
      <c r="B363">
        <v>1</v>
      </c>
      <c r="C363">
        <v>1.1828095240000001</v>
      </c>
      <c r="D363" t="s">
        <v>8</v>
      </c>
      <c r="E363">
        <v>28.03</v>
      </c>
      <c r="G363" t="s">
        <v>1</v>
      </c>
    </row>
    <row r="364" spans="1:7" x14ac:dyDescent="0.4">
      <c r="A364" s="1">
        <v>44071</v>
      </c>
      <c r="B364">
        <v>1</v>
      </c>
      <c r="C364">
        <v>1.1828095240000001</v>
      </c>
      <c r="D364" t="s">
        <v>8</v>
      </c>
      <c r="E364">
        <v>29.5</v>
      </c>
      <c r="G364" t="s">
        <v>1</v>
      </c>
    </row>
    <row r="365" spans="1:7" x14ac:dyDescent="0.4">
      <c r="A365" s="1">
        <v>44074</v>
      </c>
      <c r="B365">
        <v>1</v>
      </c>
      <c r="C365">
        <v>1.1828095240000001</v>
      </c>
      <c r="D365" t="s">
        <v>8</v>
      </c>
      <c r="F365">
        <v>28.15</v>
      </c>
      <c r="G365" t="s">
        <v>1</v>
      </c>
    </row>
    <row r="366" spans="1:7" x14ac:dyDescent="0.4">
      <c r="A366" s="1">
        <v>44075</v>
      </c>
      <c r="B366">
        <v>1</v>
      </c>
      <c r="C366">
        <v>1.179240909</v>
      </c>
      <c r="D366" t="s">
        <v>8</v>
      </c>
      <c r="E366">
        <v>28.28</v>
      </c>
      <c r="G366" t="s">
        <v>1</v>
      </c>
    </row>
    <row r="367" spans="1:7" x14ac:dyDescent="0.4">
      <c r="A367" s="1">
        <v>44078</v>
      </c>
      <c r="B367">
        <v>1</v>
      </c>
      <c r="C367">
        <v>1.179240909</v>
      </c>
      <c r="D367" t="s">
        <v>8</v>
      </c>
      <c r="E367">
        <v>28.8</v>
      </c>
      <c r="G367" t="s">
        <v>1</v>
      </c>
    </row>
    <row r="368" spans="1:7" x14ac:dyDescent="0.4">
      <c r="A368" s="1">
        <v>44081</v>
      </c>
      <c r="B368">
        <v>1</v>
      </c>
      <c r="C368">
        <v>1.179240909</v>
      </c>
      <c r="D368" t="s">
        <v>8</v>
      </c>
      <c r="E368">
        <v>26.9</v>
      </c>
      <c r="F368">
        <v>27.54</v>
      </c>
      <c r="G368" t="s">
        <v>1</v>
      </c>
    </row>
    <row r="369" spans="1:7" x14ac:dyDescent="0.4">
      <c r="A369" s="1">
        <v>44082</v>
      </c>
      <c r="B369">
        <v>1</v>
      </c>
      <c r="C369">
        <v>1.179240909</v>
      </c>
      <c r="D369" t="s">
        <v>8</v>
      </c>
      <c r="E369">
        <v>27.25</v>
      </c>
      <c r="G369" t="s">
        <v>1</v>
      </c>
    </row>
    <row r="370" spans="1:7" x14ac:dyDescent="0.4">
      <c r="A370" s="1">
        <v>44083</v>
      </c>
      <c r="B370">
        <v>1</v>
      </c>
      <c r="C370">
        <v>1.179240909</v>
      </c>
      <c r="D370" t="s">
        <v>8</v>
      </c>
      <c r="E370">
        <v>26.02</v>
      </c>
      <c r="G370" t="s">
        <v>1</v>
      </c>
    </row>
    <row r="371" spans="1:7" x14ac:dyDescent="0.4">
      <c r="A371" s="1">
        <v>44084</v>
      </c>
      <c r="B371">
        <v>1</v>
      </c>
      <c r="C371">
        <v>1.179240909</v>
      </c>
      <c r="D371" t="s">
        <v>8</v>
      </c>
      <c r="E371">
        <v>27.46</v>
      </c>
      <c r="G371" t="s">
        <v>1</v>
      </c>
    </row>
    <row r="372" spans="1:7" x14ac:dyDescent="0.4">
      <c r="A372" s="1">
        <v>44085</v>
      </c>
      <c r="B372">
        <v>1</v>
      </c>
      <c r="C372">
        <v>1.179240909</v>
      </c>
      <c r="D372" t="s">
        <v>8</v>
      </c>
      <c r="E372">
        <v>28.05</v>
      </c>
      <c r="G372" t="s">
        <v>1</v>
      </c>
    </row>
    <row r="373" spans="1:7" x14ac:dyDescent="0.4">
      <c r="A373" s="1">
        <v>44088</v>
      </c>
      <c r="B373">
        <v>1</v>
      </c>
      <c r="C373">
        <v>1.179240909</v>
      </c>
      <c r="D373" t="s">
        <v>8</v>
      </c>
      <c r="E373">
        <v>28.66</v>
      </c>
      <c r="F373">
        <v>29.33</v>
      </c>
      <c r="G373" t="s">
        <v>1</v>
      </c>
    </row>
    <row r="374" spans="1:7" x14ac:dyDescent="0.4">
      <c r="A374" s="1">
        <v>44089</v>
      </c>
      <c r="B374">
        <v>1</v>
      </c>
      <c r="C374">
        <v>1.179240909</v>
      </c>
      <c r="D374" t="s">
        <v>8</v>
      </c>
      <c r="E374">
        <v>29.99</v>
      </c>
      <c r="G374" t="s">
        <v>1</v>
      </c>
    </row>
    <row r="375" spans="1:7" x14ac:dyDescent="0.4">
      <c r="A375" s="1">
        <v>44091</v>
      </c>
      <c r="B375">
        <v>1</v>
      </c>
      <c r="C375">
        <v>1.179240909</v>
      </c>
      <c r="D375" t="s">
        <v>8</v>
      </c>
      <c r="E375">
        <v>29.1</v>
      </c>
      <c r="G375" t="s">
        <v>1</v>
      </c>
    </row>
    <row r="376" spans="1:7" x14ac:dyDescent="0.4">
      <c r="A376" s="1">
        <v>44092</v>
      </c>
      <c r="B376">
        <v>1</v>
      </c>
      <c r="C376">
        <v>1.179240909</v>
      </c>
      <c r="D376" t="s">
        <v>8</v>
      </c>
      <c r="E376">
        <v>28.36</v>
      </c>
      <c r="G376" t="s">
        <v>1</v>
      </c>
    </row>
    <row r="377" spans="1:7" x14ac:dyDescent="0.4">
      <c r="A377" s="1">
        <v>44095</v>
      </c>
      <c r="B377">
        <v>1</v>
      </c>
      <c r="C377">
        <v>1.179240909</v>
      </c>
      <c r="D377" t="s">
        <v>8</v>
      </c>
      <c r="E377">
        <v>27.12</v>
      </c>
      <c r="F377">
        <v>26.74</v>
      </c>
      <c r="G377" t="s">
        <v>1</v>
      </c>
    </row>
    <row r="378" spans="1:7" x14ac:dyDescent="0.4">
      <c r="A378" s="1">
        <v>44096</v>
      </c>
      <c r="B378">
        <v>1</v>
      </c>
      <c r="C378">
        <v>1.179240909</v>
      </c>
      <c r="D378" t="s">
        <v>8</v>
      </c>
      <c r="E378">
        <v>26.75</v>
      </c>
      <c r="G378" t="s">
        <v>1</v>
      </c>
    </row>
    <row r="379" spans="1:7" x14ac:dyDescent="0.4">
      <c r="A379" s="1">
        <v>44097</v>
      </c>
      <c r="B379">
        <v>1</v>
      </c>
      <c r="C379">
        <v>1.179240909</v>
      </c>
      <c r="D379" t="s">
        <v>8</v>
      </c>
      <c r="E379">
        <v>27.31</v>
      </c>
      <c r="G379" t="s">
        <v>1</v>
      </c>
    </row>
    <row r="380" spans="1:7" x14ac:dyDescent="0.4">
      <c r="A380" s="1">
        <v>44098</v>
      </c>
      <c r="B380">
        <v>1</v>
      </c>
      <c r="C380">
        <v>1.179240909</v>
      </c>
      <c r="D380" t="s">
        <v>8</v>
      </c>
      <c r="E380">
        <v>26.28</v>
      </c>
      <c r="G380" t="s">
        <v>1</v>
      </c>
    </row>
    <row r="381" spans="1:7" x14ac:dyDescent="0.4">
      <c r="A381" s="1">
        <v>44099</v>
      </c>
      <c r="B381">
        <v>1</v>
      </c>
      <c r="C381">
        <v>1.179240909</v>
      </c>
      <c r="D381" t="s">
        <v>8</v>
      </c>
      <c r="E381">
        <v>26.2</v>
      </c>
      <c r="G381" t="s">
        <v>1</v>
      </c>
    </row>
    <row r="382" spans="1:7" x14ac:dyDescent="0.4">
      <c r="A382" s="1">
        <v>44102</v>
      </c>
      <c r="B382">
        <v>1</v>
      </c>
      <c r="C382">
        <v>1.179240909</v>
      </c>
      <c r="D382" t="s">
        <v>8</v>
      </c>
      <c r="E382">
        <v>26.28</v>
      </c>
      <c r="F382">
        <v>26.99</v>
      </c>
      <c r="G382" t="s">
        <v>1</v>
      </c>
    </row>
    <row r="383" spans="1:7" x14ac:dyDescent="0.4">
      <c r="A383" s="1">
        <v>44103</v>
      </c>
      <c r="B383">
        <v>1</v>
      </c>
      <c r="C383">
        <v>1.179240909</v>
      </c>
      <c r="D383" t="s">
        <v>8</v>
      </c>
      <c r="E383">
        <v>27.09</v>
      </c>
      <c r="G383" t="s">
        <v>1</v>
      </c>
    </row>
    <row r="384" spans="1:7" x14ac:dyDescent="0.4">
      <c r="A384" s="1">
        <v>44105</v>
      </c>
      <c r="B384">
        <v>1</v>
      </c>
      <c r="C384">
        <v>1.177518182</v>
      </c>
      <c r="D384" t="s">
        <v>8</v>
      </c>
      <c r="E384">
        <v>26.41</v>
      </c>
      <c r="G384" t="s">
        <v>1</v>
      </c>
    </row>
    <row r="385" spans="1:7" x14ac:dyDescent="0.4">
      <c r="A385" s="1">
        <v>44106</v>
      </c>
      <c r="B385">
        <v>1</v>
      </c>
      <c r="C385">
        <v>1.177518182</v>
      </c>
      <c r="D385" t="s">
        <v>8</v>
      </c>
      <c r="E385">
        <v>26.11</v>
      </c>
      <c r="G385" t="s">
        <v>1</v>
      </c>
    </row>
    <row r="386" spans="1:7" x14ac:dyDescent="0.4">
      <c r="A386" s="1">
        <v>44109</v>
      </c>
      <c r="B386">
        <v>1</v>
      </c>
      <c r="C386">
        <v>1.177518182</v>
      </c>
      <c r="D386" t="s">
        <v>8</v>
      </c>
      <c r="E386">
        <v>26.79</v>
      </c>
      <c r="F386">
        <v>26.54</v>
      </c>
      <c r="G386" t="s">
        <v>1</v>
      </c>
    </row>
    <row r="387" spans="1:7" x14ac:dyDescent="0.4">
      <c r="A387" s="1">
        <v>44110</v>
      </c>
      <c r="B387">
        <v>1</v>
      </c>
      <c r="C387">
        <v>1.177518182</v>
      </c>
      <c r="D387" t="s">
        <v>8</v>
      </c>
      <c r="E387">
        <v>26.68</v>
      </c>
      <c r="G387" t="s">
        <v>1</v>
      </c>
    </row>
    <row r="388" spans="1:7" x14ac:dyDescent="0.4">
      <c r="A388" s="1">
        <v>44111</v>
      </c>
      <c r="B388">
        <v>1</v>
      </c>
      <c r="C388">
        <v>1.177518182</v>
      </c>
      <c r="D388" t="s">
        <v>8</v>
      </c>
      <c r="E388">
        <v>26.76</v>
      </c>
      <c r="G388" t="s">
        <v>1</v>
      </c>
    </row>
    <row r="389" spans="1:7" x14ac:dyDescent="0.4">
      <c r="A389" s="1">
        <v>44112</v>
      </c>
      <c r="B389">
        <v>1</v>
      </c>
      <c r="C389">
        <v>1.177518182</v>
      </c>
      <c r="D389" t="s">
        <v>8</v>
      </c>
      <c r="E389">
        <v>26.4</v>
      </c>
      <c r="G389" t="s">
        <v>1</v>
      </c>
    </row>
    <row r="390" spans="1:7" x14ac:dyDescent="0.4">
      <c r="A390" s="1">
        <v>44113</v>
      </c>
      <c r="B390">
        <v>1</v>
      </c>
      <c r="C390">
        <v>1.177518182</v>
      </c>
      <c r="D390" t="s">
        <v>8</v>
      </c>
      <c r="E390">
        <v>26</v>
      </c>
      <c r="G390" t="s">
        <v>1</v>
      </c>
    </row>
    <row r="391" spans="1:7" x14ac:dyDescent="0.4">
      <c r="A391" s="1">
        <v>44116</v>
      </c>
      <c r="B391">
        <v>1</v>
      </c>
      <c r="C391">
        <v>1.177518182</v>
      </c>
      <c r="D391" t="s">
        <v>8</v>
      </c>
      <c r="E391">
        <v>25.54</v>
      </c>
      <c r="F391">
        <v>25.34</v>
      </c>
      <c r="G391" t="s">
        <v>1</v>
      </c>
    </row>
    <row r="392" spans="1:7" x14ac:dyDescent="0.4">
      <c r="A392" s="1">
        <v>44117</v>
      </c>
      <c r="B392">
        <v>1</v>
      </c>
      <c r="C392">
        <v>1.177518182</v>
      </c>
      <c r="D392" t="s">
        <v>8</v>
      </c>
      <c r="E392">
        <v>25.3</v>
      </c>
      <c r="G392" t="s">
        <v>1</v>
      </c>
    </row>
    <row r="393" spans="1:7" x14ac:dyDescent="0.4">
      <c r="A393" s="1">
        <v>44119</v>
      </c>
      <c r="B393">
        <v>1</v>
      </c>
      <c r="C393">
        <v>1.177518182</v>
      </c>
      <c r="D393" t="s">
        <v>8</v>
      </c>
      <c r="E393">
        <v>25.15</v>
      </c>
      <c r="G393" t="s">
        <v>1</v>
      </c>
    </row>
    <row r="394" spans="1:7" x14ac:dyDescent="0.4">
      <c r="A394" s="1">
        <v>44120</v>
      </c>
      <c r="B394">
        <v>1</v>
      </c>
      <c r="C394">
        <v>1.177518182</v>
      </c>
      <c r="D394" t="s">
        <v>8</v>
      </c>
      <c r="E394">
        <v>25.46</v>
      </c>
      <c r="G394" t="s">
        <v>1</v>
      </c>
    </row>
    <row r="395" spans="1:7" x14ac:dyDescent="0.4">
      <c r="A395" s="1">
        <v>44123</v>
      </c>
      <c r="B395">
        <v>1</v>
      </c>
      <c r="C395">
        <v>1.177518182</v>
      </c>
      <c r="D395" t="s">
        <v>8</v>
      </c>
      <c r="E395">
        <v>24.85</v>
      </c>
      <c r="F395">
        <v>24.52</v>
      </c>
      <c r="G395" t="s">
        <v>1</v>
      </c>
    </row>
    <row r="396" spans="1:7" x14ac:dyDescent="0.4">
      <c r="A396" s="1">
        <v>44124</v>
      </c>
      <c r="B396">
        <v>1</v>
      </c>
      <c r="C396">
        <v>1.177518182</v>
      </c>
      <c r="D396" t="s">
        <v>8</v>
      </c>
      <c r="E396">
        <v>24.44</v>
      </c>
      <c r="G396" t="s">
        <v>1</v>
      </c>
    </row>
    <row r="397" spans="1:7" x14ac:dyDescent="0.4">
      <c r="A397" s="1">
        <v>44125</v>
      </c>
      <c r="B397">
        <v>1</v>
      </c>
      <c r="C397">
        <v>1.177518182</v>
      </c>
      <c r="D397" t="s">
        <v>8</v>
      </c>
      <c r="E397">
        <v>23.96</v>
      </c>
      <c r="G397" t="s">
        <v>1</v>
      </c>
    </row>
    <row r="398" spans="1:7" x14ac:dyDescent="0.4">
      <c r="A398" s="1">
        <v>44126</v>
      </c>
      <c r="B398">
        <v>1</v>
      </c>
      <c r="C398">
        <v>1.177518182</v>
      </c>
      <c r="D398" t="s">
        <v>8</v>
      </c>
      <c r="E398">
        <v>23.6</v>
      </c>
      <c r="G398" t="s">
        <v>1</v>
      </c>
    </row>
    <row r="399" spans="1:7" x14ac:dyDescent="0.4">
      <c r="A399" s="1">
        <v>44127</v>
      </c>
      <c r="B399">
        <v>1</v>
      </c>
      <c r="C399">
        <v>1.177518182</v>
      </c>
      <c r="D399" t="s">
        <v>8</v>
      </c>
      <c r="E399">
        <v>24.92</v>
      </c>
      <c r="G399" t="s">
        <v>1</v>
      </c>
    </row>
    <row r="400" spans="1:7" x14ac:dyDescent="0.4">
      <c r="A400" s="1">
        <v>44130</v>
      </c>
      <c r="B400">
        <v>1</v>
      </c>
      <c r="C400">
        <v>1.177518182</v>
      </c>
      <c r="D400" t="s">
        <v>8</v>
      </c>
      <c r="E400">
        <v>24.33</v>
      </c>
      <c r="F400">
        <v>23.67</v>
      </c>
      <c r="G400" t="s">
        <v>1</v>
      </c>
    </row>
    <row r="401" spans="1:7" x14ac:dyDescent="0.4">
      <c r="A401" s="1">
        <v>44131</v>
      </c>
      <c r="B401">
        <v>1</v>
      </c>
      <c r="C401">
        <v>1.177518182</v>
      </c>
      <c r="D401" t="s">
        <v>8</v>
      </c>
      <c r="E401">
        <v>23.55</v>
      </c>
      <c r="G401" t="s">
        <v>1</v>
      </c>
    </row>
    <row r="402" spans="1:7" x14ac:dyDescent="0.4">
      <c r="A402" s="1">
        <v>44133</v>
      </c>
      <c r="B402">
        <v>1</v>
      </c>
      <c r="C402">
        <v>1.177518182</v>
      </c>
      <c r="D402" t="s">
        <v>8</v>
      </c>
      <c r="E402">
        <v>23.07</v>
      </c>
      <c r="G402" t="s">
        <v>1</v>
      </c>
    </row>
    <row r="403" spans="1:7" x14ac:dyDescent="0.4">
      <c r="A403" s="1">
        <v>44134</v>
      </c>
      <c r="B403">
        <v>1</v>
      </c>
      <c r="C403">
        <v>1.177518182</v>
      </c>
      <c r="D403" t="s">
        <v>8</v>
      </c>
      <c r="E403">
        <v>23.45</v>
      </c>
      <c r="G403" t="s">
        <v>1</v>
      </c>
    </row>
    <row r="404" spans="1:7" x14ac:dyDescent="0.4">
      <c r="A404" s="1">
        <v>44137</v>
      </c>
      <c r="B404">
        <v>1</v>
      </c>
      <c r="C404">
        <v>1.183790476</v>
      </c>
      <c r="D404" t="s">
        <v>8</v>
      </c>
      <c r="E404">
        <v>23.02</v>
      </c>
      <c r="F404">
        <v>24.91</v>
      </c>
      <c r="G404" t="s">
        <v>1</v>
      </c>
    </row>
    <row r="405" spans="1:7" x14ac:dyDescent="0.4">
      <c r="A405" s="1">
        <v>44138</v>
      </c>
      <c r="B405">
        <v>1</v>
      </c>
      <c r="C405">
        <v>1.183790476</v>
      </c>
      <c r="D405" t="s">
        <v>8</v>
      </c>
      <c r="E405">
        <v>24.4</v>
      </c>
      <c r="G405" t="s">
        <v>1</v>
      </c>
    </row>
    <row r="406" spans="1:7" x14ac:dyDescent="0.4">
      <c r="A406" s="1">
        <v>44139</v>
      </c>
      <c r="B406">
        <v>1</v>
      </c>
      <c r="C406">
        <v>1.183790476</v>
      </c>
      <c r="D406" t="s">
        <v>8</v>
      </c>
      <c r="E406">
        <v>23.83</v>
      </c>
      <c r="G406" t="s">
        <v>1</v>
      </c>
    </row>
    <row r="407" spans="1:7" x14ac:dyDescent="0.4">
      <c r="A407" s="1">
        <v>44140</v>
      </c>
      <c r="B407">
        <v>1</v>
      </c>
      <c r="C407">
        <v>1.183790476</v>
      </c>
      <c r="D407" t="s">
        <v>8</v>
      </c>
      <c r="E407">
        <v>25.55</v>
      </c>
      <c r="G407" t="s">
        <v>1</v>
      </c>
    </row>
    <row r="408" spans="1:7" x14ac:dyDescent="0.4">
      <c r="A408" s="1">
        <v>44141</v>
      </c>
      <c r="B408">
        <v>1</v>
      </c>
      <c r="C408">
        <v>1.183790476</v>
      </c>
      <c r="D408" t="s">
        <v>8</v>
      </c>
      <c r="E408">
        <v>25.2</v>
      </c>
      <c r="G408" t="s">
        <v>1</v>
      </c>
    </row>
    <row r="409" spans="1:7" x14ac:dyDescent="0.4">
      <c r="A409" s="1">
        <v>44144</v>
      </c>
      <c r="B409">
        <v>1</v>
      </c>
      <c r="C409">
        <v>1.183790476</v>
      </c>
      <c r="D409" t="s">
        <v>8</v>
      </c>
      <c r="E409">
        <v>25.41</v>
      </c>
      <c r="F409">
        <v>26.22</v>
      </c>
      <c r="G409" t="s">
        <v>1</v>
      </c>
    </row>
    <row r="410" spans="1:7" x14ac:dyDescent="0.4">
      <c r="A410" s="1">
        <v>44145</v>
      </c>
      <c r="B410">
        <v>1</v>
      </c>
      <c r="C410">
        <v>1.183790476</v>
      </c>
      <c r="D410" t="s">
        <v>8</v>
      </c>
      <c r="E410">
        <v>26.47</v>
      </c>
      <c r="G410" t="s">
        <v>1</v>
      </c>
    </row>
    <row r="411" spans="1:7" x14ac:dyDescent="0.4">
      <c r="A411" s="1">
        <v>44147</v>
      </c>
      <c r="B411">
        <v>1</v>
      </c>
      <c r="C411">
        <v>1.183790476</v>
      </c>
      <c r="D411" t="s">
        <v>8</v>
      </c>
      <c r="E411">
        <v>25.9</v>
      </c>
      <c r="G411" t="s">
        <v>1</v>
      </c>
    </row>
    <row r="412" spans="1:7" x14ac:dyDescent="0.4">
      <c r="A412" s="1">
        <v>44148</v>
      </c>
      <c r="B412">
        <v>1</v>
      </c>
      <c r="C412">
        <v>1.183790476</v>
      </c>
      <c r="D412" t="s">
        <v>8</v>
      </c>
      <c r="E412">
        <v>26.31</v>
      </c>
      <c r="G412" t="s">
        <v>1</v>
      </c>
    </row>
    <row r="413" spans="1:7" x14ac:dyDescent="0.4">
      <c r="A413" s="1">
        <v>44151</v>
      </c>
      <c r="B413">
        <v>1</v>
      </c>
      <c r="C413">
        <v>1.183790476</v>
      </c>
      <c r="D413" t="s">
        <v>8</v>
      </c>
      <c r="E413">
        <v>26.67</v>
      </c>
      <c r="F413">
        <v>26.86</v>
      </c>
      <c r="G413" t="s">
        <v>1</v>
      </c>
    </row>
    <row r="414" spans="1:7" x14ac:dyDescent="0.4">
      <c r="A414" s="1">
        <v>44152</v>
      </c>
      <c r="B414">
        <v>1</v>
      </c>
      <c r="C414">
        <v>1.183790476</v>
      </c>
      <c r="D414" t="s">
        <v>8</v>
      </c>
      <c r="E414">
        <v>27.12</v>
      </c>
      <c r="G414" t="s">
        <v>1</v>
      </c>
    </row>
    <row r="415" spans="1:7" x14ac:dyDescent="0.4">
      <c r="A415" s="1">
        <v>44153</v>
      </c>
      <c r="B415">
        <v>1</v>
      </c>
      <c r="C415">
        <v>1.183790476</v>
      </c>
      <c r="D415" t="s">
        <v>8</v>
      </c>
      <c r="E415">
        <v>27.42</v>
      </c>
      <c r="G415" t="s">
        <v>1</v>
      </c>
    </row>
    <row r="416" spans="1:7" x14ac:dyDescent="0.4">
      <c r="A416" s="1">
        <v>44154</v>
      </c>
      <c r="B416">
        <v>1</v>
      </c>
      <c r="C416">
        <v>1.183790476</v>
      </c>
      <c r="D416" t="s">
        <v>8</v>
      </c>
      <c r="E416">
        <v>26.72</v>
      </c>
      <c r="G416" t="s">
        <v>1</v>
      </c>
    </row>
    <row r="417" spans="1:7" x14ac:dyDescent="0.4">
      <c r="A417" s="1">
        <v>44155</v>
      </c>
      <c r="B417">
        <v>1</v>
      </c>
      <c r="C417">
        <v>1.183790476</v>
      </c>
      <c r="D417" t="s">
        <v>8</v>
      </c>
      <c r="E417">
        <v>26.8</v>
      </c>
      <c r="G417" t="s">
        <v>1</v>
      </c>
    </row>
    <row r="418" spans="1:7" x14ac:dyDescent="0.4">
      <c r="A418" s="1">
        <v>44158</v>
      </c>
      <c r="B418">
        <v>1</v>
      </c>
      <c r="C418">
        <v>1.183790476</v>
      </c>
      <c r="D418" t="s">
        <v>8</v>
      </c>
      <c r="E418">
        <v>27.25</v>
      </c>
      <c r="F418">
        <v>27.75</v>
      </c>
      <c r="G418" t="s">
        <v>1</v>
      </c>
    </row>
    <row r="419" spans="1:7" x14ac:dyDescent="0.4">
      <c r="A419" s="1">
        <v>44159</v>
      </c>
      <c r="B419">
        <v>1</v>
      </c>
      <c r="C419">
        <v>1.183790476</v>
      </c>
      <c r="D419" t="s">
        <v>8</v>
      </c>
      <c r="E419">
        <v>26.97</v>
      </c>
      <c r="G419" t="s">
        <v>1</v>
      </c>
    </row>
    <row r="420" spans="1:7" x14ac:dyDescent="0.4">
      <c r="A420" s="1">
        <v>44161</v>
      </c>
      <c r="B420">
        <v>1</v>
      </c>
      <c r="C420">
        <v>1.183790476</v>
      </c>
      <c r="D420" t="s">
        <v>8</v>
      </c>
      <c r="E420">
        <v>27.77</v>
      </c>
      <c r="G420" t="s">
        <v>1</v>
      </c>
    </row>
    <row r="421" spans="1:7" x14ac:dyDescent="0.4">
      <c r="A421" s="1">
        <v>44162</v>
      </c>
      <c r="B421">
        <v>1</v>
      </c>
      <c r="C421">
        <v>1.183790476</v>
      </c>
      <c r="D421" t="s">
        <v>8</v>
      </c>
      <c r="E421">
        <v>28.23</v>
      </c>
      <c r="G421" t="s">
        <v>1</v>
      </c>
    </row>
    <row r="422" spans="1:7" x14ac:dyDescent="0.4">
      <c r="A422" s="1">
        <v>44165</v>
      </c>
      <c r="B422">
        <v>1</v>
      </c>
      <c r="C422">
        <v>1.183790476</v>
      </c>
      <c r="D422" t="s">
        <v>8</v>
      </c>
      <c r="E422">
        <v>28.82</v>
      </c>
      <c r="F422">
        <v>29.33</v>
      </c>
      <c r="G422" t="s">
        <v>1</v>
      </c>
    </row>
    <row r="423" spans="1:7" x14ac:dyDescent="0.4">
      <c r="A423" s="1">
        <v>44166</v>
      </c>
      <c r="B423">
        <v>1</v>
      </c>
      <c r="C423">
        <v>1.2169727269999999</v>
      </c>
      <c r="D423" t="s">
        <v>8</v>
      </c>
      <c r="E423">
        <v>29.24</v>
      </c>
      <c r="G423" t="s">
        <v>1</v>
      </c>
    </row>
    <row r="424" spans="1:7" x14ac:dyDescent="0.4">
      <c r="A424" s="1">
        <v>44167</v>
      </c>
      <c r="B424">
        <v>1</v>
      </c>
      <c r="C424">
        <v>1.2169727269999999</v>
      </c>
      <c r="D424" t="s">
        <v>8</v>
      </c>
      <c r="E424">
        <v>28.9</v>
      </c>
      <c r="G424" t="s">
        <v>1</v>
      </c>
    </row>
    <row r="425" spans="1:7" x14ac:dyDescent="0.4">
      <c r="A425" s="1">
        <v>44168</v>
      </c>
      <c r="B425">
        <v>1</v>
      </c>
      <c r="C425">
        <v>1.2169727269999999</v>
      </c>
      <c r="D425" t="s">
        <v>8</v>
      </c>
      <c r="E425">
        <v>29.1</v>
      </c>
      <c r="G425" t="s">
        <v>1</v>
      </c>
    </row>
    <row r="426" spans="1:7" x14ac:dyDescent="0.4">
      <c r="A426" s="1">
        <v>44169</v>
      </c>
      <c r="B426">
        <v>1</v>
      </c>
      <c r="C426">
        <v>1.2169727269999999</v>
      </c>
      <c r="D426" t="s">
        <v>8</v>
      </c>
      <c r="E426">
        <v>30</v>
      </c>
      <c r="G426" t="s">
        <v>1</v>
      </c>
    </row>
    <row r="427" spans="1:7" x14ac:dyDescent="0.4">
      <c r="A427" s="1">
        <v>44172</v>
      </c>
      <c r="B427">
        <v>1</v>
      </c>
      <c r="C427">
        <v>1.2169727269999999</v>
      </c>
      <c r="D427" t="s">
        <v>8</v>
      </c>
      <c r="E427">
        <v>29.49</v>
      </c>
      <c r="F427">
        <v>30.06</v>
      </c>
      <c r="G427" t="s">
        <v>1</v>
      </c>
    </row>
    <row r="428" spans="1:7" x14ac:dyDescent="0.4">
      <c r="A428" s="1">
        <v>44173</v>
      </c>
      <c r="B428">
        <v>1</v>
      </c>
      <c r="C428">
        <v>1.2169727269999999</v>
      </c>
      <c r="D428" t="s">
        <v>8</v>
      </c>
      <c r="E428">
        <v>29.69</v>
      </c>
      <c r="G428" t="s">
        <v>1</v>
      </c>
    </row>
    <row r="429" spans="1:7" x14ac:dyDescent="0.4">
      <c r="A429" s="1">
        <v>44175</v>
      </c>
      <c r="B429">
        <v>1</v>
      </c>
      <c r="C429">
        <v>1.2169727269999999</v>
      </c>
      <c r="D429" t="s">
        <v>8</v>
      </c>
      <c r="E429">
        <v>30.04</v>
      </c>
      <c r="G429" t="s">
        <v>1</v>
      </c>
    </row>
    <row r="430" spans="1:7" x14ac:dyDescent="0.4">
      <c r="A430" s="1">
        <v>44176</v>
      </c>
      <c r="B430">
        <v>1</v>
      </c>
      <c r="C430">
        <v>1.2169727269999999</v>
      </c>
      <c r="D430" t="s">
        <v>8</v>
      </c>
      <c r="E430">
        <v>30.45</v>
      </c>
      <c r="G430" t="s">
        <v>1</v>
      </c>
    </row>
    <row r="431" spans="1:7" x14ac:dyDescent="0.4">
      <c r="A431" s="1">
        <v>44179</v>
      </c>
      <c r="B431">
        <v>1</v>
      </c>
      <c r="C431">
        <v>1.2169727269999999</v>
      </c>
      <c r="D431" t="s">
        <v>8</v>
      </c>
      <c r="E431">
        <v>30.92</v>
      </c>
      <c r="F431">
        <v>30.81</v>
      </c>
      <c r="G431" t="s">
        <v>1</v>
      </c>
    </row>
    <row r="432" spans="1:7" x14ac:dyDescent="0.4">
      <c r="A432" s="1">
        <v>44200</v>
      </c>
      <c r="B432">
        <v>1</v>
      </c>
      <c r="C432">
        <v>1.217085</v>
      </c>
      <c r="D432" t="s">
        <v>8</v>
      </c>
      <c r="F432">
        <v>33.99</v>
      </c>
      <c r="G432" t="s">
        <v>1</v>
      </c>
    </row>
    <row r="433" spans="1:7" x14ac:dyDescent="0.4">
      <c r="A433" s="1">
        <v>44207</v>
      </c>
      <c r="B433">
        <v>1</v>
      </c>
      <c r="C433">
        <v>1.217085</v>
      </c>
      <c r="D433" t="s">
        <v>8</v>
      </c>
      <c r="F433">
        <v>33.619999999999997</v>
      </c>
      <c r="G433" t="s">
        <v>1</v>
      </c>
    </row>
    <row r="434" spans="1:7" x14ac:dyDescent="0.4">
      <c r="A434" s="1">
        <v>44214</v>
      </c>
      <c r="B434">
        <v>1</v>
      </c>
      <c r="C434">
        <v>1.217085</v>
      </c>
      <c r="D434" t="s">
        <v>8</v>
      </c>
      <c r="F434">
        <v>33.19</v>
      </c>
      <c r="G434" t="s">
        <v>1</v>
      </c>
    </row>
    <row r="435" spans="1:7" x14ac:dyDescent="0.4">
      <c r="A435" s="1">
        <v>44221</v>
      </c>
      <c r="B435">
        <v>1</v>
      </c>
      <c r="C435">
        <v>1.217085</v>
      </c>
      <c r="D435" t="s">
        <v>8</v>
      </c>
      <c r="F435">
        <v>33.340000000000003</v>
      </c>
      <c r="G435" t="s">
        <v>1</v>
      </c>
    </row>
    <row r="436" spans="1:7" x14ac:dyDescent="0.4">
      <c r="A436" s="1">
        <v>44225</v>
      </c>
      <c r="B436">
        <v>1</v>
      </c>
      <c r="C436">
        <v>1.217085</v>
      </c>
      <c r="D436" t="s">
        <v>8</v>
      </c>
      <c r="E436">
        <v>33.51</v>
      </c>
      <c r="G436" t="s">
        <v>1</v>
      </c>
    </row>
    <row r="437" spans="1:7" x14ac:dyDescent="0.4">
      <c r="A437" s="1">
        <v>44228</v>
      </c>
      <c r="B437">
        <v>1</v>
      </c>
      <c r="C437">
        <v>1.2097899999999999</v>
      </c>
      <c r="D437" t="s">
        <v>8</v>
      </c>
      <c r="E437">
        <v>32.659999999999997</v>
      </c>
      <c r="F437">
        <v>36.14</v>
      </c>
      <c r="G437" t="s">
        <v>1</v>
      </c>
    </row>
    <row r="438" spans="1:7" x14ac:dyDescent="0.4">
      <c r="A438" s="1">
        <v>44229</v>
      </c>
      <c r="B438">
        <v>1</v>
      </c>
      <c r="C438">
        <v>1.2097899999999999</v>
      </c>
      <c r="D438" t="s">
        <v>8</v>
      </c>
      <c r="E438">
        <v>33.200000000000003</v>
      </c>
      <c r="G438" t="s">
        <v>1</v>
      </c>
    </row>
    <row r="439" spans="1:7" x14ac:dyDescent="0.4">
      <c r="A439" s="1">
        <v>44230</v>
      </c>
      <c r="B439">
        <v>1</v>
      </c>
      <c r="C439">
        <v>1.2097899999999999</v>
      </c>
      <c r="D439" t="s">
        <v>8</v>
      </c>
      <c r="E439">
        <v>38</v>
      </c>
      <c r="G439" t="s">
        <v>1</v>
      </c>
    </row>
    <row r="440" spans="1:7" x14ac:dyDescent="0.4">
      <c r="A440" s="1">
        <v>44231</v>
      </c>
      <c r="B440">
        <v>1</v>
      </c>
      <c r="C440">
        <v>1.2097899999999999</v>
      </c>
      <c r="D440" t="s">
        <v>8</v>
      </c>
      <c r="E440">
        <v>36.51</v>
      </c>
      <c r="G440" t="s">
        <v>1</v>
      </c>
    </row>
    <row r="441" spans="1:7" x14ac:dyDescent="0.4">
      <c r="A441" s="1">
        <v>44232</v>
      </c>
      <c r="B441">
        <v>1</v>
      </c>
      <c r="C441">
        <v>1.2097899999999999</v>
      </c>
      <c r="D441" t="s">
        <v>8</v>
      </c>
      <c r="E441">
        <v>37.61</v>
      </c>
      <c r="G441" t="s">
        <v>1</v>
      </c>
    </row>
    <row r="442" spans="1:7" x14ac:dyDescent="0.4">
      <c r="A442" s="1">
        <v>44235</v>
      </c>
      <c r="B442">
        <v>1</v>
      </c>
      <c r="C442">
        <v>1.2097899999999999</v>
      </c>
      <c r="D442" t="s">
        <v>8</v>
      </c>
      <c r="E442">
        <v>38.619999999999997</v>
      </c>
      <c r="F442">
        <v>39</v>
      </c>
      <c r="G442" t="s">
        <v>1</v>
      </c>
    </row>
    <row r="443" spans="1:7" x14ac:dyDescent="0.4">
      <c r="A443" s="1">
        <v>44236</v>
      </c>
      <c r="B443">
        <v>1</v>
      </c>
      <c r="C443">
        <v>1.2097899999999999</v>
      </c>
      <c r="D443" t="s">
        <v>8</v>
      </c>
      <c r="E443">
        <v>37.58</v>
      </c>
      <c r="G443" t="s">
        <v>1</v>
      </c>
    </row>
    <row r="444" spans="1:7" x14ac:dyDescent="0.4">
      <c r="A444" s="1">
        <v>44237</v>
      </c>
      <c r="B444">
        <v>1</v>
      </c>
      <c r="C444">
        <v>1.2097899999999999</v>
      </c>
      <c r="D444" t="s">
        <v>8</v>
      </c>
      <c r="E444">
        <v>37.700000000000003</v>
      </c>
      <c r="G444" t="s">
        <v>1</v>
      </c>
    </row>
    <row r="445" spans="1:7" x14ac:dyDescent="0.4">
      <c r="A445" s="1">
        <v>44238</v>
      </c>
      <c r="B445">
        <v>1</v>
      </c>
      <c r="C445">
        <v>1.2097899999999999</v>
      </c>
      <c r="D445" t="s">
        <v>8</v>
      </c>
      <c r="E445">
        <v>39.619999999999997</v>
      </c>
      <c r="G445" t="s">
        <v>1</v>
      </c>
    </row>
    <row r="446" spans="1:7" x14ac:dyDescent="0.4">
      <c r="A446" s="1">
        <v>44239</v>
      </c>
      <c r="B446">
        <v>1</v>
      </c>
      <c r="C446">
        <v>1.2097899999999999</v>
      </c>
      <c r="D446" t="s">
        <v>8</v>
      </c>
      <c r="E446">
        <v>37.799999999999997</v>
      </c>
      <c r="G446" t="s">
        <v>1</v>
      </c>
    </row>
    <row r="447" spans="1:7" x14ac:dyDescent="0.4">
      <c r="A447" s="1">
        <v>44242</v>
      </c>
      <c r="B447">
        <v>1</v>
      </c>
      <c r="C447">
        <v>1.2097899999999999</v>
      </c>
      <c r="D447" t="s">
        <v>8</v>
      </c>
      <c r="E447">
        <v>39.82</v>
      </c>
      <c r="F447">
        <v>38.44</v>
      </c>
      <c r="G447" t="s">
        <v>1</v>
      </c>
    </row>
    <row r="448" spans="1:7" x14ac:dyDescent="0.4">
      <c r="A448" s="1">
        <v>44243</v>
      </c>
      <c r="B448">
        <v>1</v>
      </c>
      <c r="C448">
        <v>1.2097899999999999</v>
      </c>
      <c r="D448" t="s">
        <v>8</v>
      </c>
      <c r="E448">
        <v>40.19</v>
      </c>
      <c r="G448" t="s">
        <v>1</v>
      </c>
    </row>
    <row r="449" spans="1:7" x14ac:dyDescent="0.4">
      <c r="A449" s="1">
        <v>44244</v>
      </c>
      <c r="B449">
        <v>1</v>
      </c>
      <c r="C449">
        <v>1.2097899999999999</v>
      </c>
      <c r="D449" t="s">
        <v>8</v>
      </c>
      <c r="E449">
        <v>38.42</v>
      </c>
      <c r="G449" t="s">
        <v>1</v>
      </c>
    </row>
    <row r="450" spans="1:7" x14ac:dyDescent="0.4">
      <c r="A450" s="1">
        <v>44245</v>
      </c>
      <c r="B450">
        <v>1</v>
      </c>
      <c r="C450">
        <v>1.2097899999999999</v>
      </c>
      <c r="D450" t="s">
        <v>8</v>
      </c>
      <c r="E450">
        <v>38.01</v>
      </c>
      <c r="G450" t="s">
        <v>1</v>
      </c>
    </row>
    <row r="451" spans="1:7" x14ac:dyDescent="0.4">
      <c r="A451" s="1">
        <v>44246</v>
      </c>
      <c r="B451">
        <v>1</v>
      </c>
      <c r="C451">
        <v>1.2097899999999999</v>
      </c>
      <c r="D451" t="s">
        <v>8</v>
      </c>
      <c r="E451">
        <v>38.36</v>
      </c>
      <c r="G451" t="s">
        <v>1</v>
      </c>
    </row>
    <row r="452" spans="1:7" x14ac:dyDescent="0.4">
      <c r="A452" s="1">
        <v>44249</v>
      </c>
      <c r="B452">
        <v>1</v>
      </c>
      <c r="C452">
        <v>1.2097899999999999</v>
      </c>
      <c r="D452" t="s">
        <v>8</v>
      </c>
      <c r="E452">
        <v>36.840000000000003</v>
      </c>
      <c r="F452">
        <v>38.26</v>
      </c>
      <c r="G452" t="s">
        <v>1</v>
      </c>
    </row>
    <row r="453" spans="1:7" x14ac:dyDescent="0.4">
      <c r="A453" s="1">
        <v>44250</v>
      </c>
      <c r="B453">
        <v>1</v>
      </c>
      <c r="C453">
        <v>1.2097899999999999</v>
      </c>
      <c r="D453" t="s">
        <v>8</v>
      </c>
      <c r="E453">
        <v>37.5</v>
      </c>
      <c r="G453" t="s">
        <v>1</v>
      </c>
    </row>
    <row r="454" spans="1:7" x14ac:dyDescent="0.4">
      <c r="A454" s="1">
        <v>44251</v>
      </c>
      <c r="B454">
        <v>1</v>
      </c>
      <c r="C454">
        <v>1.2097899999999999</v>
      </c>
      <c r="D454" t="s">
        <v>8</v>
      </c>
      <c r="E454">
        <v>38.42</v>
      </c>
      <c r="G454" t="s">
        <v>1</v>
      </c>
    </row>
    <row r="455" spans="1:7" x14ac:dyDescent="0.4">
      <c r="A455" s="1">
        <v>44252</v>
      </c>
      <c r="B455">
        <v>1</v>
      </c>
      <c r="C455">
        <v>1.2097899999999999</v>
      </c>
      <c r="D455" t="s">
        <v>8</v>
      </c>
      <c r="E455">
        <v>38.880000000000003</v>
      </c>
      <c r="G455" t="s">
        <v>1</v>
      </c>
    </row>
    <row r="456" spans="1:7" x14ac:dyDescent="0.4">
      <c r="A456" s="1">
        <v>44253</v>
      </c>
      <c r="B456">
        <v>1</v>
      </c>
      <c r="C456">
        <v>1.2097899999999999</v>
      </c>
      <c r="D456" t="s">
        <v>8</v>
      </c>
      <c r="E456">
        <v>37.51</v>
      </c>
      <c r="G456" t="s">
        <v>1</v>
      </c>
    </row>
    <row r="457" spans="1:7" x14ac:dyDescent="0.4">
      <c r="A457" s="1">
        <v>44256</v>
      </c>
      <c r="B457">
        <v>1</v>
      </c>
      <c r="C457">
        <v>1.189908696</v>
      </c>
      <c r="D457" t="s">
        <v>8</v>
      </c>
      <c r="E457">
        <v>37.659999999999997</v>
      </c>
      <c r="F457">
        <v>38.03</v>
      </c>
      <c r="G457" t="s">
        <v>1</v>
      </c>
    </row>
    <row r="458" spans="1:7" x14ac:dyDescent="0.4">
      <c r="A458" s="1">
        <v>44257</v>
      </c>
      <c r="B458">
        <v>1</v>
      </c>
      <c r="C458">
        <v>1.189908696</v>
      </c>
      <c r="D458" t="s">
        <v>8</v>
      </c>
      <c r="E458">
        <v>37.25</v>
      </c>
      <c r="G458" t="s">
        <v>1</v>
      </c>
    </row>
    <row r="459" spans="1:7" x14ac:dyDescent="0.4">
      <c r="A459" s="1">
        <v>44258</v>
      </c>
      <c r="B459">
        <v>1</v>
      </c>
      <c r="C459">
        <v>1.189908696</v>
      </c>
      <c r="D459" t="s">
        <v>8</v>
      </c>
      <c r="E459">
        <v>37.56</v>
      </c>
      <c r="G459" t="s">
        <v>1</v>
      </c>
    </row>
    <row r="460" spans="1:7" x14ac:dyDescent="0.4">
      <c r="A460" s="1">
        <v>44259</v>
      </c>
      <c r="B460">
        <v>1</v>
      </c>
      <c r="C460">
        <v>1.189908696</v>
      </c>
      <c r="D460" t="s">
        <v>8</v>
      </c>
      <c r="E460">
        <v>36.9</v>
      </c>
      <c r="G460" t="s">
        <v>1</v>
      </c>
    </row>
    <row r="461" spans="1:7" x14ac:dyDescent="0.4">
      <c r="A461" s="1">
        <v>44260</v>
      </c>
      <c r="B461">
        <v>1</v>
      </c>
      <c r="C461">
        <v>1.189908696</v>
      </c>
      <c r="D461" t="s">
        <v>8</v>
      </c>
      <c r="E461">
        <v>38.08</v>
      </c>
      <c r="G461" t="s">
        <v>1</v>
      </c>
    </row>
    <row r="462" spans="1:7" x14ac:dyDescent="0.4">
      <c r="A462" s="1">
        <v>44263</v>
      </c>
      <c r="B462">
        <v>1</v>
      </c>
      <c r="C462">
        <v>1.189908696</v>
      </c>
      <c r="D462" t="s">
        <v>8</v>
      </c>
      <c r="E462">
        <v>38.409999999999997</v>
      </c>
      <c r="F462">
        <v>41.22</v>
      </c>
      <c r="G462" t="s">
        <v>1</v>
      </c>
    </row>
    <row r="463" spans="1:7" x14ac:dyDescent="0.4">
      <c r="A463" s="1">
        <v>44264</v>
      </c>
      <c r="B463">
        <v>1</v>
      </c>
      <c r="C463">
        <v>1.189908696</v>
      </c>
      <c r="D463" t="s">
        <v>8</v>
      </c>
      <c r="E463">
        <v>39.4</v>
      </c>
      <c r="G463" t="s">
        <v>1</v>
      </c>
    </row>
    <row r="464" spans="1:7" x14ac:dyDescent="0.4">
      <c r="A464" s="1">
        <v>44265</v>
      </c>
      <c r="B464">
        <v>1</v>
      </c>
      <c r="C464">
        <v>1.189908696</v>
      </c>
      <c r="D464" t="s">
        <v>8</v>
      </c>
      <c r="E464">
        <v>41</v>
      </c>
      <c r="G464" t="s">
        <v>1</v>
      </c>
    </row>
    <row r="465" spans="1:7" x14ac:dyDescent="0.4">
      <c r="A465" s="1">
        <v>44266</v>
      </c>
      <c r="B465">
        <v>1</v>
      </c>
      <c r="C465">
        <v>1.189908696</v>
      </c>
      <c r="D465" t="s">
        <v>8</v>
      </c>
      <c r="E465">
        <v>40.92</v>
      </c>
      <c r="G465" t="s">
        <v>1</v>
      </c>
    </row>
    <row r="466" spans="1:7" x14ac:dyDescent="0.4">
      <c r="A466" s="1">
        <v>44267</v>
      </c>
      <c r="B466">
        <v>1</v>
      </c>
      <c r="C466">
        <v>1.189908696</v>
      </c>
      <c r="D466" t="s">
        <v>8</v>
      </c>
      <c r="E466">
        <v>41.52</v>
      </c>
      <c r="G466" t="s">
        <v>1</v>
      </c>
    </row>
    <row r="467" spans="1:7" x14ac:dyDescent="0.4">
      <c r="A467" s="1">
        <v>44270</v>
      </c>
      <c r="B467">
        <v>1</v>
      </c>
      <c r="C467">
        <v>1.189908696</v>
      </c>
      <c r="D467" t="s">
        <v>8</v>
      </c>
      <c r="E467">
        <v>42.84</v>
      </c>
      <c r="F467">
        <v>42.27</v>
      </c>
      <c r="G467" t="s">
        <v>1</v>
      </c>
    </row>
    <row r="468" spans="1:7" x14ac:dyDescent="0.4">
      <c r="A468" s="1">
        <v>44271</v>
      </c>
      <c r="B468">
        <v>1</v>
      </c>
      <c r="C468">
        <v>1.189908696</v>
      </c>
      <c r="D468" t="s">
        <v>8</v>
      </c>
      <c r="E468">
        <v>41.92</v>
      </c>
      <c r="G468" t="s">
        <v>1</v>
      </c>
    </row>
    <row r="469" spans="1:7" x14ac:dyDescent="0.4">
      <c r="A469" s="1">
        <v>44272</v>
      </c>
      <c r="B469">
        <v>1</v>
      </c>
      <c r="C469">
        <v>1.189908696</v>
      </c>
      <c r="D469" t="s">
        <v>8</v>
      </c>
      <c r="E469">
        <v>41.9</v>
      </c>
      <c r="G469" t="s">
        <v>1</v>
      </c>
    </row>
    <row r="470" spans="1:7" x14ac:dyDescent="0.4">
      <c r="A470" s="1">
        <v>44273</v>
      </c>
      <c r="B470">
        <v>1</v>
      </c>
      <c r="C470">
        <v>1.189908696</v>
      </c>
      <c r="D470" t="s">
        <v>8</v>
      </c>
      <c r="E470">
        <v>43.35</v>
      </c>
      <c r="G470" t="s">
        <v>1</v>
      </c>
    </row>
    <row r="471" spans="1:7" x14ac:dyDescent="0.4">
      <c r="A471" s="1">
        <v>44274</v>
      </c>
      <c r="B471">
        <v>1</v>
      </c>
      <c r="C471">
        <v>1.189908696</v>
      </c>
      <c r="D471" t="s">
        <v>8</v>
      </c>
      <c r="E471">
        <v>41.91</v>
      </c>
      <c r="G471" t="s">
        <v>1</v>
      </c>
    </row>
    <row r="472" spans="1:7" x14ac:dyDescent="0.4">
      <c r="A472" s="1">
        <v>44277</v>
      </c>
      <c r="B472">
        <v>1</v>
      </c>
      <c r="C472">
        <v>1.189908696</v>
      </c>
      <c r="D472" t="s">
        <v>8</v>
      </c>
      <c r="E472">
        <v>41.8</v>
      </c>
      <c r="F472">
        <v>41.59</v>
      </c>
      <c r="G472" t="s">
        <v>1</v>
      </c>
    </row>
    <row r="473" spans="1:7" x14ac:dyDescent="0.4">
      <c r="A473" s="1">
        <v>44278</v>
      </c>
      <c r="B473">
        <v>1</v>
      </c>
      <c r="C473">
        <v>1.189908696</v>
      </c>
      <c r="D473" t="s">
        <v>8</v>
      </c>
      <c r="E473">
        <v>41.77</v>
      </c>
      <c r="G473" t="s">
        <v>1</v>
      </c>
    </row>
    <row r="474" spans="1:7" x14ac:dyDescent="0.4">
      <c r="A474" s="1">
        <v>44279</v>
      </c>
      <c r="B474">
        <v>1</v>
      </c>
      <c r="C474">
        <v>1.189908696</v>
      </c>
      <c r="D474" t="s">
        <v>8</v>
      </c>
      <c r="E474">
        <v>40.94</v>
      </c>
      <c r="G474" t="s">
        <v>1</v>
      </c>
    </row>
    <row r="475" spans="1:7" x14ac:dyDescent="0.4">
      <c r="A475" s="1">
        <v>44280</v>
      </c>
      <c r="B475">
        <v>1</v>
      </c>
      <c r="C475">
        <v>1.189908696</v>
      </c>
      <c r="D475" t="s">
        <v>8</v>
      </c>
      <c r="E475">
        <v>40.69</v>
      </c>
      <c r="G475" t="s">
        <v>1</v>
      </c>
    </row>
    <row r="476" spans="1:7" x14ac:dyDescent="0.4">
      <c r="A476" s="1">
        <v>44281</v>
      </c>
      <c r="B476">
        <v>1</v>
      </c>
      <c r="C476">
        <v>1.189908696</v>
      </c>
      <c r="D476" t="s">
        <v>8</v>
      </c>
      <c r="E476">
        <v>40.86</v>
      </c>
      <c r="G476" t="s">
        <v>1</v>
      </c>
    </row>
    <row r="477" spans="1:7" x14ac:dyDescent="0.4">
      <c r="A477" s="1">
        <v>44284</v>
      </c>
      <c r="B477">
        <v>1</v>
      </c>
      <c r="C477">
        <v>1.189908696</v>
      </c>
      <c r="D477" t="s">
        <v>8</v>
      </c>
      <c r="E477">
        <v>40.71</v>
      </c>
      <c r="F477">
        <v>42.23</v>
      </c>
      <c r="G477" t="s">
        <v>1</v>
      </c>
    </row>
    <row r="478" spans="1:7" x14ac:dyDescent="0.4">
      <c r="A478" s="1">
        <v>44285</v>
      </c>
      <c r="B478">
        <v>1</v>
      </c>
      <c r="C478">
        <v>1.189908696</v>
      </c>
      <c r="D478" t="s">
        <v>8</v>
      </c>
      <c r="E478">
        <v>42.25</v>
      </c>
      <c r="G478" t="s">
        <v>1</v>
      </c>
    </row>
    <row r="479" spans="1:7" x14ac:dyDescent="0.4">
      <c r="A479" s="1">
        <v>44286</v>
      </c>
      <c r="B479">
        <v>1</v>
      </c>
      <c r="C479">
        <v>1.189908696</v>
      </c>
      <c r="D479" t="s">
        <v>8</v>
      </c>
      <c r="E479">
        <v>42.26</v>
      </c>
      <c r="G479" t="s">
        <v>1</v>
      </c>
    </row>
    <row r="480" spans="1:7" x14ac:dyDescent="0.4">
      <c r="A480" s="1">
        <v>44287</v>
      </c>
      <c r="B480">
        <v>1</v>
      </c>
      <c r="C480">
        <v>1.19791</v>
      </c>
      <c r="D480" t="s">
        <v>8</v>
      </c>
      <c r="E480">
        <v>42.04</v>
      </c>
      <c r="G480" t="s">
        <v>1</v>
      </c>
    </row>
    <row r="481" spans="1:7" x14ac:dyDescent="0.4">
      <c r="A481" s="1">
        <v>44291</v>
      </c>
      <c r="B481">
        <v>1</v>
      </c>
      <c r="C481">
        <v>1.19791</v>
      </c>
      <c r="D481" t="s">
        <v>8</v>
      </c>
      <c r="F481">
        <v>43.54</v>
      </c>
      <c r="G481" t="s">
        <v>1</v>
      </c>
    </row>
    <row r="482" spans="1:7" x14ac:dyDescent="0.4">
      <c r="A482" s="1">
        <v>44292</v>
      </c>
      <c r="B482">
        <v>1</v>
      </c>
      <c r="C482">
        <v>1.19791</v>
      </c>
      <c r="D482" t="s">
        <v>8</v>
      </c>
      <c r="E482">
        <v>43.05</v>
      </c>
      <c r="G482" t="s">
        <v>1</v>
      </c>
    </row>
    <row r="483" spans="1:7" x14ac:dyDescent="0.4">
      <c r="A483" s="1">
        <v>44293</v>
      </c>
      <c r="B483">
        <v>1</v>
      </c>
      <c r="C483">
        <v>1.19791</v>
      </c>
      <c r="D483" t="s">
        <v>8</v>
      </c>
      <c r="E483">
        <v>43.63</v>
      </c>
      <c r="G483" t="s">
        <v>1</v>
      </c>
    </row>
    <row r="484" spans="1:7" x14ac:dyDescent="0.4">
      <c r="A484" s="1">
        <v>44294</v>
      </c>
      <c r="B484">
        <v>1</v>
      </c>
      <c r="C484">
        <v>1.19791</v>
      </c>
      <c r="D484" t="s">
        <v>8</v>
      </c>
      <c r="E484">
        <v>43.45</v>
      </c>
      <c r="G484" t="s">
        <v>1</v>
      </c>
    </row>
    <row r="485" spans="1:7" x14ac:dyDescent="0.4">
      <c r="A485" s="1">
        <v>44295</v>
      </c>
      <c r="B485">
        <v>1</v>
      </c>
      <c r="C485">
        <v>1.19791</v>
      </c>
      <c r="D485" t="s">
        <v>8</v>
      </c>
      <c r="E485">
        <v>43.18</v>
      </c>
      <c r="G485" t="s">
        <v>1</v>
      </c>
    </row>
    <row r="486" spans="1:7" x14ac:dyDescent="0.4">
      <c r="A486" s="1">
        <v>44298</v>
      </c>
      <c r="B486">
        <v>1</v>
      </c>
      <c r="C486">
        <v>1.19791</v>
      </c>
      <c r="D486" t="s">
        <v>8</v>
      </c>
      <c r="E486">
        <v>43.86</v>
      </c>
      <c r="F486">
        <v>44.15</v>
      </c>
      <c r="G486" t="s">
        <v>1</v>
      </c>
    </row>
    <row r="487" spans="1:7" x14ac:dyDescent="0.4">
      <c r="A487" s="1">
        <v>44299</v>
      </c>
      <c r="B487">
        <v>1</v>
      </c>
      <c r="C487">
        <v>1.19791</v>
      </c>
      <c r="D487" t="s">
        <v>8</v>
      </c>
      <c r="E487">
        <v>44.1</v>
      </c>
      <c r="G487" t="s">
        <v>1</v>
      </c>
    </row>
    <row r="488" spans="1:7" x14ac:dyDescent="0.4">
      <c r="A488" s="1">
        <v>44300</v>
      </c>
      <c r="B488">
        <v>1</v>
      </c>
      <c r="C488">
        <v>1.19791</v>
      </c>
      <c r="D488" t="s">
        <v>8</v>
      </c>
      <c r="E488">
        <v>43.53</v>
      </c>
      <c r="G488" t="s">
        <v>1</v>
      </c>
    </row>
    <row r="489" spans="1:7" x14ac:dyDescent="0.4">
      <c r="A489" s="1">
        <v>44301</v>
      </c>
      <c r="B489">
        <v>1</v>
      </c>
      <c r="C489">
        <v>1.19791</v>
      </c>
      <c r="D489" t="s">
        <v>8</v>
      </c>
      <c r="E489">
        <v>43.99</v>
      </c>
      <c r="G489" t="s">
        <v>1</v>
      </c>
    </row>
    <row r="490" spans="1:7" x14ac:dyDescent="0.4">
      <c r="A490" s="1">
        <v>44302</v>
      </c>
      <c r="B490">
        <v>1</v>
      </c>
      <c r="C490">
        <v>1.19791</v>
      </c>
      <c r="D490" t="s">
        <v>8</v>
      </c>
      <c r="E490">
        <v>44.5</v>
      </c>
      <c r="G490" t="s">
        <v>1</v>
      </c>
    </row>
    <row r="491" spans="1:7" x14ac:dyDescent="0.4">
      <c r="A491" s="1">
        <v>44305</v>
      </c>
      <c r="B491">
        <v>1</v>
      </c>
      <c r="C491">
        <v>1.19791</v>
      </c>
      <c r="D491" t="s">
        <v>8</v>
      </c>
      <c r="E491">
        <v>44.66</v>
      </c>
      <c r="F491">
        <v>45.84</v>
      </c>
      <c r="G491" t="s">
        <v>1</v>
      </c>
    </row>
    <row r="492" spans="1:7" x14ac:dyDescent="0.4">
      <c r="A492" s="1">
        <v>44306</v>
      </c>
      <c r="B492">
        <v>1</v>
      </c>
      <c r="C492">
        <v>1.19791</v>
      </c>
      <c r="D492" t="s">
        <v>8</v>
      </c>
      <c r="E492">
        <v>44.2</v>
      </c>
      <c r="G492" t="s">
        <v>1</v>
      </c>
    </row>
    <row r="493" spans="1:7" x14ac:dyDescent="0.4">
      <c r="A493" s="1">
        <v>44307</v>
      </c>
      <c r="B493">
        <v>1</v>
      </c>
      <c r="C493">
        <v>1.19791</v>
      </c>
      <c r="D493" t="s">
        <v>8</v>
      </c>
      <c r="E493">
        <v>44.85</v>
      </c>
      <c r="G493" t="s">
        <v>1</v>
      </c>
    </row>
    <row r="494" spans="1:7" x14ac:dyDescent="0.4">
      <c r="A494" s="1">
        <v>44308</v>
      </c>
      <c r="B494">
        <v>1</v>
      </c>
      <c r="C494">
        <v>1.19791</v>
      </c>
      <c r="D494" t="s">
        <v>8</v>
      </c>
      <c r="E494">
        <v>46.6</v>
      </c>
      <c r="G494" t="s">
        <v>1</v>
      </c>
    </row>
    <row r="495" spans="1:7" x14ac:dyDescent="0.4">
      <c r="A495" s="1">
        <v>44309</v>
      </c>
      <c r="B495">
        <v>1</v>
      </c>
      <c r="C495">
        <v>1.19791</v>
      </c>
      <c r="D495" t="s">
        <v>8</v>
      </c>
      <c r="E495">
        <v>46.41</v>
      </c>
      <c r="G495" t="s">
        <v>1</v>
      </c>
    </row>
    <row r="496" spans="1:7" x14ac:dyDescent="0.4">
      <c r="A496" s="1">
        <v>44312</v>
      </c>
      <c r="B496">
        <v>1</v>
      </c>
      <c r="C496">
        <v>1.19791</v>
      </c>
      <c r="D496" t="s">
        <v>8</v>
      </c>
      <c r="E496">
        <v>47.24</v>
      </c>
      <c r="F496">
        <v>47.83</v>
      </c>
      <c r="G496" t="s">
        <v>1</v>
      </c>
    </row>
    <row r="497" spans="1:7" x14ac:dyDescent="0.4">
      <c r="A497" s="1">
        <v>44313</v>
      </c>
      <c r="B497">
        <v>1</v>
      </c>
      <c r="C497">
        <v>1.19791</v>
      </c>
      <c r="D497" t="s">
        <v>8</v>
      </c>
      <c r="E497">
        <v>46.55</v>
      </c>
      <c r="G497" t="s">
        <v>1</v>
      </c>
    </row>
    <row r="498" spans="1:7" x14ac:dyDescent="0.4">
      <c r="A498" s="1">
        <v>44314</v>
      </c>
      <c r="B498">
        <v>1</v>
      </c>
      <c r="C498">
        <v>1.19791</v>
      </c>
      <c r="D498" t="s">
        <v>8</v>
      </c>
      <c r="E498">
        <v>48</v>
      </c>
      <c r="G498" t="s">
        <v>1</v>
      </c>
    </row>
    <row r="499" spans="1:7" x14ac:dyDescent="0.4">
      <c r="A499" s="1">
        <v>44315</v>
      </c>
      <c r="B499">
        <v>1</v>
      </c>
      <c r="C499">
        <v>1.19791</v>
      </c>
      <c r="D499" t="s">
        <v>8</v>
      </c>
      <c r="E499">
        <v>47.25</v>
      </c>
      <c r="G499" t="s">
        <v>1</v>
      </c>
    </row>
    <row r="500" spans="1:7" x14ac:dyDescent="0.4">
      <c r="A500" s="1">
        <v>44316</v>
      </c>
      <c r="B500">
        <v>1</v>
      </c>
      <c r="C500">
        <v>1.19791</v>
      </c>
      <c r="D500" t="s">
        <v>8</v>
      </c>
      <c r="E500">
        <v>47.68</v>
      </c>
      <c r="G500" t="s">
        <v>1</v>
      </c>
    </row>
    <row r="501" spans="1:7" x14ac:dyDescent="0.4">
      <c r="A501" s="1">
        <v>44319</v>
      </c>
      <c r="B501">
        <v>1</v>
      </c>
      <c r="C501">
        <v>1.2145904759999999</v>
      </c>
      <c r="D501" t="s">
        <v>8</v>
      </c>
      <c r="F501">
        <v>49.57</v>
      </c>
      <c r="G501" t="s">
        <v>1</v>
      </c>
    </row>
    <row r="502" spans="1:7" x14ac:dyDescent="0.4">
      <c r="A502" s="1">
        <v>44320</v>
      </c>
      <c r="B502">
        <v>1</v>
      </c>
      <c r="C502">
        <v>1.2145904759999999</v>
      </c>
      <c r="D502" t="s">
        <v>8</v>
      </c>
      <c r="E502">
        <v>49.33</v>
      </c>
      <c r="G502" t="s">
        <v>1</v>
      </c>
    </row>
    <row r="503" spans="1:7" x14ac:dyDescent="0.4">
      <c r="A503" s="1">
        <v>44321</v>
      </c>
      <c r="B503">
        <v>1</v>
      </c>
      <c r="C503">
        <v>1.2145904759999999</v>
      </c>
      <c r="D503" t="s">
        <v>8</v>
      </c>
      <c r="E503">
        <v>48.62</v>
      </c>
      <c r="G503" t="s">
        <v>1</v>
      </c>
    </row>
    <row r="504" spans="1:7" x14ac:dyDescent="0.4">
      <c r="A504" s="1">
        <v>44322</v>
      </c>
      <c r="B504">
        <v>1</v>
      </c>
      <c r="C504">
        <v>1.2145904759999999</v>
      </c>
      <c r="D504" t="s">
        <v>8</v>
      </c>
      <c r="E504">
        <v>49.45</v>
      </c>
      <c r="G504" t="s">
        <v>1</v>
      </c>
    </row>
    <row r="505" spans="1:7" x14ac:dyDescent="0.4">
      <c r="A505" s="1">
        <v>44323</v>
      </c>
      <c r="B505">
        <v>1</v>
      </c>
      <c r="C505">
        <v>1.2145904759999999</v>
      </c>
      <c r="D505" t="s">
        <v>8</v>
      </c>
      <c r="E505">
        <v>49.46</v>
      </c>
      <c r="G505" t="s">
        <v>1</v>
      </c>
    </row>
    <row r="506" spans="1:7" x14ac:dyDescent="0.4">
      <c r="A506" s="1">
        <v>44326</v>
      </c>
      <c r="B506">
        <v>1</v>
      </c>
      <c r="C506">
        <v>1.2145904759999999</v>
      </c>
      <c r="D506" t="s">
        <v>8</v>
      </c>
      <c r="E506">
        <v>51.81</v>
      </c>
      <c r="F506">
        <v>54.34</v>
      </c>
      <c r="G506" t="s">
        <v>1</v>
      </c>
    </row>
    <row r="507" spans="1:7" x14ac:dyDescent="0.4">
      <c r="A507" s="1">
        <v>44327</v>
      </c>
      <c r="B507">
        <v>1</v>
      </c>
      <c r="C507">
        <v>1.2145904759999999</v>
      </c>
      <c r="D507" t="s">
        <v>8</v>
      </c>
      <c r="E507">
        <v>51.59</v>
      </c>
      <c r="G507" t="s">
        <v>1</v>
      </c>
    </row>
    <row r="508" spans="1:7" x14ac:dyDescent="0.4">
      <c r="A508" s="1">
        <v>44328</v>
      </c>
      <c r="B508">
        <v>1</v>
      </c>
      <c r="C508">
        <v>1.2145904759999999</v>
      </c>
      <c r="D508" t="s">
        <v>8</v>
      </c>
      <c r="E508">
        <v>54.22</v>
      </c>
      <c r="G508" t="s">
        <v>1</v>
      </c>
    </row>
    <row r="509" spans="1:7" x14ac:dyDescent="0.4">
      <c r="A509" s="1">
        <v>44333</v>
      </c>
      <c r="B509">
        <v>1</v>
      </c>
      <c r="C509">
        <v>1.2145904759999999</v>
      </c>
      <c r="D509" t="s">
        <v>8</v>
      </c>
      <c r="E509">
        <v>55.57</v>
      </c>
      <c r="F509">
        <v>52.71</v>
      </c>
      <c r="G509" t="s">
        <v>1</v>
      </c>
    </row>
    <row r="510" spans="1:7" x14ac:dyDescent="0.4">
      <c r="A510" s="1">
        <v>44334</v>
      </c>
      <c r="B510">
        <v>1</v>
      </c>
      <c r="C510">
        <v>1.2145904759999999</v>
      </c>
      <c r="D510" t="s">
        <v>8</v>
      </c>
      <c r="E510">
        <v>55.53</v>
      </c>
      <c r="G510" t="s">
        <v>1</v>
      </c>
    </row>
    <row r="511" spans="1:7" x14ac:dyDescent="0.4">
      <c r="A511" s="1">
        <v>44335</v>
      </c>
      <c r="B511">
        <v>1</v>
      </c>
      <c r="C511">
        <v>1.2145904759999999</v>
      </c>
      <c r="D511" t="s">
        <v>8</v>
      </c>
      <c r="E511">
        <v>52.12</v>
      </c>
      <c r="G511" t="s">
        <v>1</v>
      </c>
    </row>
    <row r="512" spans="1:7" x14ac:dyDescent="0.4">
      <c r="A512" s="1">
        <v>44336</v>
      </c>
      <c r="B512">
        <v>1</v>
      </c>
      <c r="C512">
        <v>1.2145904759999999</v>
      </c>
      <c r="D512" t="s">
        <v>8</v>
      </c>
      <c r="E512">
        <v>50.84</v>
      </c>
      <c r="G512" t="s">
        <v>1</v>
      </c>
    </row>
    <row r="513" spans="1:7" x14ac:dyDescent="0.4">
      <c r="A513" s="1">
        <v>44337</v>
      </c>
      <c r="B513">
        <v>1</v>
      </c>
      <c r="C513">
        <v>1.2145904759999999</v>
      </c>
      <c r="D513" t="s">
        <v>8</v>
      </c>
      <c r="E513">
        <v>52.71</v>
      </c>
      <c r="G513" t="s">
        <v>1</v>
      </c>
    </row>
    <row r="514" spans="1:7" x14ac:dyDescent="0.4">
      <c r="A514" s="1">
        <v>44340</v>
      </c>
      <c r="B514">
        <v>1</v>
      </c>
      <c r="C514">
        <v>1.2145904759999999</v>
      </c>
      <c r="D514" t="s">
        <v>8</v>
      </c>
      <c r="F514">
        <v>52.53</v>
      </c>
      <c r="G514" t="s">
        <v>1</v>
      </c>
    </row>
    <row r="515" spans="1:7" x14ac:dyDescent="0.4">
      <c r="A515" s="1">
        <v>44341</v>
      </c>
      <c r="B515">
        <v>1</v>
      </c>
      <c r="C515">
        <v>1.2145904759999999</v>
      </c>
      <c r="D515" t="s">
        <v>8</v>
      </c>
      <c r="E515">
        <v>53.09</v>
      </c>
      <c r="G515" t="s">
        <v>1</v>
      </c>
    </row>
    <row r="516" spans="1:7" x14ac:dyDescent="0.4">
      <c r="A516" s="1">
        <v>44342</v>
      </c>
      <c r="B516">
        <v>1</v>
      </c>
      <c r="C516">
        <v>1.2145904759999999</v>
      </c>
      <c r="D516" t="s">
        <v>8</v>
      </c>
      <c r="E516">
        <v>54.07</v>
      </c>
      <c r="G516" t="s">
        <v>1</v>
      </c>
    </row>
    <row r="517" spans="1:7" x14ac:dyDescent="0.4">
      <c r="A517" s="1">
        <v>44343</v>
      </c>
      <c r="B517">
        <v>1</v>
      </c>
      <c r="C517">
        <v>1.2145904759999999</v>
      </c>
      <c r="D517" t="s">
        <v>8</v>
      </c>
      <c r="E517">
        <v>52.11</v>
      </c>
      <c r="G517" t="s">
        <v>1</v>
      </c>
    </row>
    <row r="518" spans="1:7" x14ac:dyDescent="0.4">
      <c r="A518" s="1">
        <v>44344</v>
      </c>
      <c r="B518">
        <v>1</v>
      </c>
      <c r="C518">
        <v>1.2145904759999999</v>
      </c>
      <c r="D518" t="s">
        <v>8</v>
      </c>
      <c r="E518">
        <v>51.08</v>
      </c>
      <c r="G518" t="s">
        <v>1</v>
      </c>
    </row>
    <row r="519" spans="1:7" x14ac:dyDescent="0.4">
      <c r="A519" s="1">
        <v>44347</v>
      </c>
      <c r="B519">
        <v>1</v>
      </c>
      <c r="C519">
        <v>1.2145904759999999</v>
      </c>
      <c r="D519" t="s">
        <v>8</v>
      </c>
      <c r="F519">
        <v>51.14</v>
      </c>
      <c r="G519" t="s">
        <v>1</v>
      </c>
    </row>
    <row r="520" spans="1:7" x14ac:dyDescent="0.4">
      <c r="A520" s="1">
        <v>44348</v>
      </c>
      <c r="B520">
        <v>1</v>
      </c>
      <c r="C520">
        <v>1.204709091</v>
      </c>
      <c r="D520" t="s">
        <v>8</v>
      </c>
      <c r="E520">
        <v>52.58</v>
      </c>
      <c r="G520" t="s">
        <v>1</v>
      </c>
    </row>
    <row r="521" spans="1:7" x14ac:dyDescent="0.4">
      <c r="A521" s="1">
        <v>44349</v>
      </c>
      <c r="B521">
        <v>1</v>
      </c>
      <c r="C521">
        <v>1.204709091</v>
      </c>
      <c r="D521" t="s">
        <v>8</v>
      </c>
      <c r="E521">
        <v>51.5</v>
      </c>
      <c r="G521" t="s">
        <v>1</v>
      </c>
    </row>
    <row r="522" spans="1:7" x14ac:dyDescent="0.4">
      <c r="A522" s="1">
        <v>44350</v>
      </c>
      <c r="B522">
        <v>1</v>
      </c>
      <c r="C522">
        <v>1.204709091</v>
      </c>
      <c r="D522" t="s">
        <v>8</v>
      </c>
      <c r="E522">
        <v>51.9</v>
      </c>
      <c r="G522" t="s">
        <v>1</v>
      </c>
    </row>
    <row r="523" spans="1:7" x14ac:dyDescent="0.4">
      <c r="A523" s="1">
        <v>44351</v>
      </c>
      <c r="B523">
        <v>1</v>
      </c>
      <c r="C523">
        <v>1.204709091</v>
      </c>
      <c r="D523" t="s">
        <v>8</v>
      </c>
      <c r="E523">
        <v>49.55</v>
      </c>
      <c r="G523" t="s">
        <v>1</v>
      </c>
    </row>
    <row r="524" spans="1:7" x14ac:dyDescent="0.4">
      <c r="A524" s="1">
        <v>44354</v>
      </c>
      <c r="B524">
        <v>1</v>
      </c>
      <c r="C524">
        <v>1.204709091</v>
      </c>
      <c r="D524" t="s">
        <v>8</v>
      </c>
      <c r="E524">
        <v>48.56</v>
      </c>
      <c r="F524">
        <v>52.72</v>
      </c>
      <c r="G524" t="s">
        <v>1</v>
      </c>
    </row>
    <row r="525" spans="1:7" x14ac:dyDescent="0.4">
      <c r="A525" s="1">
        <v>44355</v>
      </c>
      <c r="B525">
        <v>1</v>
      </c>
      <c r="C525">
        <v>1.204709091</v>
      </c>
      <c r="D525" t="s">
        <v>8</v>
      </c>
      <c r="E525">
        <v>52.03</v>
      </c>
      <c r="G525" t="s">
        <v>1</v>
      </c>
    </row>
    <row r="526" spans="1:7" x14ac:dyDescent="0.4">
      <c r="A526" s="1">
        <v>44356</v>
      </c>
      <c r="B526">
        <v>1</v>
      </c>
      <c r="C526">
        <v>1.204709091</v>
      </c>
      <c r="D526" t="s">
        <v>8</v>
      </c>
      <c r="E526">
        <v>53.7</v>
      </c>
      <c r="G526" t="s">
        <v>1</v>
      </c>
    </row>
    <row r="527" spans="1:7" x14ac:dyDescent="0.4">
      <c r="A527" s="1">
        <v>44357</v>
      </c>
      <c r="B527">
        <v>1</v>
      </c>
      <c r="C527">
        <v>1.204709091</v>
      </c>
      <c r="D527" t="s">
        <v>8</v>
      </c>
      <c r="E527">
        <v>53.3</v>
      </c>
      <c r="G527" t="s">
        <v>1</v>
      </c>
    </row>
    <row r="528" spans="1:7" x14ac:dyDescent="0.4">
      <c r="A528" s="1">
        <v>44358</v>
      </c>
      <c r="B528">
        <v>1</v>
      </c>
      <c r="C528">
        <v>1.204709091</v>
      </c>
      <c r="D528" t="s">
        <v>8</v>
      </c>
      <c r="E528">
        <v>53.12</v>
      </c>
      <c r="G528" t="s">
        <v>1</v>
      </c>
    </row>
    <row r="529" spans="1:7" x14ac:dyDescent="0.4">
      <c r="A529" s="1">
        <v>44361</v>
      </c>
      <c r="B529">
        <v>1</v>
      </c>
      <c r="C529">
        <v>1.204709091</v>
      </c>
      <c r="D529" t="s">
        <v>8</v>
      </c>
      <c r="E529">
        <v>53.6</v>
      </c>
      <c r="F529">
        <v>51.69</v>
      </c>
      <c r="G529" t="s">
        <v>1</v>
      </c>
    </row>
    <row r="530" spans="1:7" x14ac:dyDescent="0.4">
      <c r="A530" s="1">
        <v>44362</v>
      </c>
      <c r="B530">
        <v>1</v>
      </c>
      <c r="C530">
        <v>1.204709091</v>
      </c>
      <c r="D530" t="s">
        <v>8</v>
      </c>
      <c r="E530">
        <v>51.18</v>
      </c>
      <c r="G530" t="s">
        <v>1</v>
      </c>
    </row>
    <row r="531" spans="1:7" x14ac:dyDescent="0.4">
      <c r="A531" s="1">
        <v>44363</v>
      </c>
      <c r="B531">
        <v>1</v>
      </c>
      <c r="C531">
        <v>1.204709091</v>
      </c>
      <c r="D531" t="s">
        <v>8</v>
      </c>
      <c r="E531">
        <v>50.83</v>
      </c>
      <c r="G531" t="s">
        <v>1</v>
      </c>
    </row>
    <row r="532" spans="1:7" x14ac:dyDescent="0.4">
      <c r="A532" s="1">
        <v>44364</v>
      </c>
      <c r="B532">
        <v>1</v>
      </c>
      <c r="C532">
        <v>1.204709091</v>
      </c>
      <c r="D532" t="s">
        <v>8</v>
      </c>
      <c r="E532">
        <v>50.84</v>
      </c>
      <c r="G532" t="s">
        <v>1</v>
      </c>
    </row>
    <row r="533" spans="1:7" x14ac:dyDescent="0.4">
      <c r="A533" s="1">
        <v>44365</v>
      </c>
      <c r="B533">
        <v>1</v>
      </c>
      <c r="C533">
        <v>1.204709091</v>
      </c>
      <c r="D533" t="s">
        <v>8</v>
      </c>
      <c r="E533">
        <v>51.51</v>
      </c>
      <c r="G533" t="s">
        <v>1</v>
      </c>
    </row>
    <row r="534" spans="1:7" x14ac:dyDescent="0.4">
      <c r="A534" s="1">
        <v>44368</v>
      </c>
      <c r="B534">
        <v>1</v>
      </c>
      <c r="C534">
        <v>1.204709091</v>
      </c>
      <c r="D534" t="s">
        <v>8</v>
      </c>
      <c r="E534">
        <v>52.09</v>
      </c>
      <c r="F534">
        <v>54.13</v>
      </c>
      <c r="G534" t="s">
        <v>1</v>
      </c>
    </row>
    <row r="535" spans="1:7" x14ac:dyDescent="0.4">
      <c r="A535" s="1">
        <v>44369</v>
      </c>
      <c r="B535">
        <v>1</v>
      </c>
      <c r="C535">
        <v>1.204709091</v>
      </c>
      <c r="D535" t="s">
        <v>8</v>
      </c>
      <c r="E535">
        <v>52.97</v>
      </c>
      <c r="G535" t="s">
        <v>1</v>
      </c>
    </row>
    <row r="536" spans="1:7" x14ac:dyDescent="0.4">
      <c r="A536" s="1">
        <v>44370</v>
      </c>
      <c r="B536">
        <v>1</v>
      </c>
      <c r="C536">
        <v>1.204709091</v>
      </c>
      <c r="D536" t="s">
        <v>8</v>
      </c>
      <c r="E536">
        <v>53.62</v>
      </c>
      <c r="G536" t="s">
        <v>1</v>
      </c>
    </row>
    <row r="537" spans="1:7" x14ac:dyDescent="0.4">
      <c r="A537" s="1">
        <v>44371</v>
      </c>
      <c r="B537">
        <v>1</v>
      </c>
      <c r="C537">
        <v>1.204709091</v>
      </c>
      <c r="D537" t="s">
        <v>8</v>
      </c>
      <c r="E537">
        <v>54.85</v>
      </c>
      <c r="G537" t="s">
        <v>1</v>
      </c>
    </row>
    <row r="538" spans="1:7" x14ac:dyDescent="0.4">
      <c r="A538" s="1">
        <v>44372</v>
      </c>
      <c r="B538">
        <v>1</v>
      </c>
      <c r="C538">
        <v>1.204709091</v>
      </c>
      <c r="D538" t="s">
        <v>8</v>
      </c>
      <c r="E538">
        <v>55.69</v>
      </c>
      <c r="G538" t="s">
        <v>1</v>
      </c>
    </row>
    <row r="539" spans="1:7" x14ac:dyDescent="0.4">
      <c r="A539" s="1">
        <v>44375</v>
      </c>
      <c r="B539">
        <v>1</v>
      </c>
      <c r="C539">
        <v>1.204709091</v>
      </c>
      <c r="D539" t="s">
        <v>8</v>
      </c>
      <c r="E539">
        <v>55.06</v>
      </c>
      <c r="F539">
        <v>56.5</v>
      </c>
      <c r="G539" t="s">
        <v>1</v>
      </c>
    </row>
    <row r="540" spans="1:7" x14ac:dyDescent="0.4">
      <c r="A540" s="1">
        <v>44376</v>
      </c>
      <c r="B540">
        <v>1</v>
      </c>
      <c r="C540">
        <v>1.204709091</v>
      </c>
      <c r="D540" t="s">
        <v>8</v>
      </c>
      <c r="E540">
        <v>55.39</v>
      </c>
      <c r="G540" t="s">
        <v>1</v>
      </c>
    </row>
    <row r="541" spans="1:7" x14ac:dyDescent="0.4">
      <c r="A541" s="1">
        <v>44377</v>
      </c>
      <c r="B541">
        <v>1</v>
      </c>
      <c r="C541">
        <v>1.204709091</v>
      </c>
      <c r="D541" t="s">
        <v>8</v>
      </c>
      <c r="E541">
        <v>55.57</v>
      </c>
      <c r="G541" t="s">
        <v>1</v>
      </c>
    </row>
    <row r="542" spans="1:7" x14ac:dyDescent="0.4">
      <c r="A542" s="1">
        <v>44378</v>
      </c>
      <c r="B542">
        <v>1</v>
      </c>
      <c r="C542">
        <v>1.1821818180000001</v>
      </c>
      <c r="D542" t="s">
        <v>8</v>
      </c>
      <c r="E542">
        <v>58.01</v>
      </c>
      <c r="G542" t="s">
        <v>1</v>
      </c>
    </row>
    <row r="543" spans="1:7" x14ac:dyDescent="0.4">
      <c r="A543" s="1">
        <v>44379</v>
      </c>
      <c r="B543">
        <v>1</v>
      </c>
      <c r="C543">
        <v>1.1821818180000001</v>
      </c>
      <c r="D543" t="s">
        <v>8</v>
      </c>
      <c r="E543">
        <v>57.11</v>
      </c>
      <c r="G543" t="s">
        <v>1</v>
      </c>
    </row>
    <row r="544" spans="1:7" x14ac:dyDescent="0.4">
      <c r="A544" s="1">
        <v>44382</v>
      </c>
      <c r="B544">
        <v>1</v>
      </c>
      <c r="C544">
        <v>1.1821818180000001</v>
      </c>
      <c r="D544" t="s">
        <v>8</v>
      </c>
      <c r="E544">
        <v>57.91</v>
      </c>
      <c r="F544">
        <v>54.22</v>
      </c>
      <c r="G544" t="s">
        <v>1</v>
      </c>
    </row>
    <row r="545" spans="1:7" x14ac:dyDescent="0.4">
      <c r="A545" s="1">
        <v>44383</v>
      </c>
      <c r="B545">
        <v>1</v>
      </c>
      <c r="C545">
        <v>1.1821818180000001</v>
      </c>
      <c r="D545" t="s">
        <v>8</v>
      </c>
      <c r="E545">
        <v>57.15</v>
      </c>
      <c r="G545" t="s">
        <v>1</v>
      </c>
    </row>
    <row r="546" spans="1:7" x14ac:dyDescent="0.4">
      <c r="A546" s="1">
        <v>44384</v>
      </c>
      <c r="B546">
        <v>1</v>
      </c>
      <c r="C546">
        <v>1.1821818180000001</v>
      </c>
      <c r="D546" t="s">
        <v>8</v>
      </c>
      <c r="E546">
        <v>53.15</v>
      </c>
      <c r="G546" t="s">
        <v>1</v>
      </c>
    </row>
    <row r="547" spans="1:7" x14ac:dyDescent="0.4">
      <c r="A547" s="1">
        <v>44385</v>
      </c>
      <c r="B547">
        <v>1</v>
      </c>
      <c r="C547">
        <v>1.1821818180000001</v>
      </c>
      <c r="D547" t="s">
        <v>8</v>
      </c>
      <c r="E547">
        <v>51.09</v>
      </c>
      <c r="G547" t="s">
        <v>1</v>
      </c>
    </row>
    <row r="548" spans="1:7" x14ac:dyDescent="0.4">
      <c r="A548" s="1">
        <v>44386</v>
      </c>
      <c r="B548">
        <v>1</v>
      </c>
      <c r="C548">
        <v>1.1821818180000001</v>
      </c>
      <c r="D548" t="s">
        <v>8</v>
      </c>
      <c r="E548">
        <v>53.85</v>
      </c>
      <c r="G548" t="s">
        <v>1</v>
      </c>
    </row>
    <row r="549" spans="1:7" x14ac:dyDescent="0.4">
      <c r="A549" s="1">
        <v>44389</v>
      </c>
      <c r="B549">
        <v>1</v>
      </c>
      <c r="C549">
        <v>1.1821818180000001</v>
      </c>
      <c r="D549" t="s">
        <v>8</v>
      </c>
      <c r="E549">
        <v>52.5</v>
      </c>
      <c r="F549">
        <v>52.76</v>
      </c>
      <c r="G549" t="s">
        <v>1</v>
      </c>
    </row>
    <row r="550" spans="1:7" x14ac:dyDescent="0.4">
      <c r="A550" s="1">
        <v>44390</v>
      </c>
      <c r="B550">
        <v>1</v>
      </c>
      <c r="C550">
        <v>1.1821818180000001</v>
      </c>
      <c r="D550" t="s">
        <v>8</v>
      </c>
      <c r="E550">
        <v>52.44</v>
      </c>
      <c r="G550" t="s">
        <v>1</v>
      </c>
    </row>
    <row r="551" spans="1:7" x14ac:dyDescent="0.4">
      <c r="A551" s="1">
        <v>44391</v>
      </c>
      <c r="B551">
        <v>1</v>
      </c>
      <c r="C551">
        <v>1.1821818180000001</v>
      </c>
      <c r="D551" t="s">
        <v>8</v>
      </c>
      <c r="E551">
        <v>52</v>
      </c>
      <c r="G551" t="s">
        <v>1</v>
      </c>
    </row>
    <row r="552" spans="1:7" x14ac:dyDescent="0.4">
      <c r="A552" s="1">
        <v>44392</v>
      </c>
      <c r="B552">
        <v>1</v>
      </c>
      <c r="C552">
        <v>1.1821818180000001</v>
      </c>
      <c r="D552" t="s">
        <v>8</v>
      </c>
      <c r="E552">
        <v>52.28</v>
      </c>
      <c r="G552" t="s">
        <v>1</v>
      </c>
    </row>
    <row r="553" spans="1:7" x14ac:dyDescent="0.4">
      <c r="A553" s="1">
        <v>44393</v>
      </c>
      <c r="B553">
        <v>1</v>
      </c>
      <c r="C553">
        <v>1.1821818180000001</v>
      </c>
      <c r="D553" t="s">
        <v>8</v>
      </c>
      <c r="E553">
        <v>53.33</v>
      </c>
      <c r="G553" t="s">
        <v>1</v>
      </c>
    </row>
    <row r="554" spans="1:7" x14ac:dyDescent="0.4">
      <c r="A554" s="1">
        <v>44396</v>
      </c>
      <c r="B554">
        <v>1</v>
      </c>
      <c r="C554">
        <v>1.1821818180000001</v>
      </c>
      <c r="D554" t="s">
        <v>8</v>
      </c>
      <c r="E554">
        <v>53.55</v>
      </c>
      <c r="F554">
        <v>51.49</v>
      </c>
      <c r="G554" t="s">
        <v>1</v>
      </c>
    </row>
    <row r="555" spans="1:7" x14ac:dyDescent="0.4">
      <c r="A555" s="1">
        <v>44397</v>
      </c>
      <c r="B555">
        <v>1</v>
      </c>
      <c r="C555">
        <v>1.1821818180000001</v>
      </c>
      <c r="D555" t="s">
        <v>8</v>
      </c>
      <c r="E555">
        <v>51.74</v>
      </c>
      <c r="G555" t="s">
        <v>1</v>
      </c>
    </row>
    <row r="556" spans="1:7" x14ac:dyDescent="0.4">
      <c r="A556" s="1">
        <v>44398</v>
      </c>
      <c r="B556">
        <v>1</v>
      </c>
      <c r="C556">
        <v>1.1821818180000001</v>
      </c>
      <c r="D556" t="s">
        <v>8</v>
      </c>
      <c r="E556">
        <v>51.7</v>
      </c>
      <c r="G556" t="s">
        <v>1</v>
      </c>
    </row>
    <row r="557" spans="1:7" x14ac:dyDescent="0.4">
      <c r="A557" s="1">
        <v>44399</v>
      </c>
      <c r="B557">
        <v>1</v>
      </c>
      <c r="C557">
        <v>1.1821818180000001</v>
      </c>
      <c r="D557" t="s">
        <v>8</v>
      </c>
      <c r="E557">
        <v>51.44</v>
      </c>
      <c r="G557" t="s">
        <v>1</v>
      </c>
    </row>
    <row r="558" spans="1:7" x14ac:dyDescent="0.4">
      <c r="A558" s="1">
        <v>44400</v>
      </c>
      <c r="B558">
        <v>1</v>
      </c>
      <c r="C558">
        <v>1.1821818180000001</v>
      </c>
      <c r="D558" t="s">
        <v>8</v>
      </c>
      <c r="E558">
        <v>50.13</v>
      </c>
      <c r="G558" t="s">
        <v>1</v>
      </c>
    </row>
    <row r="559" spans="1:7" x14ac:dyDescent="0.4">
      <c r="A559" s="1">
        <v>44403</v>
      </c>
      <c r="B559">
        <v>1</v>
      </c>
      <c r="C559">
        <v>1.1821818180000001</v>
      </c>
      <c r="D559" t="s">
        <v>8</v>
      </c>
      <c r="E559">
        <v>51.79</v>
      </c>
      <c r="F559">
        <v>53.47</v>
      </c>
      <c r="G559" t="s">
        <v>1</v>
      </c>
    </row>
    <row r="560" spans="1:7" x14ac:dyDescent="0.4">
      <c r="A560" s="1">
        <v>44404</v>
      </c>
      <c r="B560">
        <v>1</v>
      </c>
      <c r="C560">
        <v>1.1821818180000001</v>
      </c>
      <c r="D560" t="s">
        <v>8</v>
      </c>
      <c r="E560">
        <v>52.8</v>
      </c>
      <c r="G560" t="s">
        <v>1</v>
      </c>
    </row>
    <row r="561" spans="1:7" x14ac:dyDescent="0.4">
      <c r="A561" s="1">
        <v>44405</v>
      </c>
      <c r="B561">
        <v>1</v>
      </c>
      <c r="C561">
        <v>1.1821818180000001</v>
      </c>
      <c r="D561" t="s">
        <v>8</v>
      </c>
      <c r="E561">
        <v>53.45</v>
      </c>
      <c r="G561" t="s">
        <v>1</v>
      </c>
    </row>
    <row r="562" spans="1:7" x14ac:dyDescent="0.4">
      <c r="A562" s="1">
        <v>44406</v>
      </c>
      <c r="B562">
        <v>1</v>
      </c>
      <c r="C562">
        <v>1.1821818180000001</v>
      </c>
      <c r="D562" t="s">
        <v>8</v>
      </c>
      <c r="E562">
        <v>54.02</v>
      </c>
      <c r="G562" t="s">
        <v>1</v>
      </c>
    </row>
    <row r="563" spans="1:7" x14ac:dyDescent="0.4">
      <c r="A563" s="1">
        <v>44407</v>
      </c>
      <c r="B563">
        <v>1</v>
      </c>
      <c r="C563">
        <v>1.1821818180000001</v>
      </c>
      <c r="D563" t="s">
        <v>8</v>
      </c>
      <c r="E563">
        <v>53</v>
      </c>
      <c r="G563" t="s">
        <v>1</v>
      </c>
    </row>
    <row r="564" spans="1:7" x14ac:dyDescent="0.4">
      <c r="A564" s="1">
        <v>44410</v>
      </c>
      <c r="B564">
        <v>1</v>
      </c>
      <c r="C564">
        <v>1.177181818</v>
      </c>
      <c r="D564" t="s">
        <v>8</v>
      </c>
      <c r="E564">
        <v>54.6</v>
      </c>
      <c r="F564">
        <v>55.34</v>
      </c>
      <c r="G564" t="s">
        <v>1</v>
      </c>
    </row>
    <row r="565" spans="1:7" x14ac:dyDescent="0.4">
      <c r="A565" s="1">
        <v>44411</v>
      </c>
      <c r="B565">
        <v>1</v>
      </c>
      <c r="C565">
        <v>1.177181818</v>
      </c>
      <c r="D565" t="s">
        <v>8</v>
      </c>
      <c r="E565">
        <v>54.17</v>
      </c>
      <c r="G565" t="s">
        <v>1</v>
      </c>
    </row>
    <row r="566" spans="1:7" x14ac:dyDescent="0.4">
      <c r="A566" s="1">
        <v>44412</v>
      </c>
      <c r="B566">
        <v>1</v>
      </c>
      <c r="C566">
        <v>1.177181818</v>
      </c>
      <c r="D566" t="s">
        <v>8</v>
      </c>
      <c r="E566">
        <v>55</v>
      </c>
      <c r="G566" t="s">
        <v>1</v>
      </c>
    </row>
    <row r="567" spans="1:7" x14ac:dyDescent="0.4">
      <c r="A567" s="1">
        <v>44413</v>
      </c>
      <c r="B567">
        <v>1</v>
      </c>
      <c r="C567">
        <v>1.177181818</v>
      </c>
      <c r="D567" t="s">
        <v>8</v>
      </c>
      <c r="E567">
        <v>54.84</v>
      </c>
      <c r="G567" t="s">
        <v>1</v>
      </c>
    </row>
    <row r="568" spans="1:7" x14ac:dyDescent="0.4">
      <c r="A568" s="1">
        <v>44414</v>
      </c>
      <c r="B568">
        <v>1</v>
      </c>
      <c r="C568">
        <v>1.177181818</v>
      </c>
      <c r="D568" t="s">
        <v>8</v>
      </c>
      <c r="E568">
        <v>56.72</v>
      </c>
      <c r="G568" t="s">
        <v>1</v>
      </c>
    </row>
    <row r="569" spans="1:7" x14ac:dyDescent="0.4">
      <c r="A569" s="1">
        <v>44417</v>
      </c>
      <c r="B569">
        <v>1</v>
      </c>
      <c r="C569">
        <v>1.177181818</v>
      </c>
      <c r="D569" t="s">
        <v>8</v>
      </c>
      <c r="E569">
        <v>56</v>
      </c>
      <c r="F569">
        <v>56.69</v>
      </c>
      <c r="G569" t="s">
        <v>1</v>
      </c>
    </row>
    <row r="570" spans="1:7" x14ac:dyDescent="0.4">
      <c r="A570" s="1">
        <v>44418</v>
      </c>
      <c r="B570">
        <v>1</v>
      </c>
      <c r="C570">
        <v>1.177181818</v>
      </c>
      <c r="D570" t="s">
        <v>8</v>
      </c>
      <c r="E570">
        <v>57.1</v>
      </c>
      <c r="G570" t="s">
        <v>1</v>
      </c>
    </row>
    <row r="571" spans="1:7" x14ac:dyDescent="0.4">
      <c r="A571" s="1">
        <v>44419</v>
      </c>
      <c r="B571">
        <v>1</v>
      </c>
      <c r="C571">
        <v>1.177181818</v>
      </c>
      <c r="D571" t="s">
        <v>8</v>
      </c>
      <c r="E571">
        <v>56.69</v>
      </c>
      <c r="G571" t="s">
        <v>1</v>
      </c>
    </row>
    <row r="572" spans="1:7" x14ac:dyDescent="0.4">
      <c r="A572" s="1">
        <v>44420</v>
      </c>
      <c r="B572">
        <v>1</v>
      </c>
      <c r="C572">
        <v>1.177181818</v>
      </c>
      <c r="D572" t="s">
        <v>8</v>
      </c>
      <c r="E572">
        <v>57.36</v>
      </c>
      <c r="G572" t="s">
        <v>1</v>
      </c>
    </row>
    <row r="573" spans="1:7" x14ac:dyDescent="0.4">
      <c r="A573" s="1">
        <v>44421</v>
      </c>
      <c r="B573">
        <v>1</v>
      </c>
      <c r="C573">
        <v>1.177181818</v>
      </c>
      <c r="D573" t="s">
        <v>8</v>
      </c>
      <c r="E573">
        <v>55.6</v>
      </c>
      <c r="G573" t="s">
        <v>1</v>
      </c>
    </row>
    <row r="574" spans="1:7" x14ac:dyDescent="0.4">
      <c r="A574" s="1">
        <v>44424</v>
      </c>
      <c r="B574">
        <v>1</v>
      </c>
      <c r="C574">
        <v>1.177181818</v>
      </c>
      <c r="D574" t="s">
        <v>8</v>
      </c>
      <c r="E574">
        <v>57.18</v>
      </c>
      <c r="F574">
        <v>56.08</v>
      </c>
      <c r="G574" t="s">
        <v>1</v>
      </c>
    </row>
    <row r="575" spans="1:7" x14ac:dyDescent="0.4">
      <c r="A575" s="1">
        <v>44425</v>
      </c>
      <c r="B575">
        <v>1</v>
      </c>
      <c r="C575">
        <v>1.177181818</v>
      </c>
      <c r="D575" t="s">
        <v>8</v>
      </c>
      <c r="E575">
        <v>57.4</v>
      </c>
      <c r="G575" t="s">
        <v>1</v>
      </c>
    </row>
    <row r="576" spans="1:7" x14ac:dyDescent="0.4">
      <c r="A576" s="1">
        <v>44426</v>
      </c>
      <c r="B576">
        <v>1</v>
      </c>
      <c r="C576">
        <v>1.177181818</v>
      </c>
      <c r="D576" t="s">
        <v>8</v>
      </c>
      <c r="E576">
        <v>57.7</v>
      </c>
      <c r="G576" t="s">
        <v>1</v>
      </c>
    </row>
    <row r="577" spans="1:7" x14ac:dyDescent="0.4">
      <c r="A577" s="1">
        <v>44427</v>
      </c>
      <c r="B577">
        <v>1</v>
      </c>
      <c r="C577">
        <v>1.177181818</v>
      </c>
      <c r="D577" t="s">
        <v>8</v>
      </c>
      <c r="E577">
        <v>55.81</v>
      </c>
      <c r="G577" t="s">
        <v>1</v>
      </c>
    </row>
    <row r="578" spans="1:7" x14ac:dyDescent="0.4">
      <c r="A578" s="1">
        <v>44428</v>
      </c>
      <c r="B578">
        <v>1</v>
      </c>
      <c r="C578">
        <v>1.177181818</v>
      </c>
      <c r="D578" t="s">
        <v>8</v>
      </c>
      <c r="E578">
        <v>54.4</v>
      </c>
      <c r="G578" t="s">
        <v>1</v>
      </c>
    </row>
    <row r="579" spans="1:7" x14ac:dyDescent="0.4">
      <c r="A579" s="1">
        <v>44431</v>
      </c>
      <c r="B579">
        <v>1</v>
      </c>
      <c r="C579">
        <v>1.177181818</v>
      </c>
      <c r="D579" t="s">
        <v>8</v>
      </c>
      <c r="E579">
        <v>55.95</v>
      </c>
      <c r="F579">
        <v>56.88</v>
      </c>
      <c r="G579" t="s">
        <v>1</v>
      </c>
    </row>
    <row r="580" spans="1:7" x14ac:dyDescent="0.4">
      <c r="A580" s="1">
        <v>44432</v>
      </c>
      <c r="B580">
        <v>1</v>
      </c>
      <c r="C580">
        <v>1.177181818</v>
      </c>
      <c r="D580" t="s">
        <v>8</v>
      </c>
      <c r="E580">
        <v>55.72</v>
      </c>
      <c r="G580" t="s">
        <v>1</v>
      </c>
    </row>
    <row r="581" spans="1:7" x14ac:dyDescent="0.4">
      <c r="A581" s="1">
        <v>44433</v>
      </c>
      <c r="B581">
        <v>1</v>
      </c>
      <c r="C581">
        <v>1.177181818</v>
      </c>
      <c r="D581" t="s">
        <v>8</v>
      </c>
      <c r="E581">
        <v>56.63</v>
      </c>
      <c r="G581" t="s">
        <v>1</v>
      </c>
    </row>
    <row r="582" spans="1:7" x14ac:dyDescent="0.4">
      <c r="A582" s="1">
        <v>44434</v>
      </c>
      <c r="B582">
        <v>1</v>
      </c>
      <c r="C582">
        <v>1.177181818</v>
      </c>
      <c r="D582" t="s">
        <v>8</v>
      </c>
      <c r="E582">
        <v>55.61</v>
      </c>
      <c r="G582" t="s">
        <v>1</v>
      </c>
    </row>
    <row r="583" spans="1:7" x14ac:dyDescent="0.4">
      <c r="A583" s="1">
        <v>44435</v>
      </c>
      <c r="B583">
        <v>1</v>
      </c>
      <c r="C583">
        <v>1.177181818</v>
      </c>
      <c r="D583" t="s">
        <v>8</v>
      </c>
      <c r="E583">
        <v>57.51</v>
      </c>
      <c r="G583" t="s">
        <v>1</v>
      </c>
    </row>
    <row r="584" spans="1:7" x14ac:dyDescent="0.4">
      <c r="A584" s="1">
        <v>44438</v>
      </c>
      <c r="B584">
        <v>1</v>
      </c>
      <c r="C584">
        <v>1.177181818</v>
      </c>
      <c r="D584" t="s">
        <v>8</v>
      </c>
      <c r="F584">
        <v>60.9</v>
      </c>
      <c r="G584" t="s">
        <v>1</v>
      </c>
    </row>
    <row r="585" spans="1:7" x14ac:dyDescent="0.4">
      <c r="A585" s="1">
        <v>44439</v>
      </c>
      <c r="B585">
        <v>1</v>
      </c>
      <c r="C585">
        <v>1.177181818</v>
      </c>
      <c r="D585" t="s">
        <v>8</v>
      </c>
      <c r="E585">
        <v>60.11</v>
      </c>
      <c r="G585" t="s">
        <v>1</v>
      </c>
    </row>
    <row r="586" spans="1:7" x14ac:dyDescent="0.4">
      <c r="A586" s="1">
        <v>44440</v>
      </c>
      <c r="B586">
        <v>1</v>
      </c>
      <c r="C586">
        <v>1.1770318179999999</v>
      </c>
      <c r="D586" t="s">
        <v>8</v>
      </c>
      <c r="E586">
        <v>61.29</v>
      </c>
      <c r="G586" t="s">
        <v>1</v>
      </c>
    </row>
    <row r="587" spans="1:7" x14ac:dyDescent="0.4">
      <c r="A587" s="1">
        <v>44442</v>
      </c>
      <c r="B587">
        <v>1</v>
      </c>
      <c r="C587">
        <v>1.1770318179999999</v>
      </c>
      <c r="D587" t="s">
        <v>8</v>
      </c>
      <c r="E587">
        <v>61.25</v>
      </c>
      <c r="G587" t="s">
        <v>1</v>
      </c>
    </row>
    <row r="588" spans="1:7" x14ac:dyDescent="0.4">
      <c r="A588" s="1">
        <v>44445</v>
      </c>
      <c r="B588">
        <v>1</v>
      </c>
      <c r="C588">
        <v>1.1770318179999999</v>
      </c>
      <c r="D588" t="s">
        <v>8</v>
      </c>
      <c r="E588">
        <v>62.87</v>
      </c>
      <c r="F588">
        <v>62.08</v>
      </c>
      <c r="G588" t="s">
        <v>1</v>
      </c>
    </row>
    <row r="589" spans="1:7" x14ac:dyDescent="0.4">
      <c r="A589" s="1">
        <v>44446</v>
      </c>
      <c r="B589">
        <v>1</v>
      </c>
      <c r="C589">
        <v>1.1770318179999999</v>
      </c>
      <c r="D589" t="s">
        <v>8</v>
      </c>
      <c r="E589">
        <v>61.71</v>
      </c>
      <c r="G589" t="s">
        <v>1</v>
      </c>
    </row>
    <row r="590" spans="1:7" x14ac:dyDescent="0.4">
      <c r="A590" s="1">
        <v>44447</v>
      </c>
      <c r="B590">
        <v>1</v>
      </c>
      <c r="C590">
        <v>1.1770318179999999</v>
      </c>
      <c r="D590" t="s">
        <v>8</v>
      </c>
      <c r="E590">
        <v>61.93</v>
      </c>
      <c r="G590" t="s">
        <v>1</v>
      </c>
    </row>
    <row r="591" spans="1:7" x14ac:dyDescent="0.4">
      <c r="A591" s="1">
        <v>44448</v>
      </c>
      <c r="B591">
        <v>1</v>
      </c>
      <c r="C591">
        <v>1.1770318179999999</v>
      </c>
      <c r="D591" t="s">
        <v>8</v>
      </c>
      <c r="E591">
        <v>61.98</v>
      </c>
      <c r="G591" t="s">
        <v>1</v>
      </c>
    </row>
    <row r="592" spans="1:7" x14ac:dyDescent="0.4">
      <c r="A592" s="1">
        <v>44449</v>
      </c>
      <c r="B592">
        <v>1</v>
      </c>
      <c r="C592">
        <v>1.1770318179999999</v>
      </c>
      <c r="D592" t="s">
        <v>8</v>
      </c>
      <c r="E592">
        <v>61.85</v>
      </c>
      <c r="G592" t="s">
        <v>1</v>
      </c>
    </row>
    <row r="593" spans="1:7" x14ac:dyDescent="0.4">
      <c r="A593" s="1">
        <v>44452</v>
      </c>
      <c r="B593">
        <v>1</v>
      </c>
      <c r="C593">
        <v>1.1770318179999999</v>
      </c>
      <c r="D593" t="s">
        <v>8</v>
      </c>
      <c r="E593">
        <v>61.91</v>
      </c>
      <c r="F593">
        <v>59.91</v>
      </c>
      <c r="G593" t="s">
        <v>1</v>
      </c>
    </row>
    <row r="594" spans="1:7" x14ac:dyDescent="0.4">
      <c r="A594" s="1">
        <v>44453</v>
      </c>
      <c r="B594">
        <v>1</v>
      </c>
      <c r="C594">
        <v>1.1770318179999999</v>
      </c>
      <c r="D594" t="s">
        <v>8</v>
      </c>
      <c r="E594">
        <v>61.51</v>
      </c>
      <c r="G594" t="s">
        <v>1</v>
      </c>
    </row>
    <row r="595" spans="1:7" x14ac:dyDescent="0.4">
      <c r="A595" s="1">
        <v>44454</v>
      </c>
      <c r="B595">
        <v>1</v>
      </c>
      <c r="C595">
        <v>1.1770318179999999</v>
      </c>
      <c r="D595" t="s">
        <v>8</v>
      </c>
      <c r="E595">
        <v>60</v>
      </c>
      <c r="G595" t="s">
        <v>1</v>
      </c>
    </row>
    <row r="596" spans="1:7" x14ac:dyDescent="0.4">
      <c r="A596" s="1">
        <v>44455</v>
      </c>
      <c r="B596">
        <v>1</v>
      </c>
      <c r="C596">
        <v>1.1770318179999999</v>
      </c>
      <c r="D596" t="s">
        <v>8</v>
      </c>
      <c r="E596">
        <v>59.89</v>
      </c>
      <c r="G596" t="s">
        <v>1</v>
      </c>
    </row>
    <row r="597" spans="1:7" x14ac:dyDescent="0.4">
      <c r="A597" s="1">
        <v>44456</v>
      </c>
      <c r="B597">
        <v>1</v>
      </c>
      <c r="C597">
        <v>1.1770318179999999</v>
      </c>
      <c r="D597" t="s">
        <v>8</v>
      </c>
      <c r="E597">
        <v>59.6</v>
      </c>
      <c r="G597" t="s">
        <v>1</v>
      </c>
    </row>
    <row r="598" spans="1:7" x14ac:dyDescent="0.4">
      <c r="A598" s="1">
        <v>44459</v>
      </c>
      <c r="B598">
        <v>1</v>
      </c>
      <c r="C598">
        <v>1.1770318179999999</v>
      </c>
      <c r="D598" t="s">
        <v>8</v>
      </c>
      <c r="E598">
        <v>58.56</v>
      </c>
      <c r="F598">
        <v>60.98</v>
      </c>
      <c r="G598" t="s">
        <v>1</v>
      </c>
    </row>
    <row r="599" spans="1:7" x14ac:dyDescent="0.4">
      <c r="A599" s="1">
        <v>44460</v>
      </c>
      <c r="B599">
        <v>1</v>
      </c>
      <c r="C599">
        <v>1.1770318179999999</v>
      </c>
      <c r="D599" t="s">
        <v>8</v>
      </c>
      <c r="E599">
        <v>60.31</v>
      </c>
      <c r="G599" t="s">
        <v>1</v>
      </c>
    </row>
    <row r="600" spans="1:7" x14ac:dyDescent="0.4">
      <c r="A600" s="1">
        <v>44461</v>
      </c>
      <c r="B600">
        <v>1</v>
      </c>
      <c r="C600">
        <v>1.1770318179999999</v>
      </c>
      <c r="D600" t="s">
        <v>8</v>
      </c>
      <c r="E600">
        <v>60.02</v>
      </c>
      <c r="G600" t="s">
        <v>1</v>
      </c>
    </row>
    <row r="601" spans="1:7" x14ac:dyDescent="0.4">
      <c r="A601" s="1">
        <v>44462</v>
      </c>
      <c r="B601">
        <v>1</v>
      </c>
      <c r="C601">
        <v>1.1770318179999999</v>
      </c>
      <c r="D601" t="s">
        <v>8</v>
      </c>
      <c r="E601">
        <v>59.45</v>
      </c>
      <c r="G601" t="s">
        <v>1</v>
      </c>
    </row>
    <row r="602" spans="1:7" x14ac:dyDescent="0.4">
      <c r="A602" s="1">
        <v>44463</v>
      </c>
      <c r="B602">
        <v>1</v>
      </c>
      <c r="C602">
        <v>1.1770318179999999</v>
      </c>
      <c r="D602" t="s">
        <v>8</v>
      </c>
      <c r="E602">
        <v>61.24</v>
      </c>
      <c r="G602" t="s">
        <v>1</v>
      </c>
    </row>
    <row r="603" spans="1:7" x14ac:dyDescent="0.4">
      <c r="A603" s="1">
        <v>44466</v>
      </c>
      <c r="B603">
        <v>1</v>
      </c>
      <c r="C603">
        <v>1.1770318179999999</v>
      </c>
      <c r="D603" t="s">
        <v>8</v>
      </c>
      <c r="E603">
        <v>64</v>
      </c>
      <c r="F603">
        <v>62.59</v>
      </c>
      <c r="G603" t="s">
        <v>1</v>
      </c>
    </row>
    <row r="604" spans="1:7" x14ac:dyDescent="0.4">
      <c r="A604" s="1">
        <v>44467</v>
      </c>
      <c r="B604">
        <v>1</v>
      </c>
      <c r="C604">
        <v>1.1770318179999999</v>
      </c>
      <c r="D604" t="s">
        <v>8</v>
      </c>
      <c r="E604">
        <v>65</v>
      </c>
      <c r="G604" t="s">
        <v>1</v>
      </c>
    </row>
    <row r="605" spans="1:7" x14ac:dyDescent="0.4">
      <c r="A605" s="1">
        <v>44468</v>
      </c>
      <c r="B605">
        <v>1</v>
      </c>
      <c r="C605">
        <v>1.1770318179999999</v>
      </c>
      <c r="D605" t="s">
        <v>8</v>
      </c>
      <c r="E605">
        <v>61.83</v>
      </c>
      <c r="G605" t="s">
        <v>1</v>
      </c>
    </row>
    <row r="606" spans="1:7" x14ac:dyDescent="0.4">
      <c r="A606" s="1">
        <v>44469</v>
      </c>
      <c r="B606">
        <v>1</v>
      </c>
      <c r="C606">
        <v>1.1770318179999999</v>
      </c>
      <c r="D606" t="s">
        <v>8</v>
      </c>
      <c r="E606">
        <v>61.37</v>
      </c>
      <c r="G606" t="s">
        <v>1</v>
      </c>
    </row>
    <row r="607" spans="1:7" x14ac:dyDescent="0.4">
      <c r="A607" s="1">
        <v>44470</v>
      </c>
      <c r="B607">
        <v>1</v>
      </c>
      <c r="C607">
        <v>1.160147619</v>
      </c>
      <c r="D607" t="s">
        <v>8</v>
      </c>
      <c r="E607">
        <v>62.04</v>
      </c>
      <c r="G607" t="s">
        <v>1</v>
      </c>
    </row>
    <row r="608" spans="1:7" x14ac:dyDescent="0.4">
      <c r="A608" s="1">
        <v>44473</v>
      </c>
      <c r="B608">
        <v>1</v>
      </c>
      <c r="C608">
        <v>1.160147619</v>
      </c>
      <c r="D608" t="s">
        <v>8</v>
      </c>
      <c r="E608">
        <v>63.56</v>
      </c>
      <c r="F608">
        <v>61.19</v>
      </c>
      <c r="G608" t="s">
        <v>1</v>
      </c>
    </row>
    <row r="609" spans="1:7" x14ac:dyDescent="0.4">
      <c r="A609" s="1">
        <v>44474</v>
      </c>
      <c r="B609">
        <v>1</v>
      </c>
      <c r="C609">
        <v>1.160147619</v>
      </c>
      <c r="D609" t="s">
        <v>8</v>
      </c>
      <c r="E609">
        <v>63.66</v>
      </c>
      <c r="G609" t="s">
        <v>1</v>
      </c>
    </row>
    <row r="610" spans="1:7" x14ac:dyDescent="0.4">
      <c r="A610" s="1">
        <v>44475</v>
      </c>
      <c r="B610">
        <v>1</v>
      </c>
      <c r="C610">
        <v>1.160147619</v>
      </c>
      <c r="D610" t="s">
        <v>8</v>
      </c>
      <c r="E610">
        <v>61.36</v>
      </c>
      <c r="G610" t="s">
        <v>1</v>
      </c>
    </row>
    <row r="611" spans="1:7" x14ac:dyDescent="0.4">
      <c r="A611" s="1">
        <v>44476</v>
      </c>
      <c r="B611">
        <v>1</v>
      </c>
      <c r="C611">
        <v>1.160147619</v>
      </c>
      <c r="D611" t="s">
        <v>8</v>
      </c>
      <c r="E611">
        <v>58.99</v>
      </c>
      <c r="G611" t="s">
        <v>1</v>
      </c>
    </row>
    <row r="612" spans="1:7" x14ac:dyDescent="0.4">
      <c r="A612" s="1">
        <v>44477</v>
      </c>
      <c r="B612">
        <v>1</v>
      </c>
      <c r="C612">
        <v>1.160147619</v>
      </c>
      <c r="D612" t="s">
        <v>8</v>
      </c>
      <c r="E612">
        <v>59.92</v>
      </c>
      <c r="G612" t="s">
        <v>1</v>
      </c>
    </row>
    <row r="613" spans="1:7" x14ac:dyDescent="0.4">
      <c r="A613" s="1">
        <v>44480</v>
      </c>
      <c r="B613">
        <v>1</v>
      </c>
      <c r="C613">
        <v>1.160147619</v>
      </c>
      <c r="D613" t="s">
        <v>8</v>
      </c>
      <c r="E613">
        <v>59.33</v>
      </c>
      <c r="F613">
        <v>59.61</v>
      </c>
      <c r="G613" t="s">
        <v>1</v>
      </c>
    </row>
    <row r="614" spans="1:7" x14ac:dyDescent="0.4">
      <c r="A614" s="1">
        <v>44481</v>
      </c>
      <c r="B614">
        <v>1</v>
      </c>
      <c r="C614">
        <v>1.160147619</v>
      </c>
      <c r="D614" t="s">
        <v>8</v>
      </c>
      <c r="E614">
        <v>58.86</v>
      </c>
      <c r="G614" t="s">
        <v>1</v>
      </c>
    </row>
    <row r="615" spans="1:7" x14ac:dyDescent="0.4">
      <c r="A615" s="1">
        <v>44482</v>
      </c>
      <c r="B615">
        <v>1</v>
      </c>
      <c r="C615">
        <v>1.160147619</v>
      </c>
      <c r="D615" t="s">
        <v>8</v>
      </c>
      <c r="E615">
        <v>58.75</v>
      </c>
      <c r="G615" t="s">
        <v>1</v>
      </c>
    </row>
    <row r="616" spans="1:7" x14ac:dyDescent="0.4">
      <c r="A616" s="1">
        <v>44483</v>
      </c>
      <c r="B616">
        <v>1</v>
      </c>
      <c r="C616">
        <v>1.160147619</v>
      </c>
      <c r="D616" t="s">
        <v>8</v>
      </c>
      <c r="E616">
        <v>59.43</v>
      </c>
      <c r="G616" t="s">
        <v>1</v>
      </c>
    </row>
    <row r="617" spans="1:7" x14ac:dyDescent="0.4">
      <c r="A617" s="1">
        <v>44484</v>
      </c>
      <c r="B617">
        <v>1</v>
      </c>
      <c r="C617">
        <v>1.160147619</v>
      </c>
      <c r="D617" t="s">
        <v>8</v>
      </c>
      <c r="E617">
        <v>61.01</v>
      </c>
      <c r="G617" t="s">
        <v>1</v>
      </c>
    </row>
    <row r="618" spans="1:7" x14ac:dyDescent="0.4">
      <c r="A618" s="1">
        <v>44487</v>
      </c>
      <c r="B618">
        <v>1</v>
      </c>
      <c r="C618">
        <v>1.160147619</v>
      </c>
      <c r="D618" t="s">
        <v>8</v>
      </c>
      <c r="E618">
        <v>58.85</v>
      </c>
      <c r="F618">
        <v>57.43</v>
      </c>
      <c r="G618" t="s">
        <v>1</v>
      </c>
    </row>
    <row r="619" spans="1:7" x14ac:dyDescent="0.4">
      <c r="A619" s="1">
        <v>44488</v>
      </c>
      <c r="B619">
        <v>1</v>
      </c>
      <c r="C619">
        <v>1.160147619</v>
      </c>
      <c r="D619" t="s">
        <v>8</v>
      </c>
      <c r="E619">
        <v>57.58</v>
      </c>
      <c r="G619" t="s">
        <v>1</v>
      </c>
    </row>
    <row r="620" spans="1:7" x14ac:dyDescent="0.4">
      <c r="A620" s="1">
        <v>44489</v>
      </c>
      <c r="B620">
        <v>1</v>
      </c>
      <c r="C620">
        <v>1.160147619</v>
      </c>
      <c r="D620" t="s">
        <v>8</v>
      </c>
      <c r="E620">
        <v>56</v>
      </c>
      <c r="G620" t="s">
        <v>1</v>
      </c>
    </row>
    <row r="621" spans="1:7" x14ac:dyDescent="0.4">
      <c r="A621" s="1">
        <v>44490</v>
      </c>
      <c r="B621">
        <v>1</v>
      </c>
      <c r="C621">
        <v>1.160147619</v>
      </c>
      <c r="D621" t="s">
        <v>8</v>
      </c>
      <c r="E621">
        <v>57.1</v>
      </c>
      <c r="G621" t="s">
        <v>1</v>
      </c>
    </row>
    <row r="622" spans="1:7" x14ac:dyDescent="0.4">
      <c r="A622" s="1">
        <v>44491</v>
      </c>
      <c r="B622">
        <v>1</v>
      </c>
      <c r="C622">
        <v>1.160147619</v>
      </c>
      <c r="D622" t="s">
        <v>8</v>
      </c>
      <c r="E622">
        <v>59.5</v>
      </c>
      <c r="G622" t="s">
        <v>1</v>
      </c>
    </row>
    <row r="623" spans="1:7" x14ac:dyDescent="0.4">
      <c r="A623" s="1">
        <v>44494</v>
      </c>
      <c r="B623">
        <v>1</v>
      </c>
      <c r="C623">
        <v>1.160147619</v>
      </c>
      <c r="D623" t="s">
        <v>8</v>
      </c>
      <c r="E623">
        <v>58.94</v>
      </c>
      <c r="F623">
        <v>59.2</v>
      </c>
      <c r="G623" t="s">
        <v>1</v>
      </c>
    </row>
    <row r="624" spans="1:7" x14ac:dyDescent="0.4">
      <c r="A624" s="1">
        <v>44495</v>
      </c>
      <c r="B624">
        <v>1</v>
      </c>
      <c r="C624">
        <v>1.160147619</v>
      </c>
      <c r="D624" t="s">
        <v>8</v>
      </c>
      <c r="E624">
        <v>58.96</v>
      </c>
      <c r="G624" t="s">
        <v>1</v>
      </c>
    </row>
    <row r="625" spans="1:7" x14ac:dyDescent="0.4">
      <c r="A625" s="1">
        <v>44496</v>
      </c>
      <c r="B625">
        <v>1</v>
      </c>
      <c r="C625">
        <v>1.160147619</v>
      </c>
      <c r="D625" t="s">
        <v>8</v>
      </c>
      <c r="E625">
        <v>58.92</v>
      </c>
      <c r="G625" t="s">
        <v>1</v>
      </c>
    </row>
    <row r="626" spans="1:7" x14ac:dyDescent="0.4">
      <c r="A626" s="1">
        <v>44497</v>
      </c>
      <c r="B626">
        <v>1</v>
      </c>
      <c r="C626">
        <v>1.160147619</v>
      </c>
      <c r="D626" t="s">
        <v>8</v>
      </c>
      <c r="E626">
        <v>58.93</v>
      </c>
      <c r="G626" t="s">
        <v>1</v>
      </c>
    </row>
    <row r="627" spans="1:7" x14ac:dyDescent="0.4">
      <c r="A627" s="1">
        <v>44498</v>
      </c>
      <c r="B627">
        <v>1</v>
      </c>
      <c r="C627">
        <v>1.160147619</v>
      </c>
      <c r="D627" t="s">
        <v>8</v>
      </c>
      <c r="E627">
        <v>59.4</v>
      </c>
      <c r="G627" t="s">
        <v>1</v>
      </c>
    </row>
    <row r="628" spans="1:7" x14ac:dyDescent="0.4">
      <c r="A628" s="1">
        <v>44501</v>
      </c>
      <c r="B628">
        <v>1</v>
      </c>
      <c r="C628">
        <v>1.1414045450000001</v>
      </c>
      <c r="D628" t="s">
        <v>8</v>
      </c>
      <c r="E628">
        <v>59.98</v>
      </c>
      <c r="F628">
        <v>59.09</v>
      </c>
      <c r="G628" t="s">
        <v>1</v>
      </c>
    </row>
    <row r="629" spans="1:7" x14ac:dyDescent="0.4">
      <c r="A629" s="1">
        <v>44502</v>
      </c>
      <c r="B629">
        <v>1</v>
      </c>
      <c r="C629">
        <v>1.1414045450000001</v>
      </c>
      <c r="D629" t="s">
        <v>8</v>
      </c>
      <c r="E629">
        <v>57.8</v>
      </c>
      <c r="G629" t="s">
        <v>1</v>
      </c>
    </row>
    <row r="630" spans="1:7" x14ac:dyDescent="0.4">
      <c r="A630" s="1">
        <v>44503</v>
      </c>
      <c r="B630">
        <v>1</v>
      </c>
      <c r="C630">
        <v>1.1414045450000001</v>
      </c>
      <c r="D630" t="s">
        <v>8</v>
      </c>
      <c r="E630">
        <v>59.78</v>
      </c>
      <c r="G630" t="s">
        <v>1</v>
      </c>
    </row>
    <row r="631" spans="1:7" x14ac:dyDescent="0.4">
      <c r="A631" s="1">
        <v>44504</v>
      </c>
      <c r="B631">
        <v>1</v>
      </c>
      <c r="C631">
        <v>1.1414045450000001</v>
      </c>
      <c r="D631" t="s">
        <v>8</v>
      </c>
      <c r="E631">
        <v>59.81</v>
      </c>
      <c r="G631" t="s">
        <v>1</v>
      </c>
    </row>
    <row r="632" spans="1:7" x14ac:dyDescent="0.4">
      <c r="A632" s="1">
        <v>44505</v>
      </c>
      <c r="B632">
        <v>1</v>
      </c>
      <c r="C632">
        <v>1.1414045450000001</v>
      </c>
      <c r="D632" t="s">
        <v>8</v>
      </c>
      <c r="E632">
        <v>61.05</v>
      </c>
      <c r="G632" t="s">
        <v>1</v>
      </c>
    </row>
    <row r="633" spans="1:7" x14ac:dyDescent="0.4">
      <c r="A633" s="1">
        <v>44508</v>
      </c>
      <c r="B633">
        <v>1</v>
      </c>
      <c r="C633">
        <v>1.1414045450000001</v>
      </c>
      <c r="D633" t="s">
        <v>8</v>
      </c>
      <c r="E633">
        <v>60.06</v>
      </c>
      <c r="F633">
        <v>62.23</v>
      </c>
      <c r="G633" t="s">
        <v>1</v>
      </c>
    </row>
    <row r="634" spans="1:7" x14ac:dyDescent="0.4">
      <c r="A634" s="1">
        <v>44509</v>
      </c>
      <c r="B634">
        <v>1</v>
      </c>
      <c r="C634">
        <v>1.1414045450000001</v>
      </c>
      <c r="D634" t="s">
        <v>8</v>
      </c>
      <c r="E634">
        <v>60.11</v>
      </c>
      <c r="G634" t="s">
        <v>1</v>
      </c>
    </row>
    <row r="635" spans="1:7" x14ac:dyDescent="0.4">
      <c r="A635" s="1">
        <v>44510</v>
      </c>
      <c r="B635">
        <v>1</v>
      </c>
      <c r="C635">
        <v>1.1414045450000001</v>
      </c>
      <c r="D635" t="s">
        <v>8</v>
      </c>
      <c r="E635">
        <v>61.53</v>
      </c>
      <c r="G635" t="s">
        <v>1</v>
      </c>
    </row>
    <row r="636" spans="1:7" x14ac:dyDescent="0.4">
      <c r="A636" s="1">
        <v>44511</v>
      </c>
      <c r="B636">
        <v>1</v>
      </c>
      <c r="C636">
        <v>1.1414045450000001</v>
      </c>
      <c r="D636" t="s">
        <v>8</v>
      </c>
      <c r="E636">
        <v>62.31</v>
      </c>
      <c r="G636" t="s">
        <v>1</v>
      </c>
    </row>
    <row r="637" spans="1:7" x14ac:dyDescent="0.4">
      <c r="A637" s="1">
        <v>44512</v>
      </c>
      <c r="B637">
        <v>1</v>
      </c>
      <c r="C637">
        <v>1.1414045450000001</v>
      </c>
      <c r="D637" t="s">
        <v>8</v>
      </c>
      <c r="E637">
        <v>63.53</v>
      </c>
      <c r="G637" t="s">
        <v>1</v>
      </c>
    </row>
    <row r="638" spans="1:7" x14ac:dyDescent="0.4">
      <c r="A638" s="1">
        <v>44515</v>
      </c>
      <c r="B638">
        <v>1</v>
      </c>
      <c r="C638">
        <v>1.1414045450000001</v>
      </c>
      <c r="D638" t="s">
        <v>8</v>
      </c>
      <c r="E638">
        <v>64.400000000000006</v>
      </c>
      <c r="F638">
        <v>67.819999999999993</v>
      </c>
      <c r="G638" t="s">
        <v>1</v>
      </c>
    </row>
    <row r="639" spans="1:7" x14ac:dyDescent="0.4">
      <c r="A639" s="1">
        <v>44516</v>
      </c>
      <c r="B639">
        <v>1</v>
      </c>
      <c r="C639">
        <v>1.1414045450000001</v>
      </c>
      <c r="D639" t="s">
        <v>8</v>
      </c>
      <c r="E639">
        <v>67.5</v>
      </c>
      <c r="G639" t="s">
        <v>1</v>
      </c>
    </row>
    <row r="640" spans="1:7" x14ac:dyDescent="0.4">
      <c r="A640" s="1">
        <v>44517</v>
      </c>
      <c r="B640">
        <v>1</v>
      </c>
      <c r="C640">
        <v>1.1414045450000001</v>
      </c>
      <c r="D640" t="s">
        <v>8</v>
      </c>
      <c r="E640">
        <v>67.14</v>
      </c>
      <c r="G640" t="s">
        <v>1</v>
      </c>
    </row>
    <row r="641" spans="1:7" x14ac:dyDescent="0.4">
      <c r="A641" s="1">
        <v>44518</v>
      </c>
      <c r="B641">
        <v>1</v>
      </c>
      <c r="C641">
        <v>1.1414045450000001</v>
      </c>
      <c r="D641" t="s">
        <v>8</v>
      </c>
      <c r="E641">
        <v>66.510000000000005</v>
      </c>
      <c r="G641" t="s">
        <v>1</v>
      </c>
    </row>
    <row r="642" spans="1:7" x14ac:dyDescent="0.4">
      <c r="A642" s="1">
        <v>44519</v>
      </c>
      <c r="B642">
        <v>1</v>
      </c>
      <c r="C642">
        <v>1.1414045450000001</v>
      </c>
      <c r="D642" t="s">
        <v>8</v>
      </c>
      <c r="E642">
        <v>69.209999999999994</v>
      </c>
      <c r="G642" t="s">
        <v>1</v>
      </c>
    </row>
    <row r="643" spans="1:7" x14ac:dyDescent="0.4">
      <c r="A643" s="1">
        <v>44522</v>
      </c>
      <c r="B643">
        <v>1</v>
      </c>
      <c r="C643">
        <v>1.1414045450000001</v>
      </c>
      <c r="D643" t="s">
        <v>8</v>
      </c>
      <c r="E643">
        <v>69.7</v>
      </c>
      <c r="F643">
        <v>71.849999999999994</v>
      </c>
      <c r="G643" t="s">
        <v>1</v>
      </c>
    </row>
    <row r="644" spans="1:7" x14ac:dyDescent="0.4">
      <c r="A644" s="1">
        <v>44523</v>
      </c>
      <c r="B644">
        <v>1</v>
      </c>
      <c r="C644">
        <v>1.1414045450000001</v>
      </c>
      <c r="D644" t="s">
        <v>8</v>
      </c>
      <c r="E644">
        <v>69.88</v>
      </c>
      <c r="G644" t="s">
        <v>1</v>
      </c>
    </row>
    <row r="645" spans="1:7" x14ac:dyDescent="0.4">
      <c r="A645" s="1">
        <v>44524</v>
      </c>
      <c r="B645">
        <v>1</v>
      </c>
      <c r="C645">
        <v>1.1414045450000001</v>
      </c>
      <c r="D645" t="s">
        <v>8</v>
      </c>
      <c r="E645">
        <v>69.510000000000005</v>
      </c>
      <c r="G645" t="s">
        <v>1</v>
      </c>
    </row>
    <row r="646" spans="1:7" x14ac:dyDescent="0.4">
      <c r="A646" s="1">
        <v>44525</v>
      </c>
      <c r="B646">
        <v>1</v>
      </c>
      <c r="C646">
        <v>1.1414045450000001</v>
      </c>
      <c r="D646" t="s">
        <v>8</v>
      </c>
      <c r="E646">
        <v>72.150000000000006</v>
      </c>
      <c r="G646" t="s">
        <v>1</v>
      </c>
    </row>
    <row r="647" spans="1:7" x14ac:dyDescent="0.4">
      <c r="A647" s="1">
        <v>44526</v>
      </c>
      <c r="B647">
        <v>1</v>
      </c>
      <c r="C647">
        <v>1.1414045450000001</v>
      </c>
      <c r="D647" t="s">
        <v>8</v>
      </c>
      <c r="E647">
        <v>71.95</v>
      </c>
      <c r="G647" t="s">
        <v>1</v>
      </c>
    </row>
    <row r="648" spans="1:7" x14ac:dyDescent="0.4">
      <c r="A648" s="1">
        <v>44529</v>
      </c>
      <c r="B648">
        <v>1</v>
      </c>
      <c r="C648">
        <v>1.1414045450000001</v>
      </c>
      <c r="D648" t="s">
        <v>8</v>
      </c>
      <c r="E648">
        <v>74.48</v>
      </c>
      <c r="F648">
        <v>76.900000000000006</v>
      </c>
      <c r="G648" t="s">
        <v>1</v>
      </c>
    </row>
    <row r="649" spans="1:7" x14ac:dyDescent="0.4">
      <c r="A649" s="1">
        <v>44530</v>
      </c>
      <c r="B649">
        <v>1</v>
      </c>
      <c r="C649">
        <v>1.1414045450000001</v>
      </c>
      <c r="D649" t="s">
        <v>8</v>
      </c>
      <c r="E649">
        <v>74.819999999999993</v>
      </c>
      <c r="G649" t="s">
        <v>1</v>
      </c>
    </row>
    <row r="650" spans="1:7" x14ac:dyDescent="0.4">
      <c r="A650" s="1">
        <v>44531</v>
      </c>
      <c r="B650">
        <v>1</v>
      </c>
      <c r="C650">
        <v>1.1303782609999999</v>
      </c>
      <c r="D650" t="s">
        <v>8</v>
      </c>
      <c r="E650">
        <v>76.38</v>
      </c>
      <c r="G650" t="s">
        <v>1</v>
      </c>
    </row>
    <row r="651" spans="1:7" x14ac:dyDescent="0.4">
      <c r="A651" s="1">
        <v>44532</v>
      </c>
      <c r="B651">
        <v>1</v>
      </c>
      <c r="C651">
        <v>1.1303782609999999</v>
      </c>
      <c r="D651" t="s">
        <v>8</v>
      </c>
      <c r="E651">
        <v>77.099999999999994</v>
      </c>
      <c r="G651" t="s">
        <v>1</v>
      </c>
    </row>
    <row r="652" spans="1:7" x14ac:dyDescent="0.4">
      <c r="A652" s="1">
        <v>44533</v>
      </c>
      <c r="B652">
        <v>1</v>
      </c>
      <c r="C652">
        <v>1.1303782609999999</v>
      </c>
      <c r="D652" t="s">
        <v>8</v>
      </c>
      <c r="E652">
        <v>78.760000000000005</v>
      </c>
      <c r="G652" t="s">
        <v>1</v>
      </c>
    </row>
    <row r="653" spans="1:7" x14ac:dyDescent="0.4">
      <c r="A653" s="1">
        <v>44536</v>
      </c>
      <c r="B653">
        <v>1</v>
      </c>
      <c r="C653">
        <v>1.1303782609999999</v>
      </c>
      <c r="D653" t="s">
        <v>8</v>
      </c>
      <c r="E653">
        <v>80</v>
      </c>
      <c r="F653">
        <v>83.79</v>
      </c>
      <c r="G653" t="s">
        <v>1</v>
      </c>
    </row>
    <row r="654" spans="1:7" x14ac:dyDescent="0.4">
      <c r="A654" s="1">
        <v>44537</v>
      </c>
      <c r="B654">
        <v>1</v>
      </c>
      <c r="C654">
        <v>1.1303782609999999</v>
      </c>
      <c r="D654" t="s">
        <v>8</v>
      </c>
      <c r="E654">
        <v>82.87</v>
      </c>
      <c r="G654" t="s">
        <v>1</v>
      </c>
    </row>
    <row r="655" spans="1:7" x14ac:dyDescent="0.4">
      <c r="A655" s="1">
        <v>44538</v>
      </c>
      <c r="B655">
        <v>1</v>
      </c>
      <c r="C655">
        <v>1.1303782609999999</v>
      </c>
      <c r="D655" t="s">
        <v>8</v>
      </c>
      <c r="E655">
        <v>87.45</v>
      </c>
      <c r="G655" t="s">
        <v>1</v>
      </c>
    </row>
    <row r="656" spans="1:7" x14ac:dyDescent="0.4">
      <c r="A656" s="1">
        <v>44539</v>
      </c>
      <c r="B656">
        <v>1</v>
      </c>
      <c r="C656">
        <v>1.1303782609999999</v>
      </c>
      <c r="D656" t="s">
        <v>8</v>
      </c>
      <c r="E656">
        <v>84.93</v>
      </c>
      <c r="G656" t="s">
        <v>1</v>
      </c>
    </row>
    <row r="657" spans="1:7" x14ac:dyDescent="0.4">
      <c r="A657" s="1">
        <v>44540</v>
      </c>
      <c r="B657">
        <v>1</v>
      </c>
      <c r="C657">
        <v>1.1303782609999999</v>
      </c>
      <c r="D657" t="s">
        <v>8</v>
      </c>
      <c r="E657">
        <v>79.83</v>
      </c>
      <c r="G657" t="s">
        <v>1</v>
      </c>
    </row>
    <row r="658" spans="1:7" x14ac:dyDescent="0.4">
      <c r="A658" s="1">
        <v>44543</v>
      </c>
      <c r="B658">
        <v>1</v>
      </c>
      <c r="C658">
        <v>1.1303782609999999</v>
      </c>
      <c r="D658" t="s">
        <v>8</v>
      </c>
      <c r="E658">
        <v>85</v>
      </c>
      <c r="F658">
        <v>80.03</v>
      </c>
      <c r="G658" t="s">
        <v>1</v>
      </c>
    </row>
    <row r="659" spans="1:7" x14ac:dyDescent="0.4">
      <c r="A659" s="1">
        <v>44544</v>
      </c>
      <c r="B659">
        <v>1</v>
      </c>
      <c r="C659">
        <v>1.1303782609999999</v>
      </c>
      <c r="D659" t="s">
        <v>8</v>
      </c>
      <c r="E659">
        <v>79.989999999999995</v>
      </c>
      <c r="G659" t="s">
        <v>1</v>
      </c>
    </row>
    <row r="660" spans="1:7" x14ac:dyDescent="0.4">
      <c r="A660" s="1">
        <v>44545</v>
      </c>
      <c r="B660">
        <v>1</v>
      </c>
      <c r="C660">
        <v>1.1303782609999999</v>
      </c>
      <c r="D660" t="s">
        <v>8</v>
      </c>
      <c r="E660">
        <v>79.290000000000006</v>
      </c>
      <c r="G660" t="s">
        <v>1</v>
      </c>
    </row>
    <row r="661" spans="1:7" x14ac:dyDescent="0.4">
      <c r="A661" s="1">
        <v>44546</v>
      </c>
      <c r="B661">
        <v>1</v>
      </c>
      <c r="C661">
        <v>1.1303782609999999</v>
      </c>
      <c r="D661" t="s">
        <v>8</v>
      </c>
      <c r="E661">
        <v>80.5</v>
      </c>
      <c r="G661" t="s">
        <v>1</v>
      </c>
    </row>
    <row r="662" spans="1:7" x14ac:dyDescent="0.4">
      <c r="A662" s="1">
        <v>44547</v>
      </c>
      <c r="B662">
        <v>1</v>
      </c>
      <c r="C662">
        <v>1.1303782609999999</v>
      </c>
      <c r="D662" t="s">
        <v>8</v>
      </c>
      <c r="E662">
        <v>82.25</v>
      </c>
      <c r="G662" t="s">
        <v>1</v>
      </c>
    </row>
    <row r="663" spans="1:7" x14ac:dyDescent="0.4">
      <c r="A663" s="1">
        <v>44550</v>
      </c>
      <c r="B663">
        <v>1</v>
      </c>
      <c r="C663">
        <v>1.1303782609999999</v>
      </c>
      <c r="D663" t="s">
        <v>8</v>
      </c>
      <c r="E663">
        <v>74.569999999999993</v>
      </c>
      <c r="F663">
        <v>79.38</v>
      </c>
      <c r="G663" t="s">
        <v>1</v>
      </c>
    </row>
    <row r="664" spans="1:7" x14ac:dyDescent="0.4">
      <c r="A664" s="1">
        <v>44564</v>
      </c>
      <c r="B664">
        <v>1</v>
      </c>
      <c r="C664">
        <v>1.131447619</v>
      </c>
      <c r="D664" t="s">
        <v>8</v>
      </c>
      <c r="F664">
        <v>85.73</v>
      </c>
      <c r="G664" t="s">
        <v>1</v>
      </c>
    </row>
    <row r="665" spans="1:7" x14ac:dyDescent="0.4">
      <c r="A665" s="1">
        <v>44571</v>
      </c>
      <c r="B665">
        <v>1</v>
      </c>
      <c r="C665">
        <v>1.131447619</v>
      </c>
      <c r="D665" t="s">
        <v>8</v>
      </c>
      <c r="E665">
        <v>82.71</v>
      </c>
      <c r="F665">
        <v>80.81</v>
      </c>
      <c r="G665" t="s">
        <v>1</v>
      </c>
    </row>
    <row r="666" spans="1:7" x14ac:dyDescent="0.4">
      <c r="A666" s="1">
        <v>44572</v>
      </c>
      <c r="B666">
        <v>1</v>
      </c>
      <c r="C666">
        <v>1.131447619</v>
      </c>
      <c r="D666" t="s">
        <v>8</v>
      </c>
      <c r="E666">
        <v>81.900000000000006</v>
      </c>
      <c r="G666" t="s">
        <v>1</v>
      </c>
    </row>
    <row r="667" spans="1:7" x14ac:dyDescent="0.4">
      <c r="A667" s="1">
        <v>44574</v>
      </c>
      <c r="B667">
        <v>1</v>
      </c>
      <c r="C667">
        <v>1.131447619</v>
      </c>
      <c r="D667" t="s">
        <v>8</v>
      </c>
      <c r="E667">
        <v>79.05</v>
      </c>
      <c r="G667" t="s">
        <v>1</v>
      </c>
    </row>
    <row r="668" spans="1:7" x14ac:dyDescent="0.4">
      <c r="A668" s="1">
        <v>44575</v>
      </c>
      <c r="B668">
        <v>1</v>
      </c>
      <c r="C668">
        <v>1.131447619</v>
      </c>
      <c r="D668" t="s">
        <v>8</v>
      </c>
      <c r="E668">
        <v>81.52</v>
      </c>
      <c r="G668" t="s">
        <v>1</v>
      </c>
    </row>
    <row r="669" spans="1:7" x14ac:dyDescent="0.4">
      <c r="A669" s="1">
        <v>44578</v>
      </c>
      <c r="B669">
        <v>1</v>
      </c>
      <c r="C669">
        <v>1.131447619</v>
      </c>
      <c r="D669" t="s">
        <v>8</v>
      </c>
      <c r="E669">
        <v>80.209999999999994</v>
      </c>
      <c r="F669">
        <v>83.08</v>
      </c>
      <c r="G669" t="s">
        <v>1</v>
      </c>
    </row>
    <row r="670" spans="1:7" x14ac:dyDescent="0.4">
      <c r="A670" s="1">
        <v>44579</v>
      </c>
      <c r="B670">
        <v>1</v>
      </c>
      <c r="C670">
        <v>1.131447619</v>
      </c>
      <c r="D670" t="s">
        <v>8</v>
      </c>
      <c r="E670">
        <v>79.22</v>
      </c>
      <c r="G670" t="s">
        <v>1</v>
      </c>
    </row>
    <row r="671" spans="1:7" x14ac:dyDescent="0.4">
      <c r="A671" s="1">
        <v>44580</v>
      </c>
      <c r="B671">
        <v>1</v>
      </c>
      <c r="C671">
        <v>1.131447619</v>
      </c>
      <c r="D671" t="s">
        <v>8</v>
      </c>
      <c r="E671">
        <v>80.7</v>
      </c>
      <c r="G671" t="s">
        <v>1</v>
      </c>
    </row>
    <row r="672" spans="1:7" x14ac:dyDescent="0.4">
      <c r="A672" s="1">
        <v>44581</v>
      </c>
      <c r="B672">
        <v>1</v>
      </c>
      <c r="C672">
        <v>1.131447619</v>
      </c>
      <c r="D672" t="s">
        <v>8</v>
      </c>
      <c r="E672">
        <v>80.8</v>
      </c>
      <c r="G672" t="s">
        <v>1</v>
      </c>
    </row>
    <row r="673" spans="1:7" x14ac:dyDescent="0.4">
      <c r="A673" s="1">
        <v>44582</v>
      </c>
      <c r="B673">
        <v>1</v>
      </c>
      <c r="C673">
        <v>1.131447619</v>
      </c>
      <c r="D673" t="s">
        <v>8</v>
      </c>
      <c r="E673">
        <v>84.03</v>
      </c>
      <c r="G673" t="s">
        <v>1</v>
      </c>
    </row>
    <row r="674" spans="1:7" x14ac:dyDescent="0.4">
      <c r="A674" s="1">
        <v>44585</v>
      </c>
      <c r="B674">
        <v>1</v>
      </c>
      <c r="C674">
        <v>1.131447619</v>
      </c>
      <c r="D674" t="s">
        <v>8</v>
      </c>
      <c r="E674">
        <v>85.75</v>
      </c>
      <c r="F674">
        <v>87.82</v>
      </c>
      <c r="G674" t="s">
        <v>1</v>
      </c>
    </row>
    <row r="675" spans="1:7" x14ac:dyDescent="0.4">
      <c r="A675" s="1">
        <v>44586</v>
      </c>
      <c r="B675">
        <v>1</v>
      </c>
      <c r="C675">
        <v>1.131447619</v>
      </c>
      <c r="D675" t="s">
        <v>8</v>
      </c>
      <c r="E675">
        <v>84.48</v>
      </c>
      <c r="G675" t="s">
        <v>1</v>
      </c>
    </row>
    <row r="676" spans="1:7" x14ac:dyDescent="0.4">
      <c r="A676" s="1">
        <v>44588</v>
      </c>
      <c r="B676">
        <v>1</v>
      </c>
      <c r="C676">
        <v>1.131447619</v>
      </c>
      <c r="D676" t="s">
        <v>8</v>
      </c>
      <c r="E676">
        <v>88.51</v>
      </c>
      <c r="G676" t="s">
        <v>1</v>
      </c>
    </row>
    <row r="677" spans="1:7" x14ac:dyDescent="0.4">
      <c r="A677" s="1">
        <v>44589</v>
      </c>
      <c r="B677">
        <v>1</v>
      </c>
      <c r="C677">
        <v>1.131447619</v>
      </c>
      <c r="D677" t="s">
        <v>8</v>
      </c>
      <c r="E677">
        <v>89.25</v>
      </c>
      <c r="G677" t="s">
        <v>1</v>
      </c>
    </row>
    <row r="678" spans="1:7" x14ac:dyDescent="0.4">
      <c r="A678" s="1">
        <v>44592</v>
      </c>
      <c r="B678">
        <v>1</v>
      </c>
      <c r="C678">
        <v>1.131447619</v>
      </c>
      <c r="D678" t="s">
        <v>8</v>
      </c>
      <c r="E678">
        <v>88.03</v>
      </c>
      <c r="F678">
        <v>92.85</v>
      </c>
      <c r="G678" t="s">
        <v>1</v>
      </c>
    </row>
    <row r="679" spans="1:7" x14ac:dyDescent="0.4">
      <c r="A679" s="1">
        <v>44594</v>
      </c>
      <c r="B679">
        <v>1</v>
      </c>
      <c r="C679">
        <v>1.13419</v>
      </c>
      <c r="D679" t="s">
        <v>8</v>
      </c>
      <c r="E679">
        <v>91.61</v>
      </c>
      <c r="G679" t="s">
        <v>1</v>
      </c>
    </row>
    <row r="680" spans="1:7" x14ac:dyDescent="0.4">
      <c r="A680" s="1">
        <v>44595</v>
      </c>
      <c r="B680">
        <v>1</v>
      </c>
      <c r="C680">
        <v>1.13419</v>
      </c>
      <c r="D680" t="s">
        <v>8</v>
      </c>
      <c r="E680">
        <v>92.65</v>
      </c>
      <c r="G680" t="s">
        <v>1</v>
      </c>
    </row>
    <row r="681" spans="1:7" x14ac:dyDescent="0.4">
      <c r="A681" s="1">
        <v>44596</v>
      </c>
      <c r="B681">
        <v>1</v>
      </c>
      <c r="C681">
        <v>1.13419</v>
      </c>
      <c r="D681" t="s">
        <v>8</v>
      </c>
      <c r="E681">
        <v>94.65</v>
      </c>
      <c r="G681" t="s">
        <v>1</v>
      </c>
    </row>
    <row r="682" spans="1:7" x14ac:dyDescent="0.4">
      <c r="A682" s="1">
        <v>44599</v>
      </c>
      <c r="B682">
        <v>1</v>
      </c>
      <c r="C682">
        <v>1.13419</v>
      </c>
      <c r="D682" t="s">
        <v>8</v>
      </c>
      <c r="E682">
        <v>93.5</v>
      </c>
      <c r="F682">
        <v>93.61</v>
      </c>
      <c r="G682" t="s">
        <v>1</v>
      </c>
    </row>
    <row r="683" spans="1:7" x14ac:dyDescent="0.4">
      <c r="A683" s="1">
        <v>44600</v>
      </c>
      <c r="B683">
        <v>1</v>
      </c>
      <c r="C683">
        <v>1.13419</v>
      </c>
      <c r="D683" t="s">
        <v>8</v>
      </c>
      <c r="E683">
        <v>97.51</v>
      </c>
      <c r="G683" t="s">
        <v>1</v>
      </c>
    </row>
    <row r="684" spans="1:7" x14ac:dyDescent="0.4">
      <c r="A684" s="1">
        <v>44601</v>
      </c>
      <c r="B684">
        <v>1</v>
      </c>
      <c r="C684">
        <v>1.13419</v>
      </c>
      <c r="D684" t="s">
        <v>8</v>
      </c>
      <c r="E684">
        <v>96.53</v>
      </c>
      <c r="G684" t="s">
        <v>1</v>
      </c>
    </row>
    <row r="685" spans="1:7" x14ac:dyDescent="0.4">
      <c r="A685" s="1">
        <v>44602</v>
      </c>
      <c r="B685">
        <v>1</v>
      </c>
      <c r="C685">
        <v>1.13419</v>
      </c>
      <c r="D685" t="s">
        <v>8</v>
      </c>
      <c r="E685">
        <v>90.6</v>
      </c>
      <c r="G685" t="s">
        <v>1</v>
      </c>
    </row>
    <row r="686" spans="1:7" x14ac:dyDescent="0.4">
      <c r="A686" s="1">
        <v>44603</v>
      </c>
      <c r="B686">
        <v>1</v>
      </c>
      <c r="C686">
        <v>1.13419</v>
      </c>
      <c r="D686" t="s">
        <v>8</v>
      </c>
      <c r="E686">
        <v>89.98</v>
      </c>
      <c r="G686" t="s">
        <v>1</v>
      </c>
    </row>
    <row r="687" spans="1:7" x14ac:dyDescent="0.4">
      <c r="A687" s="1">
        <v>44606</v>
      </c>
      <c r="B687">
        <v>1</v>
      </c>
      <c r="C687">
        <v>1.13419</v>
      </c>
      <c r="D687" t="s">
        <v>8</v>
      </c>
      <c r="E687">
        <v>90.73</v>
      </c>
      <c r="F687">
        <v>89.73</v>
      </c>
      <c r="G687" t="s">
        <v>1</v>
      </c>
    </row>
    <row r="688" spans="1:7" x14ac:dyDescent="0.4">
      <c r="A688" s="1">
        <v>44607</v>
      </c>
      <c r="B688">
        <v>1</v>
      </c>
      <c r="C688">
        <v>1.13419</v>
      </c>
      <c r="D688" t="s">
        <v>8</v>
      </c>
      <c r="E688">
        <v>90.35</v>
      </c>
      <c r="G688" t="s">
        <v>1</v>
      </c>
    </row>
    <row r="689" spans="1:7" x14ac:dyDescent="0.4">
      <c r="A689" s="1">
        <v>44608</v>
      </c>
      <c r="B689">
        <v>1</v>
      </c>
      <c r="C689">
        <v>1.13419</v>
      </c>
      <c r="D689" t="s">
        <v>8</v>
      </c>
      <c r="E689">
        <v>88.05</v>
      </c>
      <c r="G689" t="s">
        <v>1</v>
      </c>
    </row>
    <row r="690" spans="1:7" x14ac:dyDescent="0.4">
      <c r="A690" s="1">
        <v>44609</v>
      </c>
      <c r="B690">
        <v>1</v>
      </c>
      <c r="C690">
        <v>1.13419</v>
      </c>
      <c r="D690" t="s">
        <v>8</v>
      </c>
      <c r="E690">
        <v>87.5</v>
      </c>
      <c r="G690" t="s">
        <v>1</v>
      </c>
    </row>
    <row r="691" spans="1:7" x14ac:dyDescent="0.4">
      <c r="A691" s="1">
        <v>44610</v>
      </c>
      <c r="B691">
        <v>1</v>
      </c>
      <c r="C691">
        <v>1.13419</v>
      </c>
      <c r="D691" t="s">
        <v>8</v>
      </c>
      <c r="E691">
        <v>87.65</v>
      </c>
      <c r="G691" t="s">
        <v>1</v>
      </c>
    </row>
    <row r="692" spans="1:7" x14ac:dyDescent="0.4">
      <c r="A692" s="1">
        <v>44613</v>
      </c>
      <c r="B692">
        <v>1</v>
      </c>
      <c r="C692">
        <v>1.13419</v>
      </c>
      <c r="D692" t="s">
        <v>8</v>
      </c>
      <c r="E692">
        <v>87.99</v>
      </c>
      <c r="F692">
        <v>89.94</v>
      </c>
      <c r="G692" t="s">
        <v>1</v>
      </c>
    </row>
    <row r="693" spans="1:7" x14ac:dyDescent="0.4">
      <c r="A693" s="1">
        <v>44614</v>
      </c>
      <c r="B693">
        <v>1</v>
      </c>
      <c r="C693">
        <v>1.13419</v>
      </c>
      <c r="D693" t="s">
        <v>8</v>
      </c>
      <c r="E693">
        <v>88.4</v>
      </c>
      <c r="G693" t="s">
        <v>1</v>
      </c>
    </row>
    <row r="694" spans="1:7" x14ac:dyDescent="0.4">
      <c r="A694" s="1">
        <v>44615</v>
      </c>
      <c r="B694">
        <v>1</v>
      </c>
      <c r="C694">
        <v>1.13419</v>
      </c>
      <c r="D694" t="s">
        <v>8</v>
      </c>
      <c r="E694">
        <v>92.8</v>
      </c>
      <c r="G694" t="s">
        <v>1</v>
      </c>
    </row>
    <row r="695" spans="1:7" x14ac:dyDescent="0.4">
      <c r="A695" s="1">
        <v>44616</v>
      </c>
      <c r="B695">
        <v>1</v>
      </c>
      <c r="C695">
        <v>1.13419</v>
      </c>
      <c r="D695" t="s">
        <v>8</v>
      </c>
      <c r="E695">
        <v>88</v>
      </c>
      <c r="G695" t="s">
        <v>1</v>
      </c>
    </row>
    <row r="696" spans="1:7" x14ac:dyDescent="0.4">
      <c r="A696" s="1">
        <v>44617</v>
      </c>
      <c r="B696">
        <v>1</v>
      </c>
      <c r="C696">
        <v>1.13419</v>
      </c>
      <c r="D696" t="s">
        <v>8</v>
      </c>
      <c r="E696">
        <v>86.9</v>
      </c>
      <c r="G696" t="s">
        <v>1</v>
      </c>
    </row>
    <row r="697" spans="1:7" x14ac:dyDescent="0.4">
      <c r="A697" s="1">
        <v>44620</v>
      </c>
      <c r="B697">
        <v>1</v>
      </c>
      <c r="C697">
        <v>1.13419</v>
      </c>
      <c r="D697" t="s">
        <v>8</v>
      </c>
      <c r="E697">
        <v>80.92</v>
      </c>
      <c r="F697">
        <v>70.400000000000006</v>
      </c>
      <c r="G697" t="s">
        <v>1</v>
      </c>
    </row>
    <row r="698" spans="1:7" x14ac:dyDescent="0.4">
      <c r="A698" s="1">
        <v>44621</v>
      </c>
      <c r="B698">
        <v>1</v>
      </c>
      <c r="C698">
        <v>1.1018956520000001</v>
      </c>
      <c r="D698" t="s">
        <v>8</v>
      </c>
      <c r="E698">
        <v>79.959999999999994</v>
      </c>
      <c r="G698" t="s">
        <v>1</v>
      </c>
    </row>
    <row r="699" spans="1:7" x14ac:dyDescent="0.4">
      <c r="A699" s="1">
        <v>44623</v>
      </c>
      <c r="B699">
        <v>1</v>
      </c>
      <c r="C699">
        <v>1.1018956520000001</v>
      </c>
      <c r="D699" t="s">
        <v>8</v>
      </c>
      <c r="E699">
        <v>63.87</v>
      </c>
      <c r="G699" t="s">
        <v>1</v>
      </c>
    </row>
    <row r="700" spans="1:7" x14ac:dyDescent="0.4">
      <c r="A700" s="1">
        <v>44624</v>
      </c>
      <c r="B700">
        <v>1</v>
      </c>
      <c r="C700">
        <v>1.1018956520000001</v>
      </c>
      <c r="D700" t="s">
        <v>8</v>
      </c>
      <c r="E700">
        <v>67.22</v>
      </c>
      <c r="G700" t="s">
        <v>1</v>
      </c>
    </row>
    <row r="701" spans="1:7" x14ac:dyDescent="0.4">
      <c r="A701" s="1">
        <v>44627</v>
      </c>
      <c r="B701">
        <v>1</v>
      </c>
      <c r="C701">
        <v>1.1018956520000001</v>
      </c>
      <c r="D701" t="s">
        <v>8</v>
      </c>
      <c r="E701">
        <v>57.91</v>
      </c>
      <c r="F701">
        <v>70.63</v>
      </c>
      <c r="G701" t="s">
        <v>1</v>
      </c>
    </row>
    <row r="702" spans="1:7" x14ac:dyDescent="0.4">
      <c r="A702" s="1">
        <v>44628</v>
      </c>
      <c r="B702">
        <v>1</v>
      </c>
      <c r="C702">
        <v>1.1018956520000001</v>
      </c>
      <c r="D702" t="s">
        <v>8</v>
      </c>
      <c r="E702">
        <v>62.01</v>
      </c>
      <c r="G702" t="s">
        <v>1</v>
      </c>
    </row>
    <row r="703" spans="1:7" x14ac:dyDescent="0.4">
      <c r="A703" s="1">
        <v>44630</v>
      </c>
      <c r="B703">
        <v>1</v>
      </c>
      <c r="C703">
        <v>1.1018956520000001</v>
      </c>
      <c r="D703" t="s">
        <v>8</v>
      </c>
      <c r="E703">
        <v>70.040000000000006</v>
      </c>
      <c r="G703" t="s">
        <v>1</v>
      </c>
    </row>
    <row r="704" spans="1:7" x14ac:dyDescent="0.4">
      <c r="A704" s="1">
        <v>44631</v>
      </c>
      <c r="B704">
        <v>1</v>
      </c>
      <c r="C704">
        <v>1.1018956520000001</v>
      </c>
      <c r="D704" t="s">
        <v>8</v>
      </c>
      <c r="E704">
        <v>76.5</v>
      </c>
      <c r="G704" t="s">
        <v>1</v>
      </c>
    </row>
    <row r="705" spans="1:7" x14ac:dyDescent="0.4">
      <c r="A705" s="1">
        <v>44634</v>
      </c>
      <c r="B705">
        <v>1</v>
      </c>
      <c r="C705">
        <v>1.1018956520000001</v>
      </c>
      <c r="D705" t="s">
        <v>8</v>
      </c>
      <c r="E705">
        <v>78.599999999999994</v>
      </c>
      <c r="F705">
        <v>78.53</v>
      </c>
      <c r="G705" t="s">
        <v>1</v>
      </c>
    </row>
    <row r="706" spans="1:7" x14ac:dyDescent="0.4">
      <c r="A706" s="1">
        <v>44635</v>
      </c>
      <c r="B706">
        <v>1</v>
      </c>
      <c r="C706">
        <v>1.1018956520000001</v>
      </c>
      <c r="D706" t="s">
        <v>8</v>
      </c>
      <c r="E706">
        <v>75.55</v>
      </c>
      <c r="G706" t="s">
        <v>1</v>
      </c>
    </row>
    <row r="707" spans="1:7" x14ac:dyDescent="0.4">
      <c r="A707" s="1">
        <v>44636</v>
      </c>
      <c r="B707">
        <v>1</v>
      </c>
      <c r="C707">
        <v>1.1018956520000001</v>
      </c>
      <c r="D707" t="s">
        <v>8</v>
      </c>
      <c r="E707">
        <v>75.25</v>
      </c>
      <c r="G707" t="s">
        <v>1</v>
      </c>
    </row>
    <row r="708" spans="1:7" x14ac:dyDescent="0.4">
      <c r="A708" s="1">
        <v>44637</v>
      </c>
      <c r="B708">
        <v>1</v>
      </c>
      <c r="C708">
        <v>1.1018956520000001</v>
      </c>
      <c r="D708" t="s">
        <v>8</v>
      </c>
      <c r="E708">
        <v>76.87</v>
      </c>
      <c r="G708" t="s">
        <v>1</v>
      </c>
    </row>
    <row r="709" spans="1:7" x14ac:dyDescent="0.4">
      <c r="A709" s="1">
        <v>44638</v>
      </c>
      <c r="B709">
        <v>1</v>
      </c>
      <c r="C709">
        <v>1.1018956520000001</v>
      </c>
      <c r="D709" t="s">
        <v>8</v>
      </c>
      <c r="E709">
        <v>79.209999999999994</v>
      </c>
      <c r="G709" t="s">
        <v>1</v>
      </c>
    </row>
    <row r="710" spans="1:7" x14ac:dyDescent="0.4">
      <c r="A710" s="1">
        <v>44641</v>
      </c>
      <c r="B710">
        <v>1</v>
      </c>
      <c r="C710">
        <v>1.1018956520000001</v>
      </c>
      <c r="D710" t="s">
        <v>8</v>
      </c>
      <c r="E710">
        <v>77.760000000000005</v>
      </c>
      <c r="F710">
        <v>78.5</v>
      </c>
      <c r="G710" t="s">
        <v>1</v>
      </c>
    </row>
    <row r="711" spans="1:7" x14ac:dyDescent="0.4">
      <c r="A711" s="1">
        <v>44642</v>
      </c>
      <c r="B711">
        <v>1</v>
      </c>
      <c r="C711">
        <v>1.1018956520000001</v>
      </c>
      <c r="D711" t="s">
        <v>8</v>
      </c>
      <c r="E711">
        <v>79.05</v>
      </c>
      <c r="G711" t="s">
        <v>1</v>
      </c>
    </row>
    <row r="712" spans="1:7" x14ac:dyDescent="0.4">
      <c r="A712" s="1">
        <v>44644</v>
      </c>
      <c r="B712">
        <v>1</v>
      </c>
      <c r="C712">
        <v>1.1018956520000001</v>
      </c>
      <c r="D712" t="s">
        <v>8</v>
      </c>
      <c r="E712">
        <v>76.150000000000006</v>
      </c>
      <c r="G712" t="s">
        <v>1</v>
      </c>
    </row>
    <row r="713" spans="1:7" x14ac:dyDescent="0.4">
      <c r="A713" s="1">
        <v>44645</v>
      </c>
      <c r="B713">
        <v>1</v>
      </c>
      <c r="C713">
        <v>1.1018956520000001</v>
      </c>
      <c r="D713" t="s">
        <v>8</v>
      </c>
      <c r="E713">
        <v>78.5</v>
      </c>
      <c r="G713" t="s">
        <v>1</v>
      </c>
    </row>
    <row r="714" spans="1:7" x14ac:dyDescent="0.4">
      <c r="A714" s="1">
        <v>44648</v>
      </c>
      <c r="B714">
        <v>1</v>
      </c>
      <c r="C714">
        <v>1.1018956520000001</v>
      </c>
      <c r="D714" t="s">
        <v>8</v>
      </c>
      <c r="E714">
        <v>80.760000000000005</v>
      </c>
      <c r="F714">
        <v>79.16</v>
      </c>
      <c r="G714" t="s">
        <v>1</v>
      </c>
    </row>
    <row r="715" spans="1:7" x14ac:dyDescent="0.4">
      <c r="A715" s="1">
        <v>44649</v>
      </c>
      <c r="B715">
        <v>1</v>
      </c>
      <c r="C715">
        <v>1.1018956520000001</v>
      </c>
      <c r="D715" t="s">
        <v>8</v>
      </c>
      <c r="E715">
        <v>80.510000000000005</v>
      </c>
      <c r="G715" t="s">
        <v>1</v>
      </c>
    </row>
    <row r="716" spans="1:7" x14ac:dyDescent="0.4">
      <c r="A716" s="1">
        <v>44650</v>
      </c>
      <c r="B716">
        <v>1</v>
      </c>
      <c r="C716">
        <v>1.1018956520000001</v>
      </c>
      <c r="D716" t="s">
        <v>8</v>
      </c>
      <c r="E716">
        <v>77.22</v>
      </c>
      <c r="G716" t="s">
        <v>1</v>
      </c>
    </row>
    <row r="717" spans="1:7" x14ac:dyDescent="0.4">
      <c r="A717" s="1">
        <v>44651</v>
      </c>
      <c r="B717">
        <v>1</v>
      </c>
      <c r="C717">
        <v>1.1018956520000001</v>
      </c>
      <c r="D717" t="s">
        <v>8</v>
      </c>
      <c r="E717">
        <v>79.25</v>
      </c>
      <c r="G717" t="s">
        <v>1</v>
      </c>
    </row>
    <row r="718" spans="1:7" x14ac:dyDescent="0.4">
      <c r="A718" s="1">
        <v>44652</v>
      </c>
      <c r="B718">
        <v>1</v>
      </c>
      <c r="C718">
        <v>1.0818736840000001</v>
      </c>
      <c r="D718" t="s">
        <v>8</v>
      </c>
      <c r="E718">
        <v>78</v>
      </c>
      <c r="G718" t="s">
        <v>1</v>
      </c>
    </row>
    <row r="719" spans="1:7" x14ac:dyDescent="0.4">
      <c r="A719" s="1">
        <v>44655</v>
      </c>
      <c r="B719">
        <v>1</v>
      </c>
      <c r="C719">
        <v>1.0818736840000001</v>
      </c>
      <c r="D719" t="s">
        <v>8</v>
      </c>
      <c r="E719">
        <v>77.5</v>
      </c>
      <c r="F719">
        <v>78.75</v>
      </c>
      <c r="G719" t="s">
        <v>1</v>
      </c>
    </row>
    <row r="720" spans="1:7" x14ac:dyDescent="0.4">
      <c r="A720" s="1">
        <v>44656</v>
      </c>
      <c r="B720">
        <v>1</v>
      </c>
      <c r="C720">
        <v>1.0818736840000001</v>
      </c>
      <c r="D720" t="s">
        <v>8</v>
      </c>
      <c r="E720">
        <v>78.33</v>
      </c>
      <c r="G720" t="s">
        <v>1</v>
      </c>
    </row>
    <row r="721" spans="1:7" x14ac:dyDescent="0.4">
      <c r="A721" s="1">
        <v>44657</v>
      </c>
      <c r="B721">
        <v>1</v>
      </c>
      <c r="C721">
        <v>1.0818736840000001</v>
      </c>
      <c r="D721" t="s">
        <v>8</v>
      </c>
      <c r="E721">
        <v>78.34</v>
      </c>
      <c r="G721" t="s">
        <v>1</v>
      </c>
    </row>
    <row r="722" spans="1:7" x14ac:dyDescent="0.4">
      <c r="A722" s="1">
        <v>44658</v>
      </c>
      <c r="B722">
        <v>1</v>
      </c>
      <c r="C722">
        <v>1.0818736840000001</v>
      </c>
      <c r="D722" t="s">
        <v>8</v>
      </c>
      <c r="E722">
        <v>77.13</v>
      </c>
      <c r="G722" t="s">
        <v>1</v>
      </c>
    </row>
    <row r="723" spans="1:7" x14ac:dyDescent="0.4">
      <c r="A723" s="1">
        <v>44659</v>
      </c>
      <c r="B723">
        <v>1</v>
      </c>
      <c r="C723">
        <v>1.0818736840000001</v>
      </c>
      <c r="D723" t="s">
        <v>8</v>
      </c>
      <c r="E723">
        <v>80.209999999999994</v>
      </c>
      <c r="G723" t="s">
        <v>1</v>
      </c>
    </row>
    <row r="724" spans="1:7" x14ac:dyDescent="0.4">
      <c r="A724" s="1">
        <v>44662</v>
      </c>
      <c r="B724">
        <v>1</v>
      </c>
      <c r="C724">
        <v>1.0818736840000001</v>
      </c>
      <c r="D724" t="s">
        <v>8</v>
      </c>
      <c r="E724">
        <v>79.02</v>
      </c>
      <c r="F724">
        <v>78.59</v>
      </c>
      <c r="G724" t="s">
        <v>1</v>
      </c>
    </row>
    <row r="725" spans="1:7" x14ac:dyDescent="0.4">
      <c r="A725" s="1">
        <v>44663</v>
      </c>
      <c r="B725">
        <v>1</v>
      </c>
      <c r="C725">
        <v>1.0818736840000001</v>
      </c>
      <c r="D725" t="s">
        <v>8</v>
      </c>
      <c r="E725">
        <v>77.36</v>
      </c>
      <c r="G725" t="s">
        <v>1</v>
      </c>
    </row>
    <row r="726" spans="1:7" x14ac:dyDescent="0.4">
      <c r="A726" s="1">
        <v>44664</v>
      </c>
      <c r="B726">
        <v>1</v>
      </c>
      <c r="C726">
        <v>1.0818736840000001</v>
      </c>
      <c r="D726" t="s">
        <v>8</v>
      </c>
      <c r="E726">
        <v>77.27</v>
      </c>
      <c r="G726" t="s">
        <v>1</v>
      </c>
    </row>
    <row r="727" spans="1:7" x14ac:dyDescent="0.4">
      <c r="A727" s="1">
        <v>44665</v>
      </c>
      <c r="B727">
        <v>1</v>
      </c>
      <c r="C727">
        <v>1.0818736840000001</v>
      </c>
      <c r="D727" t="s">
        <v>8</v>
      </c>
      <c r="E727">
        <v>78.8</v>
      </c>
      <c r="G727" t="s">
        <v>1</v>
      </c>
    </row>
    <row r="728" spans="1:7" x14ac:dyDescent="0.4">
      <c r="A728" s="1">
        <v>44669</v>
      </c>
      <c r="B728">
        <v>1</v>
      </c>
      <c r="C728">
        <v>1.0818736840000001</v>
      </c>
      <c r="D728" t="s">
        <v>8</v>
      </c>
      <c r="F728">
        <v>84.68</v>
      </c>
      <c r="G728" t="s">
        <v>1</v>
      </c>
    </row>
    <row r="729" spans="1:7" x14ac:dyDescent="0.4">
      <c r="A729" s="1">
        <v>44670</v>
      </c>
      <c r="B729">
        <v>1</v>
      </c>
      <c r="C729">
        <v>1.0818736840000001</v>
      </c>
      <c r="D729" t="s">
        <v>8</v>
      </c>
      <c r="E729">
        <v>79.400000000000006</v>
      </c>
      <c r="G729" t="s">
        <v>1</v>
      </c>
    </row>
    <row r="730" spans="1:7" x14ac:dyDescent="0.4">
      <c r="A730" s="1">
        <v>44672</v>
      </c>
      <c r="B730">
        <v>1</v>
      </c>
      <c r="C730">
        <v>1.0818736840000001</v>
      </c>
      <c r="D730" t="s">
        <v>8</v>
      </c>
      <c r="E730">
        <v>85.9</v>
      </c>
      <c r="G730" t="s">
        <v>1</v>
      </c>
    </row>
    <row r="731" spans="1:7" x14ac:dyDescent="0.4">
      <c r="A731" s="1">
        <v>44673</v>
      </c>
      <c r="B731">
        <v>1</v>
      </c>
      <c r="C731">
        <v>1.0818736840000001</v>
      </c>
      <c r="D731" t="s">
        <v>8</v>
      </c>
      <c r="E731">
        <v>87.4</v>
      </c>
      <c r="G731" t="s">
        <v>1</v>
      </c>
    </row>
    <row r="732" spans="1:7" x14ac:dyDescent="0.4">
      <c r="A732" s="1">
        <v>44676</v>
      </c>
      <c r="B732">
        <v>1</v>
      </c>
      <c r="C732">
        <v>1.0818736840000001</v>
      </c>
      <c r="D732" t="s">
        <v>8</v>
      </c>
      <c r="E732">
        <v>85.81</v>
      </c>
      <c r="F732">
        <v>82.86</v>
      </c>
      <c r="G732" t="s">
        <v>1</v>
      </c>
    </row>
    <row r="733" spans="1:7" x14ac:dyDescent="0.4">
      <c r="A733" s="1">
        <v>44677</v>
      </c>
      <c r="B733">
        <v>1</v>
      </c>
      <c r="C733">
        <v>1.0818736840000001</v>
      </c>
      <c r="D733" t="s">
        <v>8</v>
      </c>
      <c r="E733">
        <v>83.43</v>
      </c>
      <c r="G733" t="s">
        <v>1</v>
      </c>
    </row>
    <row r="734" spans="1:7" x14ac:dyDescent="0.4">
      <c r="A734" s="1">
        <v>44678</v>
      </c>
      <c r="B734">
        <v>1</v>
      </c>
      <c r="C734">
        <v>1.0818736840000001</v>
      </c>
      <c r="D734" t="s">
        <v>8</v>
      </c>
      <c r="E734">
        <v>79.989999999999995</v>
      </c>
      <c r="G734" t="s">
        <v>1</v>
      </c>
    </row>
    <row r="735" spans="1:7" x14ac:dyDescent="0.4">
      <c r="A735" s="1">
        <v>44679</v>
      </c>
      <c r="B735">
        <v>1</v>
      </c>
      <c r="C735">
        <v>1.0818736840000001</v>
      </c>
      <c r="D735" t="s">
        <v>8</v>
      </c>
      <c r="E735">
        <v>80.55</v>
      </c>
      <c r="G735" t="s">
        <v>1</v>
      </c>
    </row>
    <row r="736" spans="1:7" x14ac:dyDescent="0.4">
      <c r="A736" s="1">
        <v>44680</v>
      </c>
      <c r="B736">
        <v>1</v>
      </c>
      <c r="C736">
        <v>1.0818736840000001</v>
      </c>
      <c r="D736" t="s">
        <v>8</v>
      </c>
      <c r="E736">
        <v>82.86</v>
      </c>
      <c r="G736" t="s">
        <v>1</v>
      </c>
    </row>
    <row r="737" spans="1:7" x14ac:dyDescent="0.4">
      <c r="A737" s="1">
        <v>44683</v>
      </c>
      <c r="B737">
        <v>1</v>
      </c>
      <c r="C737">
        <v>1.05785</v>
      </c>
      <c r="D737" t="s">
        <v>8</v>
      </c>
      <c r="E737">
        <v>82.84</v>
      </c>
      <c r="F737">
        <v>88</v>
      </c>
      <c r="G737" t="s">
        <v>1</v>
      </c>
    </row>
    <row r="738" spans="1:7" x14ac:dyDescent="0.4">
      <c r="A738" s="1">
        <v>44684</v>
      </c>
      <c r="B738">
        <v>1</v>
      </c>
      <c r="C738">
        <v>1.05785</v>
      </c>
      <c r="D738" t="s">
        <v>8</v>
      </c>
      <c r="E738">
        <v>84.25</v>
      </c>
      <c r="G738" t="s">
        <v>1</v>
      </c>
    </row>
    <row r="739" spans="1:7" x14ac:dyDescent="0.4">
      <c r="A739" s="1">
        <v>44686</v>
      </c>
      <c r="B739">
        <v>1</v>
      </c>
      <c r="C739">
        <v>1.05785</v>
      </c>
      <c r="D739" t="s">
        <v>8</v>
      </c>
      <c r="E739">
        <v>87.8</v>
      </c>
      <c r="G739" t="s">
        <v>1</v>
      </c>
    </row>
    <row r="740" spans="1:7" x14ac:dyDescent="0.4">
      <c r="A740" s="1">
        <v>44687</v>
      </c>
      <c r="B740">
        <v>1</v>
      </c>
      <c r="C740">
        <v>1.05785</v>
      </c>
      <c r="D740" t="s">
        <v>8</v>
      </c>
      <c r="E740">
        <v>90.77</v>
      </c>
      <c r="G740" t="s">
        <v>1</v>
      </c>
    </row>
    <row r="741" spans="1:7" x14ac:dyDescent="0.4">
      <c r="A741" s="1">
        <v>44690</v>
      </c>
      <c r="B741">
        <v>1</v>
      </c>
      <c r="C741">
        <v>1.05785</v>
      </c>
      <c r="D741" t="s">
        <v>8</v>
      </c>
      <c r="E741">
        <v>90.11</v>
      </c>
      <c r="F741">
        <v>87.99</v>
      </c>
      <c r="G741" t="s">
        <v>1</v>
      </c>
    </row>
    <row r="742" spans="1:7" x14ac:dyDescent="0.4">
      <c r="A742" s="1">
        <v>44691</v>
      </c>
      <c r="B742">
        <v>1</v>
      </c>
      <c r="C742">
        <v>1.05785</v>
      </c>
      <c r="D742" t="s">
        <v>8</v>
      </c>
      <c r="E742">
        <v>86.5</v>
      </c>
      <c r="G742" t="s">
        <v>1</v>
      </c>
    </row>
    <row r="743" spans="1:7" x14ac:dyDescent="0.4">
      <c r="A743" s="1">
        <v>44692</v>
      </c>
      <c r="B743">
        <v>1</v>
      </c>
      <c r="C743">
        <v>1.05785</v>
      </c>
      <c r="D743" t="s">
        <v>8</v>
      </c>
      <c r="E743">
        <v>89</v>
      </c>
      <c r="G743" t="s">
        <v>1</v>
      </c>
    </row>
    <row r="744" spans="1:7" x14ac:dyDescent="0.4">
      <c r="A744" s="1">
        <v>44693</v>
      </c>
      <c r="B744">
        <v>1</v>
      </c>
      <c r="C744">
        <v>1.05785</v>
      </c>
      <c r="D744" t="s">
        <v>8</v>
      </c>
      <c r="E744">
        <v>86.95</v>
      </c>
      <c r="G744" t="s">
        <v>1</v>
      </c>
    </row>
    <row r="745" spans="1:7" x14ac:dyDescent="0.4">
      <c r="A745" s="1">
        <v>44694</v>
      </c>
      <c r="B745">
        <v>1</v>
      </c>
      <c r="C745">
        <v>1.05785</v>
      </c>
      <c r="D745" t="s">
        <v>8</v>
      </c>
      <c r="E745">
        <v>88.75</v>
      </c>
      <c r="G745" t="s">
        <v>1</v>
      </c>
    </row>
    <row r="746" spans="1:7" x14ac:dyDescent="0.4">
      <c r="A746" s="1">
        <v>44697</v>
      </c>
      <c r="B746">
        <v>1</v>
      </c>
      <c r="C746">
        <v>1.05785</v>
      </c>
      <c r="D746" t="s">
        <v>8</v>
      </c>
      <c r="E746">
        <v>88.81</v>
      </c>
      <c r="F746">
        <v>85.9</v>
      </c>
      <c r="G746" t="s">
        <v>1</v>
      </c>
    </row>
    <row r="747" spans="1:7" x14ac:dyDescent="0.4">
      <c r="A747" s="1">
        <v>44698</v>
      </c>
      <c r="B747">
        <v>1</v>
      </c>
      <c r="C747">
        <v>1.05785</v>
      </c>
      <c r="D747" t="s">
        <v>8</v>
      </c>
      <c r="E747">
        <v>90.33</v>
      </c>
      <c r="G747" t="s">
        <v>1</v>
      </c>
    </row>
    <row r="748" spans="1:7" x14ac:dyDescent="0.4">
      <c r="A748" s="1">
        <v>44699</v>
      </c>
      <c r="B748">
        <v>1</v>
      </c>
      <c r="C748">
        <v>1.05785</v>
      </c>
      <c r="D748" t="s">
        <v>8</v>
      </c>
      <c r="E748">
        <v>87.25</v>
      </c>
      <c r="G748" t="s">
        <v>1</v>
      </c>
    </row>
    <row r="749" spans="1:7" x14ac:dyDescent="0.4">
      <c r="A749" s="1">
        <v>44700</v>
      </c>
      <c r="B749">
        <v>1</v>
      </c>
      <c r="C749">
        <v>1.05785</v>
      </c>
      <c r="D749" t="s">
        <v>8</v>
      </c>
      <c r="E749">
        <v>82.28</v>
      </c>
      <c r="G749" t="s">
        <v>1</v>
      </c>
    </row>
    <row r="750" spans="1:7" x14ac:dyDescent="0.4">
      <c r="A750" s="1">
        <v>44701</v>
      </c>
      <c r="B750">
        <v>1</v>
      </c>
      <c r="C750">
        <v>1.05785</v>
      </c>
      <c r="D750" t="s">
        <v>8</v>
      </c>
      <c r="E750">
        <v>81.150000000000006</v>
      </c>
      <c r="G750" t="s">
        <v>1</v>
      </c>
    </row>
    <row r="751" spans="1:7" x14ac:dyDescent="0.4">
      <c r="A751" s="1">
        <v>44704</v>
      </c>
      <c r="B751">
        <v>1</v>
      </c>
      <c r="C751">
        <v>1.05785</v>
      </c>
      <c r="D751" t="s">
        <v>8</v>
      </c>
      <c r="E751">
        <v>78.959999999999994</v>
      </c>
      <c r="F751">
        <v>81.97</v>
      </c>
      <c r="G751" t="s">
        <v>1</v>
      </c>
    </row>
    <row r="752" spans="1:7" x14ac:dyDescent="0.4">
      <c r="A752" s="1">
        <v>44705</v>
      </c>
      <c r="B752">
        <v>1</v>
      </c>
      <c r="C752">
        <v>1.05785</v>
      </c>
      <c r="D752" t="s">
        <v>8</v>
      </c>
      <c r="E752">
        <v>78.88</v>
      </c>
      <c r="G752" t="s">
        <v>1</v>
      </c>
    </row>
    <row r="753" spans="1:7" x14ac:dyDescent="0.4">
      <c r="A753" s="1">
        <v>44706</v>
      </c>
      <c r="B753">
        <v>1</v>
      </c>
      <c r="C753">
        <v>1.05785</v>
      </c>
      <c r="D753" t="s">
        <v>8</v>
      </c>
      <c r="E753">
        <v>80.430000000000007</v>
      </c>
      <c r="G753" t="s">
        <v>1</v>
      </c>
    </row>
    <row r="754" spans="1:7" x14ac:dyDescent="0.4">
      <c r="A754" s="1">
        <v>44711</v>
      </c>
      <c r="B754">
        <v>1</v>
      </c>
      <c r="C754">
        <v>1.05785</v>
      </c>
      <c r="D754" t="s">
        <v>8</v>
      </c>
      <c r="E754">
        <v>83.75</v>
      </c>
      <c r="F754">
        <v>85.46</v>
      </c>
      <c r="G754" t="s">
        <v>1</v>
      </c>
    </row>
    <row r="755" spans="1:7" x14ac:dyDescent="0.4">
      <c r="A755" s="1">
        <v>44712</v>
      </c>
      <c r="B755">
        <v>1</v>
      </c>
      <c r="C755">
        <v>1.05785</v>
      </c>
      <c r="D755" t="s">
        <v>8</v>
      </c>
      <c r="E755">
        <v>83.63</v>
      </c>
      <c r="G755" t="s">
        <v>1</v>
      </c>
    </row>
    <row r="756" spans="1:7" x14ac:dyDescent="0.4">
      <c r="A756" s="1">
        <v>44718</v>
      </c>
      <c r="B756">
        <v>1</v>
      </c>
      <c r="C756">
        <v>1.056581818</v>
      </c>
      <c r="D756" t="s">
        <v>8</v>
      </c>
      <c r="F756">
        <v>81.08</v>
      </c>
      <c r="G756" t="s">
        <v>1</v>
      </c>
    </row>
    <row r="757" spans="1:7" x14ac:dyDescent="0.4">
      <c r="A757" s="1">
        <v>44719</v>
      </c>
      <c r="B757">
        <v>1</v>
      </c>
      <c r="C757">
        <v>1.056581818</v>
      </c>
      <c r="D757" t="s">
        <v>8</v>
      </c>
      <c r="E757">
        <v>81.69</v>
      </c>
      <c r="G757" t="s">
        <v>1</v>
      </c>
    </row>
    <row r="758" spans="1:7" x14ac:dyDescent="0.4">
      <c r="A758" s="1">
        <v>44720</v>
      </c>
      <c r="B758">
        <v>1</v>
      </c>
      <c r="C758">
        <v>1.056581818</v>
      </c>
      <c r="D758" t="s">
        <v>8</v>
      </c>
      <c r="E758">
        <v>79.11</v>
      </c>
      <c r="G758" t="s">
        <v>1</v>
      </c>
    </row>
    <row r="759" spans="1:7" x14ac:dyDescent="0.4">
      <c r="A759" s="1">
        <v>44721</v>
      </c>
      <c r="B759">
        <v>1</v>
      </c>
      <c r="C759">
        <v>1.056581818</v>
      </c>
      <c r="D759" t="s">
        <v>8</v>
      </c>
      <c r="E759">
        <v>80.209999999999994</v>
      </c>
      <c r="G759" t="s">
        <v>1</v>
      </c>
    </row>
    <row r="760" spans="1:7" x14ac:dyDescent="0.4">
      <c r="A760" s="1">
        <v>44722</v>
      </c>
      <c r="B760">
        <v>1</v>
      </c>
      <c r="C760">
        <v>1.056581818</v>
      </c>
      <c r="D760" t="s">
        <v>8</v>
      </c>
      <c r="E760">
        <v>80.73</v>
      </c>
      <c r="G760" t="s">
        <v>1</v>
      </c>
    </row>
    <row r="761" spans="1:7" x14ac:dyDescent="0.4">
      <c r="A761" s="1">
        <v>44725</v>
      </c>
      <c r="B761">
        <v>1</v>
      </c>
      <c r="C761">
        <v>1.056581818</v>
      </c>
      <c r="D761" t="s">
        <v>8</v>
      </c>
      <c r="E761">
        <v>80.099999999999994</v>
      </c>
      <c r="F761">
        <v>83.45</v>
      </c>
      <c r="G761" t="s">
        <v>1</v>
      </c>
    </row>
    <row r="762" spans="1:7" x14ac:dyDescent="0.4">
      <c r="A762" s="1">
        <v>44726</v>
      </c>
      <c r="B762">
        <v>1</v>
      </c>
      <c r="C762">
        <v>1.056581818</v>
      </c>
      <c r="D762" t="s">
        <v>8</v>
      </c>
      <c r="E762">
        <v>82.31</v>
      </c>
      <c r="G762" t="s">
        <v>1</v>
      </c>
    </row>
    <row r="763" spans="1:7" x14ac:dyDescent="0.4">
      <c r="A763" s="1">
        <v>44727</v>
      </c>
      <c r="B763">
        <v>1</v>
      </c>
      <c r="C763">
        <v>1.056581818</v>
      </c>
      <c r="D763" t="s">
        <v>8</v>
      </c>
      <c r="E763">
        <v>84.45</v>
      </c>
      <c r="G763" t="s">
        <v>1</v>
      </c>
    </row>
    <row r="764" spans="1:7" x14ac:dyDescent="0.4">
      <c r="A764" s="1">
        <v>44728</v>
      </c>
      <c r="B764">
        <v>1</v>
      </c>
      <c r="C764">
        <v>1.056581818</v>
      </c>
      <c r="D764" t="s">
        <v>8</v>
      </c>
      <c r="E764">
        <v>85.95</v>
      </c>
      <c r="G764" t="s">
        <v>1</v>
      </c>
    </row>
    <row r="765" spans="1:7" x14ac:dyDescent="0.4">
      <c r="A765" s="1">
        <v>44729</v>
      </c>
      <c r="B765">
        <v>1</v>
      </c>
      <c r="C765">
        <v>1.056581818</v>
      </c>
      <c r="D765" t="s">
        <v>8</v>
      </c>
      <c r="E765">
        <v>83</v>
      </c>
      <c r="G765" t="s">
        <v>1</v>
      </c>
    </row>
    <row r="766" spans="1:7" x14ac:dyDescent="0.4">
      <c r="A766" s="1">
        <v>44732</v>
      </c>
      <c r="B766">
        <v>1</v>
      </c>
      <c r="C766">
        <v>1.056581818</v>
      </c>
      <c r="D766" t="s">
        <v>8</v>
      </c>
      <c r="E766">
        <v>83.51</v>
      </c>
      <c r="F766">
        <v>83.63</v>
      </c>
      <c r="G766" t="s">
        <v>1</v>
      </c>
    </row>
    <row r="767" spans="1:7" x14ac:dyDescent="0.4">
      <c r="A767" s="1">
        <v>44733</v>
      </c>
      <c r="B767">
        <v>1</v>
      </c>
      <c r="C767">
        <v>1.056581818</v>
      </c>
      <c r="D767" t="s">
        <v>8</v>
      </c>
      <c r="E767">
        <v>84.26</v>
      </c>
      <c r="G767" t="s">
        <v>1</v>
      </c>
    </row>
    <row r="768" spans="1:7" x14ac:dyDescent="0.4">
      <c r="A768" s="1">
        <v>44734</v>
      </c>
      <c r="B768">
        <v>1</v>
      </c>
      <c r="C768">
        <v>1.056581818</v>
      </c>
      <c r="D768" t="s">
        <v>8</v>
      </c>
      <c r="E768">
        <v>83.06</v>
      </c>
      <c r="G768" t="s">
        <v>1</v>
      </c>
    </row>
    <row r="769" spans="1:7" x14ac:dyDescent="0.4">
      <c r="A769" s="1">
        <v>44735</v>
      </c>
      <c r="B769">
        <v>1</v>
      </c>
      <c r="C769">
        <v>1.056581818</v>
      </c>
      <c r="D769" t="s">
        <v>8</v>
      </c>
      <c r="E769">
        <v>81.069999999999993</v>
      </c>
      <c r="G769" t="s">
        <v>1</v>
      </c>
    </row>
    <row r="770" spans="1:7" x14ac:dyDescent="0.4">
      <c r="A770" s="1">
        <v>44736</v>
      </c>
      <c r="B770">
        <v>1</v>
      </c>
      <c r="C770">
        <v>1.056581818</v>
      </c>
      <c r="D770" t="s">
        <v>8</v>
      </c>
      <c r="E770">
        <v>82.9</v>
      </c>
      <c r="G770" t="s">
        <v>1</v>
      </c>
    </row>
    <row r="771" spans="1:7" x14ac:dyDescent="0.4">
      <c r="A771" s="1">
        <v>44739</v>
      </c>
      <c r="B771">
        <v>1</v>
      </c>
      <c r="C771">
        <v>1.056581818</v>
      </c>
      <c r="D771" t="s">
        <v>8</v>
      </c>
      <c r="E771">
        <v>83.01</v>
      </c>
      <c r="F771">
        <v>87.31</v>
      </c>
      <c r="G771" t="s">
        <v>1</v>
      </c>
    </row>
    <row r="772" spans="1:7" x14ac:dyDescent="0.4">
      <c r="A772" s="1">
        <v>44740</v>
      </c>
      <c r="B772">
        <v>1</v>
      </c>
      <c r="C772">
        <v>1.056581818</v>
      </c>
      <c r="D772" t="s">
        <v>8</v>
      </c>
      <c r="E772">
        <v>84.54</v>
      </c>
      <c r="G772" t="s">
        <v>1</v>
      </c>
    </row>
    <row r="773" spans="1:7" x14ac:dyDescent="0.4">
      <c r="A773" s="1">
        <v>44742</v>
      </c>
      <c r="B773">
        <v>1</v>
      </c>
      <c r="C773">
        <v>1.056581818</v>
      </c>
      <c r="D773" t="s">
        <v>8</v>
      </c>
      <c r="E773">
        <v>88.02</v>
      </c>
      <c r="G773" t="s">
        <v>1</v>
      </c>
    </row>
    <row r="774" spans="1:7" x14ac:dyDescent="0.4">
      <c r="A774" s="1">
        <v>44743</v>
      </c>
      <c r="B774">
        <v>1</v>
      </c>
      <c r="C774">
        <v>1.017890476</v>
      </c>
      <c r="D774" t="s">
        <v>8</v>
      </c>
      <c r="E774">
        <v>88.22</v>
      </c>
      <c r="G774" t="s">
        <v>1</v>
      </c>
    </row>
    <row r="775" spans="1:7" x14ac:dyDescent="0.4">
      <c r="A775" s="1">
        <v>44746</v>
      </c>
      <c r="B775">
        <v>1</v>
      </c>
      <c r="C775">
        <v>1.017890476</v>
      </c>
      <c r="D775" t="s">
        <v>8</v>
      </c>
      <c r="E775">
        <v>84.34</v>
      </c>
      <c r="F775">
        <v>83.73</v>
      </c>
      <c r="G775" t="s">
        <v>1</v>
      </c>
    </row>
    <row r="776" spans="1:7" x14ac:dyDescent="0.4">
      <c r="A776" s="1">
        <v>44747</v>
      </c>
      <c r="B776">
        <v>1</v>
      </c>
      <c r="C776">
        <v>1.017890476</v>
      </c>
      <c r="D776" t="s">
        <v>8</v>
      </c>
      <c r="E776">
        <v>83.38</v>
      </c>
      <c r="G776" t="s">
        <v>1</v>
      </c>
    </row>
    <row r="777" spans="1:7" x14ac:dyDescent="0.4">
      <c r="A777" s="1">
        <v>44748</v>
      </c>
      <c r="B777">
        <v>1</v>
      </c>
      <c r="C777">
        <v>1.017890476</v>
      </c>
      <c r="D777" t="s">
        <v>8</v>
      </c>
      <c r="E777">
        <v>82.63</v>
      </c>
      <c r="G777" t="s">
        <v>1</v>
      </c>
    </row>
    <row r="778" spans="1:7" x14ac:dyDescent="0.4">
      <c r="A778" s="1">
        <v>44749</v>
      </c>
      <c r="B778">
        <v>1</v>
      </c>
      <c r="C778">
        <v>1.017890476</v>
      </c>
      <c r="D778" t="s">
        <v>8</v>
      </c>
      <c r="E778">
        <v>83.36</v>
      </c>
      <c r="G778" t="s">
        <v>1</v>
      </c>
    </row>
    <row r="779" spans="1:7" x14ac:dyDescent="0.4">
      <c r="A779" s="1">
        <v>44750</v>
      </c>
      <c r="B779">
        <v>1</v>
      </c>
      <c r="C779">
        <v>1.017890476</v>
      </c>
      <c r="D779" t="s">
        <v>8</v>
      </c>
      <c r="E779">
        <v>82.63</v>
      </c>
      <c r="G779" t="s">
        <v>1</v>
      </c>
    </row>
    <row r="780" spans="1:7" x14ac:dyDescent="0.4">
      <c r="A780" s="1">
        <v>44753</v>
      </c>
      <c r="B780">
        <v>1</v>
      </c>
      <c r="C780">
        <v>1.017890476</v>
      </c>
      <c r="D780" t="s">
        <v>8</v>
      </c>
      <c r="E780">
        <v>83.4</v>
      </c>
      <c r="F780">
        <v>84.64</v>
      </c>
      <c r="G780" t="s">
        <v>1</v>
      </c>
    </row>
    <row r="781" spans="1:7" x14ac:dyDescent="0.4">
      <c r="A781" s="1">
        <v>44754</v>
      </c>
      <c r="B781">
        <v>1</v>
      </c>
      <c r="C781">
        <v>1.017890476</v>
      </c>
      <c r="D781" t="s">
        <v>8</v>
      </c>
      <c r="E781">
        <v>83.89</v>
      </c>
      <c r="G781" t="s">
        <v>1</v>
      </c>
    </row>
    <row r="782" spans="1:7" x14ac:dyDescent="0.4">
      <c r="A782" s="1">
        <v>44756</v>
      </c>
      <c r="B782">
        <v>1</v>
      </c>
      <c r="C782">
        <v>1.017890476</v>
      </c>
      <c r="D782" t="s">
        <v>8</v>
      </c>
      <c r="E782">
        <v>83</v>
      </c>
      <c r="G782" t="s">
        <v>1</v>
      </c>
    </row>
    <row r="783" spans="1:7" x14ac:dyDescent="0.4">
      <c r="A783" s="1">
        <v>44757</v>
      </c>
      <c r="B783">
        <v>1</v>
      </c>
      <c r="C783">
        <v>1.017890476</v>
      </c>
      <c r="D783" t="s">
        <v>8</v>
      </c>
      <c r="E783">
        <v>83.71</v>
      </c>
      <c r="G783" t="s">
        <v>1</v>
      </c>
    </row>
    <row r="784" spans="1:7" x14ac:dyDescent="0.4">
      <c r="A784" s="1">
        <v>44760</v>
      </c>
      <c r="B784">
        <v>1</v>
      </c>
      <c r="C784">
        <v>1.017890476</v>
      </c>
      <c r="D784" t="s">
        <v>8</v>
      </c>
      <c r="E784">
        <v>83.33</v>
      </c>
      <c r="F784">
        <v>80.37</v>
      </c>
      <c r="G784" t="s">
        <v>1</v>
      </c>
    </row>
    <row r="785" spans="1:7" x14ac:dyDescent="0.4">
      <c r="A785" s="1">
        <v>44761</v>
      </c>
      <c r="B785">
        <v>1</v>
      </c>
      <c r="C785">
        <v>1.017890476</v>
      </c>
      <c r="D785" t="s">
        <v>8</v>
      </c>
      <c r="E785">
        <v>83.61</v>
      </c>
      <c r="G785" t="s">
        <v>1</v>
      </c>
    </row>
    <row r="786" spans="1:7" x14ac:dyDescent="0.4">
      <c r="A786" s="1">
        <v>44762</v>
      </c>
      <c r="B786">
        <v>1</v>
      </c>
      <c r="C786">
        <v>1.017890476</v>
      </c>
      <c r="D786" t="s">
        <v>8</v>
      </c>
      <c r="E786">
        <v>81.22</v>
      </c>
      <c r="G786" t="s">
        <v>1</v>
      </c>
    </row>
    <row r="787" spans="1:7" x14ac:dyDescent="0.4">
      <c r="A787" s="1">
        <v>44763</v>
      </c>
      <c r="B787">
        <v>1</v>
      </c>
      <c r="C787">
        <v>1.017890476</v>
      </c>
      <c r="D787" t="s">
        <v>8</v>
      </c>
      <c r="E787">
        <v>77.599999999999994</v>
      </c>
      <c r="G787" t="s">
        <v>1</v>
      </c>
    </row>
    <row r="788" spans="1:7" x14ac:dyDescent="0.4">
      <c r="A788" s="1">
        <v>44764</v>
      </c>
      <c r="B788">
        <v>1</v>
      </c>
      <c r="C788">
        <v>1.017890476</v>
      </c>
      <c r="D788" t="s">
        <v>8</v>
      </c>
      <c r="E788">
        <v>78.06</v>
      </c>
      <c r="G788" t="s">
        <v>1</v>
      </c>
    </row>
    <row r="789" spans="1:7" x14ac:dyDescent="0.4">
      <c r="A789" s="1">
        <v>44767</v>
      </c>
      <c r="B789">
        <v>1</v>
      </c>
      <c r="C789">
        <v>1.017890476</v>
      </c>
      <c r="D789" t="s">
        <v>8</v>
      </c>
      <c r="E789">
        <v>76.09</v>
      </c>
      <c r="F789">
        <v>77.34</v>
      </c>
      <c r="G789" t="s">
        <v>1</v>
      </c>
    </row>
    <row r="790" spans="1:7" x14ac:dyDescent="0.4">
      <c r="A790" s="1">
        <v>44768</v>
      </c>
      <c r="B790">
        <v>1</v>
      </c>
      <c r="C790">
        <v>1.017890476</v>
      </c>
      <c r="D790" t="s">
        <v>8</v>
      </c>
      <c r="E790">
        <v>76.510000000000005</v>
      </c>
      <c r="G790" t="s">
        <v>1</v>
      </c>
    </row>
    <row r="791" spans="1:7" x14ac:dyDescent="0.4">
      <c r="A791" s="1">
        <v>44770</v>
      </c>
      <c r="B791">
        <v>1</v>
      </c>
      <c r="C791">
        <v>1.017890476</v>
      </c>
      <c r="D791" t="s">
        <v>8</v>
      </c>
      <c r="E791">
        <v>77.08</v>
      </c>
      <c r="G791" t="s">
        <v>1</v>
      </c>
    </row>
    <row r="792" spans="1:7" x14ac:dyDescent="0.4">
      <c r="A792" s="1">
        <v>44771</v>
      </c>
      <c r="B792">
        <v>1</v>
      </c>
      <c r="C792">
        <v>1.017890476</v>
      </c>
      <c r="D792" t="s">
        <v>8</v>
      </c>
      <c r="E792">
        <v>77.959999999999994</v>
      </c>
      <c r="G792" t="s">
        <v>1</v>
      </c>
    </row>
    <row r="793" spans="1:7" x14ac:dyDescent="0.4">
      <c r="A793" s="1">
        <v>44774</v>
      </c>
      <c r="B793">
        <v>1</v>
      </c>
      <c r="C793">
        <v>1.012843478</v>
      </c>
      <c r="D793" t="s">
        <v>8</v>
      </c>
      <c r="E793">
        <v>79.5</v>
      </c>
      <c r="F793">
        <v>83.09</v>
      </c>
      <c r="G793" t="s">
        <v>1</v>
      </c>
    </row>
    <row r="794" spans="1:7" x14ac:dyDescent="0.4">
      <c r="A794" s="1">
        <v>44775</v>
      </c>
      <c r="B794">
        <v>1</v>
      </c>
      <c r="C794">
        <v>1.012843478</v>
      </c>
      <c r="D794" t="s">
        <v>8</v>
      </c>
      <c r="E794">
        <v>80.510000000000005</v>
      </c>
      <c r="G794" t="s">
        <v>1</v>
      </c>
    </row>
    <row r="795" spans="1:7" x14ac:dyDescent="0.4">
      <c r="A795" s="1">
        <v>44776</v>
      </c>
      <c r="B795">
        <v>1</v>
      </c>
      <c r="C795">
        <v>1.012843478</v>
      </c>
      <c r="D795" t="s">
        <v>8</v>
      </c>
      <c r="E795">
        <v>83.45</v>
      </c>
      <c r="G795" t="s">
        <v>1</v>
      </c>
    </row>
    <row r="796" spans="1:7" x14ac:dyDescent="0.4">
      <c r="A796" s="1">
        <v>44777</v>
      </c>
      <c r="B796">
        <v>1</v>
      </c>
      <c r="C796">
        <v>1.012843478</v>
      </c>
      <c r="D796" t="s">
        <v>8</v>
      </c>
      <c r="E796">
        <v>83.81</v>
      </c>
      <c r="G796" t="s">
        <v>1</v>
      </c>
    </row>
    <row r="797" spans="1:7" x14ac:dyDescent="0.4">
      <c r="A797" s="1">
        <v>44778</v>
      </c>
      <c r="B797">
        <v>1</v>
      </c>
      <c r="C797">
        <v>1.012843478</v>
      </c>
      <c r="D797" t="s">
        <v>8</v>
      </c>
      <c r="E797">
        <v>84.5</v>
      </c>
      <c r="G797" t="s">
        <v>1</v>
      </c>
    </row>
    <row r="798" spans="1:7" x14ac:dyDescent="0.4">
      <c r="A798" s="1">
        <v>44781</v>
      </c>
      <c r="B798">
        <v>1</v>
      </c>
      <c r="C798">
        <v>1.012843478</v>
      </c>
      <c r="D798" t="s">
        <v>8</v>
      </c>
      <c r="E798">
        <v>84.6</v>
      </c>
      <c r="F798">
        <v>86.42</v>
      </c>
      <c r="G798" t="s">
        <v>1</v>
      </c>
    </row>
    <row r="799" spans="1:7" x14ac:dyDescent="0.4">
      <c r="A799" s="1">
        <v>44782</v>
      </c>
      <c r="B799">
        <v>1</v>
      </c>
      <c r="C799">
        <v>1.012843478</v>
      </c>
      <c r="D799" t="s">
        <v>8</v>
      </c>
      <c r="E799">
        <v>84.06</v>
      </c>
      <c r="G799" t="s">
        <v>1</v>
      </c>
    </row>
    <row r="800" spans="1:7" x14ac:dyDescent="0.4">
      <c r="A800" s="1">
        <v>44784</v>
      </c>
      <c r="B800">
        <v>1</v>
      </c>
      <c r="C800">
        <v>1.012843478</v>
      </c>
      <c r="D800" t="s">
        <v>8</v>
      </c>
      <c r="E800">
        <v>86.35</v>
      </c>
      <c r="G800" t="s">
        <v>1</v>
      </c>
    </row>
    <row r="801" spans="1:7" x14ac:dyDescent="0.4">
      <c r="A801" s="1">
        <v>44785</v>
      </c>
      <c r="B801">
        <v>1</v>
      </c>
      <c r="C801">
        <v>1.012843478</v>
      </c>
      <c r="D801" t="s">
        <v>8</v>
      </c>
      <c r="E801">
        <v>87.3</v>
      </c>
      <c r="G801" t="s">
        <v>1</v>
      </c>
    </row>
    <row r="802" spans="1:7" x14ac:dyDescent="0.4">
      <c r="A802" s="1">
        <v>44788</v>
      </c>
      <c r="B802">
        <v>1</v>
      </c>
      <c r="C802">
        <v>1.012843478</v>
      </c>
      <c r="D802" t="s">
        <v>8</v>
      </c>
      <c r="E802">
        <v>89.5</v>
      </c>
      <c r="F802">
        <v>94.54</v>
      </c>
      <c r="G802" t="s">
        <v>1</v>
      </c>
    </row>
    <row r="803" spans="1:7" x14ac:dyDescent="0.4">
      <c r="A803" s="1">
        <v>44789</v>
      </c>
      <c r="B803">
        <v>1</v>
      </c>
      <c r="C803">
        <v>1.012843478</v>
      </c>
      <c r="D803" t="s">
        <v>8</v>
      </c>
      <c r="E803">
        <v>90.64</v>
      </c>
      <c r="G803" t="s">
        <v>1</v>
      </c>
    </row>
    <row r="804" spans="1:7" x14ac:dyDescent="0.4">
      <c r="A804" s="1">
        <v>44790</v>
      </c>
      <c r="B804">
        <v>1</v>
      </c>
      <c r="C804">
        <v>1.012843478</v>
      </c>
      <c r="D804" t="s">
        <v>8</v>
      </c>
      <c r="E804">
        <v>94.07</v>
      </c>
      <c r="G804" t="s">
        <v>1</v>
      </c>
    </row>
    <row r="805" spans="1:7" x14ac:dyDescent="0.4">
      <c r="A805" s="1">
        <v>44791</v>
      </c>
      <c r="B805">
        <v>1</v>
      </c>
      <c r="C805">
        <v>1.012843478</v>
      </c>
      <c r="D805" t="s">
        <v>8</v>
      </c>
      <c r="E805">
        <v>94</v>
      </c>
      <c r="G805" t="s">
        <v>1</v>
      </c>
    </row>
    <row r="806" spans="1:7" x14ac:dyDescent="0.4">
      <c r="A806" s="1">
        <v>44792</v>
      </c>
      <c r="B806">
        <v>1</v>
      </c>
      <c r="C806">
        <v>1.012843478</v>
      </c>
      <c r="D806" t="s">
        <v>8</v>
      </c>
      <c r="E806">
        <v>96.87</v>
      </c>
      <c r="G806" t="s">
        <v>1</v>
      </c>
    </row>
    <row r="807" spans="1:7" x14ac:dyDescent="0.4">
      <c r="A807" s="1">
        <v>44795</v>
      </c>
      <c r="B807">
        <v>1</v>
      </c>
      <c r="C807">
        <v>1.012843478</v>
      </c>
      <c r="D807" t="s">
        <v>8</v>
      </c>
      <c r="E807">
        <v>97.5</v>
      </c>
      <c r="F807">
        <v>90.06</v>
      </c>
      <c r="G807" t="s">
        <v>1</v>
      </c>
    </row>
    <row r="808" spans="1:7" x14ac:dyDescent="0.4">
      <c r="A808" s="1">
        <v>44796</v>
      </c>
      <c r="B808">
        <v>1</v>
      </c>
      <c r="C808">
        <v>1.012843478</v>
      </c>
      <c r="D808" t="s">
        <v>8</v>
      </c>
      <c r="E808">
        <v>92.52</v>
      </c>
      <c r="G808" t="s">
        <v>1</v>
      </c>
    </row>
    <row r="809" spans="1:7" x14ac:dyDescent="0.4">
      <c r="A809" s="1">
        <v>44798</v>
      </c>
      <c r="B809">
        <v>1</v>
      </c>
      <c r="C809">
        <v>1.012843478</v>
      </c>
      <c r="D809" t="s">
        <v>8</v>
      </c>
      <c r="E809">
        <v>89.3</v>
      </c>
      <c r="G809" t="s">
        <v>1</v>
      </c>
    </row>
    <row r="810" spans="1:7" x14ac:dyDescent="0.4">
      <c r="A810" s="1">
        <v>44799</v>
      </c>
      <c r="B810">
        <v>1</v>
      </c>
      <c r="C810">
        <v>1.012843478</v>
      </c>
      <c r="D810" t="s">
        <v>8</v>
      </c>
      <c r="E810">
        <v>89.56</v>
      </c>
      <c r="G810" t="s">
        <v>1</v>
      </c>
    </row>
    <row r="811" spans="1:7" x14ac:dyDescent="0.4">
      <c r="A811" s="1">
        <v>44802</v>
      </c>
      <c r="B811">
        <v>1</v>
      </c>
      <c r="C811">
        <v>1.012843478</v>
      </c>
      <c r="D811" t="s">
        <v>8</v>
      </c>
      <c r="E811">
        <v>88.81</v>
      </c>
      <c r="F811">
        <v>81.239999999999995</v>
      </c>
      <c r="G811" t="s">
        <v>1</v>
      </c>
    </row>
    <row r="812" spans="1:7" x14ac:dyDescent="0.4">
      <c r="A812" s="1">
        <v>44803</v>
      </c>
      <c r="B812">
        <v>1</v>
      </c>
      <c r="C812">
        <v>1.012843478</v>
      </c>
      <c r="D812" t="s">
        <v>8</v>
      </c>
      <c r="E812">
        <v>85.13</v>
      </c>
      <c r="G812" t="s">
        <v>1</v>
      </c>
    </row>
    <row r="813" spans="1:7" x14ac:dyDescent="0.4">
      <c r="A813" s="1">
        <v>44804</v>
      </c>
      <c r="B813">
        <v>1</v>
      </c>
      <c r="C813">
        <v>1.012843478</v>
      </c>
      <c r="D813" t="s">
        <v>8</v>
      </c>
      <c r="E813">
        <v>78.959999999999994</v>
      </c>
      <c r="G813" t="s">
        <v>1</v>
      </c>
    </row>
    <row r="814" spans="1:7" x14ac:dyDescent="0.4">
      <c r="A814" s="1">
        <v>44805</v>
      </c>
      <c r="B814">
        <v>1</v>
      </c>
      <c r="C814">
        <v>0.990377273</v>
      </c>
      <c r="D814" t="s">
        <v>8</v>
      </c>
      <c r="E814">
        <v>77.010000000000005</v>
      </c>
      <c r="G814" t="s">
        <v>1</v>
      </c>
    </row>
    <row r="815" spans="1:7" x14ac:dyDescent="0.4">
      <c r="A815" s="1">
        <v>44806</v>
      </c>
      <c r="B815">
        <v>1</v>
      </c>
      <c r="C815">
        <v>0.990377273</v>
      </c>
      <c r="D815" t="s">
        <v>8</v>
      </c>
      <c r="E815">
        <v>78.41</v>
      </c>
      <c r="G815" t="s">
        <v>1</v>
      </c>
    </row>
    <row r="816" spans="1:7" x14ac:dyDescent="0.4">
      <c r="A816" s="1">
        <v>44809</v>
      </c>
      <c r="B816">
        <v>1</v>
      </c>
      <c r="C816">
        <v>0.990377273</v>
      </c>
      <c r="D816" t="s">
        <v>8</v>
      </c>
      <c r="E816">
        <v>73.75</v>
      </c>
      <c r="F816">
        <v>69.34</v>
      </c>
      <c r="G816" t="s">
        <v>1</v>
      </c>
    </row>
    <row r="817" spans="1:7" x14ac:dyDescent="0.4">
      <c r="A817" s="1">
        <v>44810</v>
      </c>
      <c r="B817">
        <v>1</v>
      </c>
      <c r="C817">
        <v>0.990377273</v>
      </c>
      <c r="D817" t="s">
        <v>8</v>
      </c>
      <c r="E817">
        <v>71.05</v>
      </c>
      <c r="G817" t="s">
        <v>1</v>
      </c>
    </row>
    <row r="818" spans="1:7" x14ac:dyDescent="0.4">
      <c r="A818" s="1">
        <v>44811</v>
      </c>
      <c r="B818">
        <v>1</v>
      </c>
      <c r="C818">
        <v>0.990377273</v>
      </c>
      <c r="D818" t="s">
        <v>8</v>
      </c>
      <c r="E818">
        <v>69.06</v>
      </c>
      <c r="G818" t="s">
        <v>1</v>
      </c>
    </row>
    <row r="819" spans="1:7" x14ac:dyDescent="0.4">
      <c r="A819" s="1">
        <v>44813</v>
      </c>
      <c r="B819">
        <v>1</v>
      </c>
      <c r="C819">
        <v>0.990377273</v>
      </c>
      <c r="D819" t="s">
        <v>8</v>
      </c>
      <c r="E819">
        <v>65.209999999999994</v>
      </c>
      <c r="G819" t="s">
        <v>1</v>
      </c>
    </row>
    <row r="820" spans="1:7" x14ac:dyDescent="0.4">
      <c r="A820" s="1">
        <v>44816</v>
      </c>
      <c r="B820">
        <v>1</v>
      </c>
      <c r="C820">
        <v>0.990377273</v>
      </c>
      <c r="D820" t="s">
        <v>8</v>
      </c>
      <c r="E820">
        <v>65.959999999999994</v>
      </c>
      <c r="F820">
        <v>71.849999999999994</v>
      </c>
      <c r="G820" t="s">
        <v>1</v>
      </c>
    </row>
    <row r="821" spans="1:7" x14ac:dyDescent="0.4">
      <c r="A821" s="1">
        <v>44817</v>
      </c>
      <c r="B821">
        <v>1</v>
      </c>
      <c r="C821">
        <v>0.990377273</v>
      </c>
      <c r="D821" t="s">
        <v>8</v>
      </c>
      <c r="E821">
        <v>70.48</v>
      </c>
      <c r="G821" t="s">
        <v>1</v>
      </c>
    </row>
    <row r="822" spans="1:7" x14ac:dyDescent="0.4">
      <c r="A822" s="1">
        <v>44818</v>
      </c>
      <c r="B822">
        <v>1</v>
      </c>
      <c r="C822">
        <v>0.990377273</v>
      </c>
      <c r="D822" t="s">
        <v>8</v>
      </c>
      <c r="E822">
        <v>68.290000000000006</v>
      </c>
      <c r="G822" t="s">
        <v>1</v>
      </c>
    </row>
    <row r="823" spans="1:7" x14ac:dyDescent="0.4">
      <c r="A823" s="1">
        <v>44819</v>
      </c>
      <c r="B823">
        <v>1</v>
      </c>
      <c r="C823">
        <v>0.990377273</v>
      </c>
      <c r="D823" t="s">
        <v>8</v>
      </c>
      <c r="E823">
        <v>70.84</v>
      </c>
      <c r="G823" t="s">
        <v>1</v>
      </c>
    </row>
    <row r="824" spans="1:7" x14ac:dyDescent="0.4">
      <c r="A824" s="1">
        <v>44820</v>
      </c>
      <c r="B824">
        <v>1</v>
      </c>
      <c r="C824">
        <v>0.990377273</v>
      </c>
      <c r="D824" t="s">
        <v>8</v>
      </c>
      <c r="E824">
        <v>71</v>
      </c>
      <c r="G824" t="s">
        <v>1</v>
      </c>
    </row>
    <row r="825" spans="1:7" x14ac:dyDescent="0.4">
      <c r="A825" s="1">
        <v>44823</v>
      </c>
      <c r="B825">
        <v>1</v>
      </c>
      <c r="C825">
        <v>0.990377273</v>
      </c>
      <c r="D825" t="s">
        <v>8</v>
      </c>
      <c r="E825">
        <v>71.11</v>
      </c>
      <c r="F825">
        <v>69.650000000000006</v>
      </c>
      <c r="G825" t="s">
        <v>1</v>
      </c>
    </row>
    <row r="826" spans="1:7" x14ac:dyDescent="0.4">
      <c r="A826" s="1">
        <v>44824</v>
      </c>
      <c r="B826">
        <v>1</v>
      </c>
      <c r="C826">
        <v>0.990377273</v>
      </c>
      <c r="D826" t="s">
        <v>8</v>
      </c>
      <c r="E826">
        <v>70.38</v>
      </c>
      <c r="G826" t="s">
        <v>1</v>
      </c>
    </row>
    <row r="827" spans="1:7" x14ac:dyDescent="0.4">
      <c r="A827" s="1">
        <v>44825</v>
      </c>
      <c r="B827">
        <v>1</v>
      </c>
      <c r="C827">
        <v>0.990377273</v>
      </c>
      <c r="D827" t="s">
        <v>8</v>
      </c>
      <c r="E827">
        <v>70.39</v>
      </c>
      <c r="G827" t="s">
        <v>1</v>
      </c>
    </row>
    <row r="828" spans="1:7" x14ac:dyDescent="0.4">
      <c r="A828" s="1">
        <v>44826</v>
      </c>
      <c r="B828">
        <v>1</v>
      </c>
      <c r="C828">
        <v>0.990377273</v>
      </c>
      <c r="D828" t="s">
        <v>8</v>
      </c>
      <c r="E828">
        <v>69.88</v>
      </c>
      <c r="G828" t="s">
        <v>1</v>
      </c>
    </row>
    <row r="829" spans="1:7" x14ac:dyDescent="0.4">
      <c r="A829" s="1">
        <v>44827</v>
      </c>
      <c r="B829">
        <v>1</v>
      </c>
      <c r="C829">
        <v>0.990377273</v>
      </c>
      <c r="D829" t="s">
        <v>8</v>
      </c>
      <c r="E829">
        <v>67.56</v>
      </c>
      <c r="G829" t="s">
        <v>1</v>
      </c>
    </row>
    <row r="830" spans="1:7" x14ac:dyDescent="0.4">
      <c r="A830" s="1">
        <v>44830</v>
      </c>
      <c r="B830">
        <v>1</v>
      </c>
      <c r="C830">
        <v>0.990377273</v>
      </c>
      <c r="D830" t="s">
        <v>8</v>
      </c>
      <c r="E830">
        <v>66.02</v>
      </c>
      <c r="F830">
        <v>67.180000000000007</v>
      </c>
      <c r="G830" t="s">
        <v>1</v>
      </c>
    </row>
    <row r="831" spans="1:7" x14ac:dyDescent="0.4">
      <c r="A831" s="1">
        <v>44831</v>
      </c>
      <c r="B831">
        <v>1</v>
      </c>
      <c r="C831">
        <v>0.990377273</v>
      </c>
      <c r="D831" t="s">
        <v>8</v>
      </c>
      <c r="E831">
        <v>67.7</v>
      </c>
      <c r="G831" t="s">
        <v>1</v>
      </c>
    </row>
    <row r="832" spans="1:7" x14ac:dyDescent="0.4">
      <c r="A832" s="1">
        <v>44832</v>
      </c>
      <c r="B832">
        <v>1</v>
      </c>
      <c r="C832">
        <v>0.990377273</v>
      </c>
      <c r="D832" t="s">
        <v>8</v>
      </c>
      <c r="E832">
        <v>64.709999999999994</v>
      </c>
      <c r="G832" t="s">
        <v>1</v>
      </c>
    </row>
    <row r="833" spans="1:7" x14ac:dyDescent="0.4">
      <c r="A833" s="1">
        <v>44833</v>
      </c>
      <c r="B833">
        <v>1</v>
      </c>
      <c r="C833">
        <v>0.990377273</v>
      </c>
      <c r="D833" t="s">
        <v>8</v>
      </c>
      <c r="E833">
        <v>64.7</v>
      </c>
      <c r="G833" t="s">
        <v>1</v>
      </c>
    </row>
    <row r="834" spans="1:7" x14ac:dyDescent="0.4">
      <c r="A834" s="1">
        <v>44834</v>
      </c>
      <c r="B834">
        <v>1</v>
      </c>
      <c r="C834">
        <v>0.990377273</v>
      </c>
      <c r="D834" t="s">
        <v>8</v>
      </c>
      <c r="E834">
        <v>66.87</v>
      </c>
      <c r="G834" t="s">
        <v>1</v>
      </c>
    </row>
    <row r="835" spans="1:7" x14ac:dyDescent="0.4">
      <c r="A835" s="1">
        <v>44837</v>
      </c>
      <c r="B835">
        <v>1</v>
      </c>
      <c r="C835">
        <v>0.98256666699999995</v>
      </c>
      <c r="D835" t="s">
        <v>8</v>
      </c>
      <c r="E835">
        <v>64.45</v>
      </c>
      <c r="F835">
        <v>67.75</v>
      </c>
      <c r="G835" t="s">
        <v>1</v>
      </c>
    </row>
    <row r="836" spans="1:7" x14ac:dyDescent="0.4">
      <c r="A836" s="1">
        <v>44838</v>
      </c>
      <c r="B836">
        <v>1</v>
      </c>
      <c r="C836">
        <v>0.98256666699999995</v>
      </c>
      <c r="D836" t="s">
        <v>8</v>
      </c>
      <c r="E836">
        <v>66.17</v>
      </c>
      <c r="G836" t="s">
        <v>1</v>
      </c>
    </row>
    <row r="837" spans="1:7" x14ac:dyDescent="0.4">
      <c r="A837" s="1">
        <v>44840</v>
      </c>
      <c r="B837">
        <v>1</v>
      </c>
      <c r="C837">
        <v>0.98256666699999995</v>
      </c>
      <c r="D837" t="s">
        <v>8</v>
      </c>
      <c r="E837">
        <v>65.760000000000005</v>
      </c>
      <c r="G837" t="s">
        <v>1</v>
      </c>
    </row>
    <row r="838" spans="1:7" x14ac:dyDescent="0.4">
      <c r="A838" s="1">
        <v>44841</v>
      </c>
      <c r="B838">
        <v>1</v>
      </c>
      <c r="C838">
        <v>0.98256666699999995</v>
      </c>
      <c r="D838" t="s">
        <v>8</v>
      </c>
      <c r="E838">
        <v>67.52</v>
      </c>
      <c r="G838" t="s">
        <v>1</v>
      </c>
    </row>
    <row r="839" spans="1:7" x14ac:dyDescent="0.4">
      <c r="A839" s="1">
        <v>44844</v>
      </c>
      <c r="B839">
        <v>1</v>
      </c>
      <c r="C839">
        <v>0.98256666699999995</v>
      </c>
      <c r="D839" t="s">
        <v>8</v>
      </c>
      <c r="E839">
        <v>67.010000000000005</v>
      </c>
      <c r="F839">
        <v>67.34</v>
      </c>
      <c r="G839" t="s">
        <v>1</v>
      </c>
    </row>
    <row r="840" spans="1:7" x14ac:dyDescent="0.4">
      <c r="A840" s="1">
        <v>44845</v>
      </c>
      <c r="B840">
        <v>1</v>
      </c>
      <c r="C840">
        <v>0.98256666699999995</v>
      </c>
      <c r="D840" t="s">
        <v>8</v>
      </c>
      <c r="E840">
        <v>66.34</v>
      </c>
      <c r="G840" t="s">
        <v>1</v>
      </c>
    </row>
    <row r="841" spans="1:7" x14ac:dyDescent="0.4">
      <c r="A841" s="1">
        <v>44846</v>
      </c>
      <c r="B841">
        <v>1</v>
      </c>
      <c r="C841">
        <v>0.98256666699999995</v>
      </c>
      <c r="D841" t="s">
        <v>8</v>
      </c>
      <c r="E841">
        <v>65.760000000000005</v>
      </c>
      <c r="G841" t="s">
        <v>1</v>
      </c>
    </row>
    <row r="842" spans="1:7" x14ac:dyDescent="0.4">
      <c r="A842" s="1">
        <v>44847</v>
      </c>
      <c r="B842">
        <v>1</v>
      </c>
      <c r="C842">
        <v>0.98256666699999995</v>
      </c>
      <c r="D842" t="s">
        <v>8</v>
      </c>
      <c r="E842">
        <v>66.650000000000006</v>
      </c>
      <c r="G842" t="s">
        <v>1</v>
      </c>
    </row>
    <row r="843" spans="1:7" x14ac:dyDescent="0.4">
      <c r="A843" s="1">
        <v>44848</v>
      </c>
      <c r="B843">
        <v>1</v>
      </c>
      <c r="C843">
        <v>0.98256666699999995</v>
      </c>
      <c r="D843" t="s">
        <v>8</v>
      </c>
      <c r="E843">
        <v>67.7</v>
      </c>
      <c r="G843" t="s">
        <v>1</v>
      </c>
    </row>
    <row r="844" spans="1:7" x14ac:dyDescent="0.4">
      <c r="A844" s="1">
        <v>44851</v>
      </c>
      <c r="B844">
        <v>1</v>
      </c>
      <c r="C844">
        <v>0.98256666699999995</v>
      </c>
      <c r="D844" t="s">
        <v>8</v>
      </c>
      <c r="E844">
        <v>66.25</v>
      </c>
      <c r="F844">
        <v>67.63</v>
      </c>
      <c r="G844" t="s">
        <v>1</v>
      </c>
    </row>
    <row r="845" spans="1:7" x14ac:dyDescent="0.4">
      <c r="A845" s="1">
        <v>44852</v>
      </c>
      <c r="B845">
        <v>1</v>
      </c>
      <c r="C845">
        <v>0.98256666699999995</v>
      </c>
      <c r="D845" t="s">
        <v>8</v>
      </c>
      <c r="E845">
        <v>67.11</v>
      </c>
      <c r="G845" t="s">
        <v>1</v>
      </c>
    </row>
    <row r="846" spans="1:7" x14ac:dyDescent="0.4">
      <c r="A846" s="1">
        <v>44853</v>
      </c>
      <c r="B846">
        <v>1</v>
      </c>
      <c r="C846">
        <v>0.98256666699999995</v>
      </c>
      <c r="D846" t="s">
        <v>8</v>
      </c>
      <c r="E846">
        <v>68.62</v>
      </c>
      <c r="G846" t="s">
        <v>1</v>
      </c>
    </row>
    <row r="847" spans="1:7" x14ac:dyDescent="0.4">
      <c r="A847" s="1">
        <v>44854</v>
      </c>
      <c r="B847">
        <v>1</v>
      </c>
      <c r="C847">
        <v>0.98256666699999995</v>
      </c>
      <c r="D847" t="s">
        <v>8</v>
      </c>
      <c r="E847">
        <v>67.010000000000005</v>
      </c>
      <c r="G847" t="s">
        <v>1</v>
      </c>
    </row>
    <row r="848" spans="1:7" x14ac:dyDescent="0.4">
      <c r="A848" s="1">
        <v>44855</v>
      </c>
      <c r="B848">
        <v>1</v>
      </c>
      <c r="C848">
        <v>0.98256666699999995</v>
      </c>
      <c r="D848" t="s">
        <v>8</v>
      </c>
      <c r="E848">
        <v>67.900000000000006</v>
      </c>
      <c r="G848" t="s">
        <v>1</v>
      </c>
    </row>
    <row r="849" spans="1:7" x14ac:dyDescent="0.4">
      <c r="A849" s="1">
        <v>44858</v>
      </c>
      <c r="B849">
        <v>1</v>
      </c>
      <c r="C849">
        <v>0.98256666699999995</v>
      </c>
      <c r="D849" t="s">
        <v>8</v>
      </c>
      <c r="E849">
        <v>68.02</v>
      </c>
      <c r="F849">
        <v>77.33</v>
      </c>
      <c r="G849" t="s">
        <v>1</v>
      </c>
    </row>
    <row r="850" spans="1:7" x14ac:dyDescent="0.4">
      <c r="A850" s="1">
        <v>44859</v>
      </c>
      <c r="B850">
        <v>1</v>
      </c>
      <c r="C850">
        <v>0.98256666699999995</v>
      </c>
      <c r="D850" t="s">
        <v>8</v>
      </c>
      <c r="E850">
        <v>74.17</v>
      </c>
      <c r="G850" t="s">
        <v>1</v>
      </c>
    </row>
    <row r="851" spans="1:7" x14ac:dyDescent="0.4">
      <c r="A851" s="1">
        <v>44860</v>
      </c>
      <c r="B851">
        <v>1</v>
      </c>
      <c r="C851">
        <v>0.98256666699999995</v>
      </c>
      <c r="D851" t="s">
        <v>8</v>
      </c>
      <c r="E851">
        <v>76.510000000000005</v>
      </c>
      <c r="G851" t="s">
        <v>1</v>
      </c>
    </row>
    <row r="852" spans="1:7" x14ac:dyDescent="0.4">
      <c r="A852" s="1">
        <v>44861</v>
      </c>
      <c r="B852">
        <v>1</v>
      </c>
      <c r="C852">
        <v>0.98256666699999995</v>
      </c>
      <c r="D852" t="s">
        <v>8</v>
      </c>
      <c r="E852">
        <v>77.099999999999994</v>
      </c>
      <c r="G852" t="s">
        <v>1</v>
      </c>
    </row>
    <row r="853" spans="1:7" x14ac:dyDescent="0.4">
      <c r="A853" s="1">
        <v>44862</v>
      </c>
      <c r="B853">
        <v>1</v>
      </c>
      <c r="C853">
        <v>0.98256666699999995</v>
      </c>
      <c r="D853" t="s">
        <v>8</v>
      </c>
      <c r="E853">
        <v>80.760000000000005</v>
      </c>
      <c r="G853" t="s">
        <v>1</v>
      </c>
    </row>
    <row r="854" spans="1:7" x14ac:dyDescent="0.4">
      <c r="A854" s="1">
        <v>44865</v>
      </c>
      <c r="B854">
        <v>1</v>
      </c>
      <c r="C854">
        <v>0.98256666699999995</v>
      </c>
      <c r="D854" t="s">
        <v>8</v>
      </c>
      <c r="E854">
        <v>78.69</v>
      </c>
      <c r="F854">
        <v>77.209999999999994</v>
      </c>
      <c r="G854" t="s">
        <v>1</v>
      </c>
    </row>
    <row r="855" spans="1:7" x14ac:dyDescent="0.4">
      <c r="A855" s="1">
        <v>44866</v>
      </c>
      <c r="B855">
        <v>1</v>
      </c>
      <c r="C855">
        <v>1.0201272729999999</v>
      </c>
      <c r="D855" t="s">
        <v>8</v>
      </c>
      <c r="E855">
        <v>78.760000000000005</v>
      </c>
      <c r="G855" t="s">
        <v>1</v>
      </c>
    </row>
    <row r="856" spans="1:7" x14ac:dyDescent="0.4">
      <c r="A856" s="1">
        <v>44868</v>
      </c>
      <c r="B856">
        <v>1</v>
      </c>
      <c r="C856">
        <v>1.0201272729999999</v>
      </c>
      <c r="D856" t="s">
        <v>8</v>
      </c>
      <c r="E856">
        <v>76.63</v>
      </c>
      <c r="G856" t="s">
        <v>1</v>
      </c>
    </row>
    <row r="857" spans="1:7" x14ac:dyDescent="0.4">
      <c r="A857" s="1">
        <v>44869</v>
      </c>
      <c r="B857">
        <v>1</v>
      </c>
      <c r="C857">
        <v>1.0201272729999999</v>
      </c>
      <c r="D857" t="s">
        <v>8</v>
      </c>
      <c r="E857">
        <v>78.14</v>
      </c>
      <c r="G857" t="s">
        <v>1</v>
      </c>
    </row>
    <row r="858" spans="1:7" x14ac:dyDescent="0.4">
      <c r="A858" s="1">
        <v>44872</v>
      </c>
      <c r="B858">
        <v>1</v>
      </c>
      <c r="C858">
        <v>1.0201272729999999</v>
      </c>
      <c r="D858" t="s">
        <v>8</v>
      </c>
      <c r="E858">
        <v>76.75</v>
      </c>
      <c r="F858">
        <v>75.040000000000006</v>
      </c>
      <c r="G858" t="s">
        <v>1</v>
      </c>
    </row>
    <row r="859" spans="1:7" x14ac:dyDescent="0.4">
      <c r="A859" s="1">
        <v>44873</v>
      </c>
      <c r="B859">
        <v>1</v>
      </c>
      <c r="C859">
        <v>1.0201272729999999</v>
      </c>
      <c r="D859" t="s">
        <v>8</v>
      </c>
      <c r="E859">
        <v>76.02</v>
      </c>
      <c r="G859" t="s">
        <v>1</v>
      </c>
    </row>
    <row r="860" spans="1:7" x14ac:dyDescent="0.4">
      <c r="A860" s="1">
        <v>44874</v>
      </c>
      <c r="B860">
        <v>1</v>
      </c>
      <c r="C860">
        <v>1.0201272729999999</v>
      </c>
      <c r="D860" t="s">
        <v>8</v>
      </c>
      <c r="E860">
        <v>75.349999999999994</v>
      </c>
      <c r="G860" t="s">
        <v>1</v>
      </c>
    </row>
    <row r="861" spans="1:7" x14ac:dyDescent="0.4">
      <c r="A861" s="1">
        <v>44875</v>
      </c>
      <c r="B861">
        <v>1</v>
      </c>
      <c r="C861">
        <v>1.0201272729999999</v>
      </c>
      <c r="D861" t="s">
        <v>8</v>
      </c>
      <c r="E861">
        <v>71.62</v>
      </c>
      <c r="G861" t="s">
        <v>1</v>
      </c>
    </row>
    <row r="862" spans="1:7" x14ac:dyDescent="0.4">
      <c r="A862" s="1">
        <v>44876</v>
      </c>
      <c r="B862">
        <v>1</v>
      </c>
      <c r="C862">
        <v>1.0201272729999999</v>
      </c>
      <c r="D862" t="s">
        <v>8</v>
      </c>
      <c r="E862">
        <v>73.33</v>
      </c>
      <c r="G862" t="s">
        <v>1</v>
      </c>
    </row>
    <row r="863" spans="1:7" x14ac:dyDescent="0.4">
      <c r="A863" s="1">
        <v>44879</v>
      </c>
      <c r="B863">
        <v>1</v>
      </c>
      <c r="C863">
        <v>1.0201272729999999</v>
      </c>
      <c r="D863" t="s">
        <v>8</v>
      </c>
      <c r="E863">
        <v>74.849999999999994</v>
      </c>
      <c r="F863">
        <v>74.03</v>
      </c>
      <c r="G863" t="s">
        <v>1</v>
      </c>
    </row>
    <row r="864" spans="1:7" x14ac:dyDescent="0.4">
      <c r="A864" s="1">
        <v>44880</v>
      </c>
      <c r="B864">
        <v>1</v>
      </c>
      <c r="C864">
        <v>1.0201272729999999</v>
      </c>
      <c r="D864" t="s">
        <v>8</v>
      </c>
      <c r="E864">
        <v>74.930000000000007</v>
      </c>
      <c r="G864" t="s">
        <v>1</v>
      </c>
    </row>
    <row r="865" spans="1:7" x14ac:dyDescent="0.4">
      <c r="A865" s="1">
        <v>44881</v>
      </c>
      <c r="B865">
        <v>1</v>
      </c>
      <c r="C865">
        <v>1.0201272729999999</v>
      </c>
      <c r="D865" t="s">
        <v>8</v>
      </c>
      <c r="E865">
        <v>74.25</v>
      </c>
      <c r="G865" t="s">
        <v>1</v>
      </c>
    </row>
    <row r="866" spans="1:7" x14ac:dyDescent="0.4">
      <c r="A866" s="1">
        <v>44882</v>
      </c>
      <c r="B866">
        <v>1</v>
      </c>
      <c r="C866">
        <v>1.0201272729999999</v>
      </c>
      <c r="D866" t="s">
        <v>8</v>
      </c>
      <c r="E866">
        <v>73.31</v>
      </c>
      <c r="G866" t="s">
        <v>1</v>
      </c>
    </row>
    <row r="867" spans="1:7" x14ac:dyDescent="0.4">
      <c r="A867" s="1">
        <v>44883</v>
      </c>
      <c r="B867">
        <v>1</v>
      </c>
      <c r="C867">
        <v>1.0201272729999999</v>
      </c>
      <c r="D867" t="s">
        <v>8</v>
      </c>
      <c r="E867">
        <v>72.22</v>
      </c>
      <c r="G867" t="s">
        <v>1</v>
      </c>
    </row>
    <row r="868" spans="1:7" x14ac:dyDescent="0.4">
      <c r="A868" s="1">
        <v>44886</v>
      </c>
      <c r="B868">
        <v>1</v>
      </c>
      <c r="C868">
        <v>1.0201272729999999</v>
      </c>
      <c r="D868" t="s">
        <v>8</v>
      </c>
      <c r="E868">
        <v>73.36</v>
      </c>
      <c r="F868">
        <v>76.3</v>
      </c>
      <c r="G868" t="s">
        <v>1</v>
      </c>
    </row>
    <row r="869" spans="1:7" x14ac:dyDescent="0.4">
      <c r="A869" s="1">
        <v>44887</v>
      </c>
      <c r="B869">
        <v>1</v>
      </c>
      <c r="C869">
        <v>1.0201272729999999</v>
      </c>
      <c r="D869" t="s">
        <v>8</v>
      </c>
      <c r="E869">
        <v>73.540000000000006</v>
      </c>
      <c r="G869" t="s">
        <v>1</v>
      </c>
    </row>
    <row r="870" spans="1:7" x14ac:dyDescent="0.4">
      <c r="A870" s="1">
        <v>44888</v>
      </c>
      <c r="B870">
        <v>1</v>
      </c>
      <c r="C870">
        <v>1.0201272729999999</v>
      </c>
      <c r="D870" t="s">
        <v>8</v>
      </c>
      <c r="E870">
        <v>74.08</v>
      </c>
      <c r="G870" t="s">
        <v>1</v>
      </c>
    </row>
    <row r="871" spans="1:7" x14ac:dyDescent="0.4">
      <c r="A871" s="1">
        <v>44889</v>
      </c>
      <c r="B871">
        <v>1</v>
      </c>
      <c r="C871">
        <v>1.0201272729999999</v>
      </c>
      <c r="D871" t="s">
        <v>8</v>
      </c>
      <c r="E871">
        <v>76.64</v>
      </c>
      <c r="G871" t="s">
        <v>1</v>
      </c>
    </row>
    <row r="872" spans="1:7" x14ac:dyDescent="0.4">
      <c r="A872" s="1">
        <v>44890</v>
      </c>
      <c r="B872">
        <v>1</v>
      </c>
      <c r="C872">
        <v>1.0201272729999999</v>
      </c>
      <c r="D872" t="s">
        <v>8</v>
      </c>
      <c r="E872">
        <v>79.36</v>
      </c>
      <c r="G872" t="s">
        <v>1</v>
      </c>
    </row>
    <row r="873" spans="1:7" x14ac:dyDescent="0.4">
      <c r="A873" s="1">
        <v>44893</v>
      </c>
      <c r="B873">
        <v>1</v>
      </c>
      <c r="C873">
        <v>1.0201272729999999</v>
      </c>
      <c r="D873" t="s">
        <v>8</v>
      </c>
      <c r="E873">
        <v>77.61</v>
      </c>
      <c r="F873">
        <v>83.53</v>
      </c>
      <c r="G873" t="s">
        <v>1</v>
      </c>
    </row>
    <row r="874" spans="1:7" x14ac:dyDescent="0.4">
      <c r="A874" s="1">
        <v>44894</v>
      </c>
      <c r="B874">
        <v>1</v>
      </c>
      <c r="C874">
        <v>1.0201272729999999</v>
      </c>
      <c r="D874" t="s">
        <v>8</v>
      </c>
      <c r="E874">
        <v>78.88</v>
      </c>
      <c r="G874" t="s">
        <v>1</v>
      </c>
    </row>
    <row r="875" spans="1:7" x14ac:dyDescent="0.4">
      <c r="A875" s="1">
        <v>44896</v>
      </c>
      <c r="B875">
        <v>1</v>
      </c>
      <c r="C875">
        <v>1.058880952</v>
      </c>
      <c r="D875" t="s">
        <v>8</v>
      </c>
      <c r="E875">
        <v>86.11</v>
      </c>
      <c r="G875" t="s">
        <v>1</v>
      </c>
    </row>
    <row r="876" spans="1:7" x14ac:dyDescent="0.4">
      <c r="A876" s="1">
        <v>44897</v>
      </c>
      <c r="B876">
        <v>1</v>
      </c>
      <c r="C876">
        <v>1.058880952</v>
      </c>
      <c r="D876" t="s">
        <v>8</v>
      </c>
      <c r="E876">
        <v>85.21</v>
      </c>
      <c r="G876" t="s">
        <v>1</v>
      </c>
    </row>
    <row r="877" spans="1:7" x14ac:dyDescent="0.4">
      <c r="A877" s="1">
        <v>44900</v>
      </c>
      <c r="B877">
        <v>1</v>
      </c>
      <c r="C877">
        <v>1.058880952</v>
      </c>
      <c r="D877" t="s">
        <v>8</v>
      </c>
      <c r="E877">
        <v>85.69</v>
      </c>
      <c r="F877">
        <v>87.92</v>
      </c>
      <c r="G877" t="s">
        <v>1</v>
      </c>
    </row>
    <row r="878" spans="1:7" x14ac:dyDescent="0.4">
      <c r="A878" s="1">
        <v>44901</v>
      </c>
      <c r="B878">
        <v>1</v>
      </c>
      <c r="C878">
        <v>1.058880952</v>
      </c>
      <c r="D878" t="s">
        <v>8</v>
      </c>
      <c r="E878">
        <v>86.48</v>
      </c>
      <c r="G878" t="s">
        <v>1</v>
      </c>
    </row>
    <row r="879" spans="1:7" x14ac:dyDescent="0.4">
      <c r="A879" s="1">
        <v>44902</v>
      </c>
      <c r="B879">
        <v>1</v>
      </c>
      <c r="C879">
        <v>1.058880952</v>
      </c>
      <c r="D879" t="s">
        <v>8</v>
      </c>
      <c r="E879">
        <v>87</v>
      </c>
      <c r="G879" t="s">
        <v>1</v>
      </c>
    </row>
    <row r="880" spans="1:7" x14ac:dyDescent="0.4">
      <c r="A880" s="1">
        <v>44903</v>
      </c>
      <c r="B880">
        <v>1</v>
      </c>
      <c r="C880">
        <v>1.058880952</v>
      </c>
      <c r="D880" t="s">
        <v>8</v>
      </c>
      <c r="E880">
        <v>87.91</v>
      </c>
      <c r="G880" t="s">
        <v>1</v>
      </c>
    </row>
    <row r="881" spans="1:7" x14ac:dyDescent="0.4">
      <c r="A881" s="1">
        <v>44904</v>
      </c>
      <c r="B881">
        <v>1</v>
      </c>
      <c r="C881">
        <v>1.058880952</v>
      </c>
      <c r="D881" t="s">
        <v>8</v>
      </c>
      <c r="E881">
        <v>88.26</v>
      </c>
      <c r="G881" t="s">
        <v>1</v>
      </c>
    </row>
    <row r="882" spans="1:7" x14ac:dyDescent="0.4">
      <c r="A882" s="1">
        <v>44907</v>
      </c>
      <c r="B882">
        <v>1</v>
      </c>
      <c r="C882">
        <v>1.058880952</v>
      </c>
      <c r="D882" t="s">
        <v>8</v>
      </c>
      <c r="E882">
        <v>88.35</v>
      </c>
      <c r="F882">
        <v>86.95</v>
      </c>
      <c r="G882" t="s">
        <v>1</v>
      </c>
    </row>
    <row r="883" spans="1:7" x14ac:dyDescent="0.4">
      <c r="A883" s="1">
        <v>44908</v>
      </c>
      <c r="B883">
        <v>1</v>
      </c>
      <c r="C883">
        <v>1.058880952</v>
      </c>
      <c r="D883" t="s">
        <v>8</v>
      </c>
      <c r="E883">
        <v>89.01</v>
      </c>
      <c r="G883" t="s">
        <v>1</v>
      </c>
    </row>
    <row r="884" spans="1:7" x14ac:dyDescent="0.4">
      <c r="A884" s="1">
        <v>44910</v>
      </c>
      <c r="B884">
        <v>1</v>
      </c>
      <c r="C884">
        <v>1.058880952</v>
      </c>
      <c r="D884" t="s">
        <v>8</v>
      </c>
      <c r="E884">
        <v>86.16</v>
      </c>
      <c r="G884" t="s">
        <v>1</v>
      </c>
    </row>
    <row r="885" spans="1:7" x14ac:dyDescent="0.4">
      <c r="A885" s="1">
        <v>44911</v>
      </c>
      <c r="B885">
        <v>1</v>
      </c>
      <c r="C885">
        <v>1.058880952</v>
      </c>
      <c r="D885" t="s">
        <v>8</v>
      </c>
      <c r="E885">
        <v>83.41</v>
      </c>
      <c r="G885" t="s">
        <v>1</v>
      </c>
    </row>
    <row r="886" spans="1:7" x14ac:dyDescent="0.4">
      <c r="A886" s="1">
        <v>44914</v>
      </c>
      <c r="B886">
        <v>1</v>
      </c>
      <c r="C886">
        <v>1.058880952</v>
      </c>
      <c r="D886" t="s">
        <v>8</v>
      </c>
      <c r="E886">
        <v>84.1</v>
      </c>
      <c r="F886">
        <v>84.11</v>
      </c>
      <c r="G886" t="s">
        <v>1</v>
      </c>
    </row>
    <row r="887" spans="1:7" x14ac:dyDescent="0.4">
      <c r="A887" s="1">
        <v>44921</v>
      </c>
      <c r="B887">
        <v>1</v>
      </c>
      <c r="C887">
        <v>1.058880952</v>
      </c>
      <c r="D887" t="s">
        <v>8</v>
      </c>
      <c r="F887">
        <v>80.77</v>
      </c>
      <c r="G887" t="s">
        <v>1</v>
      </c>
    </row>
    <row r="888" spans="1:7" x14ac:dyDescent="0.4">
      <c r="A888" s="1">
        <v>44928</v>
      </c>
      <c r="B888">
        <v>1</v>
      </c>
      <c r="C888">
        <v>1.0769</v>
      </c>
      <c r="D888" t="s">
        <v>8</v>
      </c>
      <c r="F888">
        <v>80.22</v>
      </c>
      <c r="G888" t="s">
        <v>1</v>
      </c>
    </row>
    <row r="889" spans="1:7" x14ac:dyDescent="0.4">
      <c r="A889" s="1">
        <v>44935</v>
      </c>
      <c r="B889">
        <v>1</v>
      </c>
      <c r="C889">
        <v>1.0769</v>
      </c>
      <c r="D889" t="s">
        <v>8</v>
      </c>
      <c r="E889">
        <v>75.27</v>
      </c>
      <c r="F889">
        <v>81.87</v>
      </c>
      <c r="G889" t="s">
        <v>1</v>
      </c>
    </row>
    <row r="890" spans="1:7" x14ac:dyDescent="0.4">
      <c r="A890" s="1">
        <v>44936</v>
      </c>
      <c r="B890">
        <v>1</v>
      </c>
      <c r="C890">
        <v>1.0769</v>
      </c>
      <c r="D890" t="s">
        <v>8</v>
      </c>
      <c r="E890">
        <v>78.61</v>
      </c>
      <c r="G890" t="s">
        <v>1</v>
      </c>
    </row>
    <row r="891" spans="1:7" x14ac:dyDescent="0.4">
      <c r="A891" s="1">
        <v>44938</v>
      </c>
      <c r="B891">
        <v>1</v>
      </c>
      <c r="C891">
        <v>1.0769</v>
      </c>
      <c r="D891" t="s">
        <v>8</v>
      </c>
      <c r="E891">
        <v>76.8</v>
      </c>
      <c r="G891" t="s">
        <v>1</v>
      </c>
    </row>
    <row r="892" spans="1:7" x14ac:dyDescent="0.4">
      <c r="A892" s="1">
        <v>44939</v>
      </c>
      <c r="B892">
        <v>1</v>
      </c>
      <c r="C892">
        <v>1.0769</v>
      </c>
      <c r="D892" t="s">
        <v>8</v>
      </c>
      <c r="E892">
        <v>76.42</v>
      </c>
      <c r="G892" t="s">
        <v>1</v>
      </c>
    </row>
    <row r="893" spans="1:7" x14ac:dyDescent="0.4">
      <c r="A893" s="1">
        <v>44942</v>
      </c>
      <c r="B893">
        <v>1</v>
      </c>
      <c r="C893">
        <v>1.0769</v>
      </c>
      <c r="D893" t="s">
        <v>8</v>
      </c>
      <c r="E893">
        <v>75.05</v>
      </c>
      <c r="F893">
        <v>85.94</v>
      </c>
      <c r="G893" t="s">
        <v>1</v>
      </c>
    </row>
    <row r="894" spans="1:7" x14ac:dyDescent="0.4">
      <c r="A894" s="1">
        <v>44943</v>
      </c>
      <c r="B894">
        <v>1</v>
      </c>
      <c r="C894">
        <v>1.0769</v>
      </c>
      <c r="D894" t="s">
        <v>8</v>
      </c>
      <c r="E894">
        <v>75.040000000000006</v>
      </c>
      <c r="G894" t="s">
        <v>1</v>
      </c>
    </row>
    <row r="895" spans="1:7" x14ac:dyDescent="0.4">
      <c r="A895" s="1">
        <v>44944</v>
      </c>
      <c r="B895">
        <v>1</v>
      </c>
      <c r="C895">
        <v>1.0769</v>
      </c>
      <c r="D895" t="s">
        <v>8</v>
      </c>
      <c r="E895">
        <v>76.25</v>
      </c>
      <c r="G895" t="s">
        <v>1</v>
      </c>
    </row>
    <row r="896" spans="1:7" x14ac:dyDescent="0.4">
      <c r="A896" s="1">
        <v>44945</v>
      </c>
      <c r="B896">
        <v>1</v>
      </c>
      <c r="C896">
        <v>1.0769</v>
      </c>
      <c r="D896" t="s">
        <v>8</v>
      </c>
      <c r="E896">
        <v>82.06</v>
      </c>
      <c r="G896" t="s">
        <v>1</v>
      </c>
    </row>
    <row r="897" spans="1:7" x14ac:dyDescent="0.4">
      <c r="A897" s="1">
        <v>44946</v>
      </c>
      <c r="B897">
        <v>1</v>
      </c>
      <c r="C897">
        <v>1.0769</v>
      </c>
      <c r="D897" t="s">
        <v>8</v>
      </c>
      <c r="E897">
        <v>81.010000000000005</v>
      </c>
      <c r="G897" t="s">
        <v>1</v>
      </c>
    </row>
    <row r="898" spans="1:7" x14ac:dyDescent="0.4">
      <c r="A898" s="1">
        <v>44949</v>
      </c>
      <c r="B898">
        <v>1</v>
      </c>
      <c r="C898">
        <v>1.0769</v>
      </c>
      <c r="D898" t="s">
        <v>8</v>
      </c>
      <c r="E898">
        <v>81.52</v>
      </c>
      <c r="F898">
        <v>92.87</v>
      </c>
      <c r="G898" t="s">
        <v>1</v>
      </c>
    </row>
    <row r="899" spans="1:7" x14ac:dyDescent="0.4">
      <c r="A899" s="1">
        <v>44950</v>
      </c>
      <c r="B899">
        <v>1</v>
      </c>
      <c r="C899">
        <v>1.0769</v>
      </c>
      <c r="D899" t="s">
        <v>8</v>
      </c>
      <c r="E899">
        <v>80.88</v>
      </c>
      <c r="G899" t="s">
        <v>1</v>
      </c>
    </row>
    <row r="900" spans="1:7" x14ac:dyDescent="0.4">
      <c r="A900" s="1">
        <v>44951</v>
      </c>
      <c r="B900">
        <v>1</v>
      </c>
      <c r="C900">
        <v>1.0769</v>
      </c>
      <c r="D900" t="s">
        <v>8</v>
      </c>
      <c r="E900">
        <v>78.290000000000006</v>
      </c>
      <c r="G900" t="s">
        <v>1</v>
      </c>
    </row>
    <row r="901" spans="1:7" x14ac:dyDescent="0.4">
      <c r="A901" s="1">
        <v>44952</v>
      </c>
      <c r="B901">
        <v>1</v>
      </c>
      <c r="C901">
        <v>1.0769</v>
      </c>
      <c r="D901" t="s">
        <v>8</v>
      </c>
      <c r="E901">
        <v>83.51</v>
      </c>
      <c r="G901" t="s">
        <v>1</v>
      </c>
    </row>
    <row r="902" spans="1:7" x14ac:dyDescent="0.4">
      <c r="A902" s="1">
        <v>44953</v>
      </c>
      <c r="B902">
        <v>1</v>
      </c>
      <c r="C902">
        <v>1.0769</v>
      </c>
      <c r="D902" t="s">
        <v>8</v>
      </c>
      <c r="E902">
        <v>86.71</v>
      </c>
      <c r="G902" t="s">
        <v>1</v>
      </c>
    </row>
    <row r="903" spans="1:7" x14ac:dyDescent="0.4">
      <c r="A903" s="1">
        <v>44956</v>
      </c>
      <c r="B903">
        <v>1</v>
      </c>
      <c r="C903">
        <v>1.0769</v>
      </c>
      <c r="D903" t="s">
        <v>8</v>
      </c>
      <c r="E903">
        <v>85.2</v>
      </c>
      <c r="F903">
        <v>91.09</v>
      </c>
      <c r="G903" t="s">
        <v>1</v>
      </c>
    </row>
    <row r="904" spans="1:7" x14ac:dyDescent="0.4">
      <c r="A904" s="1">
        <v>44957</v>
      </c>
      <c r="B904">
        <v>1</v>
      </c>
      <c r="C904">
        <v>1.0769</v>
      </c>
      <c r="D904" t="s">
        <v>8</v>
      </c>
      <c r="E904">
        <v>86.68</v>
      </c>
      <c r="G904" t="s">
        <v>1</v>
      </c>
    </row>
    <row r="905" spans="1:7" x14ac:dyDescent="0.4">
      <c r="A905" s="1">
        <v>44958</v>
      </c>
      <c r="B905">
        <v>1</v>
      </c>
      <c r="C905">
        <v>1.07151</v>
      </c>
      <c r="D905" t="s">
        <v>8</v>
      </c>
      <c r="E905">
        <v>91.91</v>
      </c>
      <c r="G905" t="s">
        <v>1</v>
      </c>
    </row>
    <row r="906" spans="1:7" x14ac:dyDescent="0.4">
      <c r="A906" s="1">
        <v>44959</v>
      </c>
      <c r="B906">
        <v>1</v>
      </c>
      <c r="C906">
        <v>1.07151</v>
      </c>
      <c r="D906" t="s">
        <v>8</v>
      </c>
      <c r="E906">
        <v>93.5</v>
      </c>
      <c r="G906" t="s">
        <v>1</v>
      </c>
    </row>
    <row r="907" spans="1:7" x14ac:dyDescent="0.4">
      <c r="A907" s="1">
        <v>44960</v>
      </c>
      <c r="B907">
        <v>1</v>
      </c>
      <c r="C907">
        <v>1.07151</v>
      </c>
      <c r="D907" t="s">
        <v>8</v>
      </c>
      <c r="E907">
        <v>91.15</v>
      </c>
      <c r="G907" t="s">
        <v>1</v>
      </c>
    </row>
    <row r="908" spans="1:7" x14ac:dyDescent="0.4">
      <c r="A908" s="1">
        <v>44963</v>
      </c>
      <c r="B908">
        <v>1</v>
      </c>
      <c r="C908">
        <v>1.07151</v>
      </c>
      <c r="D908" t="s">
        <v>8</v>
      </c>
      <c r="E908">
        <v>91.78</v>
      </c>
      <c r="F908">
        <v>94.49</v>
      </c>
      <c r="G908" t="s">
        <v>1</v>
      </c>
    </row>
    <row r="909" spans="1:7" x14ac:dyDescent="0.4">
      <c r="A909" s="1">
        <v>44964</v>
      </c>
      <c r="B909">
        <v>1</v>
      </c>
      <c r="C909">
        <v>1.07151</v>
      </c>
      <c r="D909" t="s">
        <v>8</v>
      </c>
      <c r="E909">
        <v>87.52</v>
      </c>
      <c r="G909" t="s">
        <v>1</v>
      </c>
    </row>
    <row r="910" spans="1:7" x14ac:dyDescent="0.4">
      <c r="A910" s="1">
        <v>44966</v>
      </c>
      <c r="B910">
        <v>1</v>
      </c>
      <c r="C910">
        <v>1.07151</v>
      </c>
      <c r="D910" t="s">
        <v>8</v>
      </c>
      <c r="E910">
        <v>87.36</v>
      </c>
      <c r="G910" t="s">
        <v>1</v>
      </c>
    </row>
    <row r="911" spans="1:7" x14ac:dyDescent="0.4">
      <c r="A911" s="1">
        <v>44967</v>
      </c>
      <c r="B911">
        <v>1</v>
      </c>
      <c r="C911">
        <v>1.07151</v>
      </c>
      <c r="D911" t="s">
        <v>8</v>
      </c>
      <c r="E911">
        <v>89.7</v>
      </c>
      <c r="G911" t="s">
        <v>1</v>
      </c>
    </row>
    <row r="912" spans="1:7" x14ac:dyDescent="0.4">
      <c r="A912" s="1">
        <v>44970</v>
      </c>
      <c r="B912">
        <v>1</v>
      </c>
      <c r="C912">
        <v>1.07151</v>
      </c>
      <c r="D912" t="s">
        <v>8</v>
      </c>
      <c r="E912">
        <v>88.86</v>
      </c>
      <c r="F912">
        <v>98.09</v>
      </c>
      <c r="G912" t="s">
        <v>1</v>
      </c>
    </row>
    <row r="913" spans="1:7" x14ac:dyDescent="0.4">
      <c r="A913" s="1">
        <v>44971</v>
      </c>
      <c r="B913">
        <v>1</v>
      </c>
      <c r="C913">
        <v>1.07151</v>
      </c>
      <c r="D913" t="s">
        <v>8</v>
      </c>
      <c r="E913">
        <v>89.96</v>
      </c>
      <c r="G913" t="s">
        <v>1</v>
      </c>
    </row>
    <row r="914" spans="1:7" x14ac:dyDescent="0.4">
      <c r="A914" s="1">
        <v>44972</v>
      </c>
      <c r="B914">
        <v>1</v>
      </c>
      <c r="C914">
        <v>1.07151</v>
      </c>
      <c r="D914" t="s">
        <v>8</v>
      </c>
      <c r="E914">
        <v>87.75</v>
      </c>
      <c r="G914" t="s">
        <v>1</v>
      </c>
    </row>
    <row r="915" spans="1:7" x14ac:dyDescent="0.4">
      <c r="A915" s="1">
        <v>44973</v>
      </c>
      <c r="B915">
        <v>1</v>
      </c>
      <c r="C915">
        <v>1.07151</v>
      </c>
      <c r="D915" t="s">
        <v>8</v>
      </c>
      <c r="E915">
        <v>92.85</v>
      </c>
      <c r="G915" t="s">
        <v>1</v>
      </c>
    </row>
    <row r="916" spans="1:7" x14ac:dyDescent="0.4">
      <c r="A916" s="1">
        <v>44974</v>
      </c>
      <c r="B916">
        <v>1</v>
      </c>
      <c r="C916">
        <v>1.07151</v>
      </c>
      <c r="D916" t="s">
        <v>8</v>
      </c>
      <c r="E916">
        <v>93.69</v>
      </c>
      <c r="G916" t="s">
        <v>1</v>
      </c>
    </row>
    <row r="917" spans="1:7" x14ac:dyDescent="0.4">
      <c r="A917" s="1">
        <v>44977</v>
      </c>
      <c r="B917">
        <v>1</v>
      </c>
      <c r="C917">
        <v>1.07151</v>
      </c>
      <c r="D917" t="s">
        <v>8</v>
      </c>
      <c r="E917">
        <v>93.73</v>
      </c>
      <c r="F917">
        <v>96.5</v>
      </c>
      <c r="G917" t="s">
        <v>1</v>
      </c>
    </row>
    <row r="918" spans="1:7" x14ac:dyDescent="0.4">
      <c r="A918" s="1">
        <v>44978</v>
      </c>
      <c r="B918">
        <v>1</v>
      </c>
      <c r="C918">
        <v>1.07151</v>
      </c>
      <c r="D918" t="s">
        <v>8</v>
      </c>
      <c r="E918">
        <v>95.35</v>
      </c>
      <c r="G918" t="s">
        <v>1</v>
      </c>
    </row>
    <row r="919" spans="1:7" x14ac:dyDescent="0.4">
      <c r="A919" s="1">
        <v>44980</v>
      </c>
      <c r="B919">
        <v>1</v>
      </c>
      <c r="C919">
        <v>1.07151</v>
      </c>
      <c r="D919" t="s">
        <v>8</v>
      </c>
      <c r="E919">
        <v>93.26</v>
      </c>
      <c r="G919" t="s">
        <v>1</v>
      </c>
    </row>
    <row r="920" spans="1:7" x14ac:dyDescent="0.4">
      <c r="A920" s="1">
        <v>44981</v>
      </c>
      <c r="B920">
        <v>1</v>
      </c>
      <c r="C920">
        <v>1.07151</v>
      </c>
      <c r="D920" t="s">
        <v>8</v>
      </c>
      <c r="E920">
        <v>95.83</v>
      </c>
      <c r="G920" t="s">
        <v>1</v>
      </c>
    </row>
    <row r="921" spans="1:7" x14ac:dyDescent="0.4">
      <c r="A921" s="1">
        <v>44984</v>
      </c>
      <c r="B921">
        <v>1</v>
      </c>
      <c r="C921">
        <v>1.07151</v>
      </c>
      <c r="D921" t="s">
        <v>8</v>
      </c>
      <c r="E921">
        <v>95.12</v>
      </c>
      <c r="F921">
        <v>96.95</v>
      </c>
      <c r="G921" t="s">
        <v>1</v>
      </c>
    </row>
    <row r="922" spans="1:7" x14ac:dyDescent="0.4">
      <c r="A922" s="1">
        <v>44985</v>
      </c>
      <c r="B922">
        <v>1</v>
      </c>
      <c r="C922">
        <v>1.07151</v>
      </c>
      <c r="D922" t="s">
        <v>8</v>
      </c>
      <c r="E922">
        <v>96.33</v>
      </c>
      <c r="G922" t="s">
        <v>1</v>
      </c>
    </row>
    <row r="923" spans="1:7" x14ac:dyDescent="0.4">
      <c r="A923" s="1">
        <v>44986</v>
      </c>
      <c r="B923">
        <v>1</v>
      </c>
      <c r="C923">
        <v>1.0705826089999999</v>
      </c>
      <c r="D923" t="s">
        <v>8</v>
      </c>
      <c r="E923">
        <v>95.89</v>
      </c>
      <c r="G923" t="s">
        <v>1</v>
      </c>
    </row>
    <row r="924" spans="1:7" x14ac:dyDescent="0.4">
      <c r="A924" s="1">
        <v>44987</v>
      </c>
      <c r="B924">
        <v>1</v>
      </c>
      <c r="C924">
        <v>1.0705826089999999</v>
      </c>
      <c r="D924" t="s">
        <v>8</v>
      </c>
      <c r="E924">
        <v>93.25</v>
      </c>
      <c r="G924" t="s">
        <v>1</v>
      </c>
    </row>
    <row r="925" spans="1:7" x14ac:dyDescent="0.4">
      <c r="A925" s="1">
        <v>44988</v>
      </c>
      <c r="B925">
        <v>1</v>
      </c>
      <c r="C925">
        <v>1.0705826089999999</v>
      </c>
      <c r="D925" t="s">
        <v>8</v>
      </c>
      <c r="E925">
        <v>88.81</v>
      </c>
      <c r="G925" t="s">
        <v>1</v>
      </c>
    </row>
    <row r="926" spans="1:7" x14ac:dyDescent="0.4">
      <c r="A926" s="1">
        <v>44991</v>
      </c>
      <c r="B926">
        <v>1</v>
      </c>
      <c r="C926">
        <v>1.0705826089999999</v>
      </c>
      <c r="D926" t="s">
        <v>8</v>
      </c>
      <c r="E926">
        <v>91.01</v>
      </c>
      <c r="F926">
        <v>90.67</v>
      </c>
      <c r="G926" t="s">
        <v>1</v>
      </c>
    </row>
    <row r="927" spans="1:7" x14ac:dyDescent="0.4">
      <c r="A927" s="1">
        <v>44992</v>
      </c>
      <c r="B927">
        <v>1</v>
      </c>
      <c r="C927">
        <v>1.0705826089999999</v>
      </c>
      <c r="D927" t="s">
        <v>8</v>
      </c>
      <c r="E927">
        <v>91.56</v>
      </c>
      <c r="G927" t="s">
        <v>1</v>
      </c>
    </row>
    <row r="928" spans="1:7" x14ac:dyDescent="0.4">
      <c r="A928" s="1">
        <v>44994</v>
      </c>
      <c r="B928">
        <v>1</v>
      </c>
      <c r="C928">
        <v>1.0705826089999999</v>
      </c>
      <c r="D928" t="s">
        <v>8</v>
      </c>
      <c r="E928">
        <v>95.43</v>
      </c>
      <c r="G928" t="s">
        <v>1</v>
      </c>
    </row>
    <row r="929" spans="1:7" x14ac:dyDescent="0.4">
      <c r="A929" s="1">
        <v>44995</v>
      </c>
      <c r="B929">
        <v>1</v>
      </c>
      <c r="C929">
        <v>1.0705826089999999</v>
      </c>
      <c r="D929" t="s">
        <v>8</v>
      </c>
      <c r="E929">
        <v>95.16</v>
      </c>
      <c r="G929" t="s">
        <v>1</v>
      </c>
    </row>
    <row r="930" spans="1:7" x14ac:dyDescent="0.4">
      <c r="A930" s="1">
        <v>44998</v>
      </c>
      <c r="B930">
        <v>1</v>
      </c>
      <c r="C930">
        <v>1.0705826089999999</v>
      </c>
      <c r="D930" t="s">
        <v>8</v>
      </c>
      <c r="E930">
        <v>94.36</v>
      </c>
      <c r="F930">
        <v>89.49</v>
      </c>
      <c r="G930" t="s">
        <v>1</v>
      </c>
    </row>
    <row r="931" spans="1:7" x14ac:dyDescent="0.4">
      <c r="A931" s="1">
        <v>44999</v>
      </c>
      <c r="B931">
        <v>1</v>
      </c>
      <c r="C931">
        <v>1.0705826089999999</v>
      </c>
      <c r="D931" t="s">
        <v>8</v>
      </c>
      <c r="E931">
        <v>92.34</v>
      </c>
      <c r="G931" t="s">
        <v>1</v>
      </c>
    </row>
    <row r="932" spans="1:7" x14ac:dyDescent="0.4">
      <c r="A932" s="1">
        <v>45000</v>
      </c>
      <c r="B932">
        <v>1</v>
      </c>
      <c r="C932">
        <v>1.0705826089999999</v>
      </c>
      <c r="D932" t="s">
        <v>8</v>
      </c>
      <c r="E932">
        <v>90.31</v>
      </c>
      <c r="G932" t="s">
        <v>1</v>
      </c>
    </row>
    <row r="933" spans="1:7" x14ac:dyDescent="0.4">
      <c r="A933" s="1">
        <v>45001</v>
      </c>
      <c r="B933">
        <v>1</v>
      </c>
      <c r="C933">
        <v>1.0705826089999999</v>
      </c>
      <c r="D933" t="s">
        <v>8</v>
      </c>
      <c r="E933">
        <v>83.25</v>
      </c>
      <c r="G933" t="s">
        <v>1</v>
      </c>
    </row>
    <row r="934" spans="1:7" x14ac:dyDescent="0.4">
      <c r="A934" s="1">
        <v>45002</v>
      </c>
      <c r="B934">
        <v>1</v>
      </c>
      <c r="C934">
        <v>1.0705826089999999</v>
      </c>
      <c r="D934" t="s">
        <v>8</v>
      </c>
      <c r="E934">
        <v>86.5</v>
      </c>
      <c r="G934" t="s">
        <v>1</v>
      </c>
    </row>
    <row r="935" spans="1:7" x14ac:dyDescent="0.4">
      <c r="A935" s="1">
        <v>45005</v>
      </c>
      <c r="B935">
        <v>1</v>
      </c>
      <c r="C935">
        <v>1.0705826089999999</v>
      </c>
      <c r="D935" t="s">
        <v>8</v>
      </c>
      <c r="E935">
        <v>82.46</v>
      </c>
      <c r="F935">
        <v>89.98</v>
      </c>
      <c r="G935" t="s">
        <v>1</v>
      </c>
    </row>
    <row r="936" spans="1:7" x14ac:dyDescent="0.4">
      <c r="A936" s="1">
        <v>45006</v>
      </c>
      <c r="B936">
        <v>1</v>
      </c>
      <c r="C936">
        <v>1.0705826089999999</v>
      </c>
      <c r="D936" t="s">
        <v>8</v>
      </c>
      <c r="E936">
        <v>87.14</v>
      </c>
      <c r="G936" t="s">
        <v>1</v>
      </c>
    </row>
    <row r="937" spans="1:7" x14ac:dyDescent="0.4">
      <c r="A937" s="1">
        <v>45007</v>
      </c>
      <c r="B937">
        <v>1</v>
      </c>
      <c r="C937">
        <v>1.0705826089999999</v>
      </c>
      <c r="D937" t="s">
        <v>8</v>
      </c>
      <c r="E937">
        <v>86.14</v>
      </c>
      <c r="G937" t="s">
        <v>1</v>
      </c>
    </row>
    <row r="938" spans="1:7" x14ac:dyDescent="0.4">
      <c r="A938" s="1">
        <v>45008</v>
      </c>
      <c r="B938">
        <v>1</v>
      </c>
      <c r="C938">
        <v>1.0705826089999999</v>
      </c>
      <c r="D938" t="s">
        <v>8</v>
      </c>
      <c r="E938">
        <v>88.27</v>
      </c>
      <c r="G938" t="s">
        <v>1</v>
      </c>
    </row>
    <row r="939" spans="1:7" x14ac:dyDescent="0.4">
      <c r="A939" s="1">
        <v>45009</v>
      </c>
      <c r="B939">
        <v>1</v>
      </c>
      <c r="C939">
        <v>1.0705826089999999</v>
      </c>
      <c r="D939" t="s">
        <v>8</v>
      </c>
      <c r="E939">
        <v>88.09</v>
      </c>
      <c r="G939" t="s">
        <v>1</v>
      </c>
    </row>
    <row r="940" spans="1:7" x14ac:dyDescent="0.4">
      <c r="A940" s="1">
        <v>45012</v>
      </c>
      <c r="B940">
        <v>1</v>
      </c>
      <c r="C940">
        <v>1.0705826089999999</v>
      </c>
      <c r="D940" t="s">
        <v>8</v>
      </c>
      <c r="E940">
        <v>85.18</v>
      </c>
      <c r="F940">
        <v>96</v>
      </c>
      <c r="G940" t="s">
        <v>1</v>
      </c>
    </row>
    <row r="941" spans="1:7" x14ac:dyDescent="0.4">
      <c r="A941" s="1">
        <v>45013</v>
      </c>
      <c r="B941">
        <v>1</v>
      </c>
      <c r="C941">
        <v>1.0705826089999999</v>
      </c>
      <c r="D941" t="s">
        <v>8</v>
      </c>
      <c r="E941">
        <v>86.54</v>
      </c>
      <c r="G941" t="s">
        <v>1</v>
      </c>
    </row>
    <row r="942" spans="1:7" x14ac:dyDescent="0.4">
      <c r="A942" s="1">
        <v>45014</v>
      </c>
      <c r="B942">
        <v>1</v>
      </c>
      <c r="C942">
        <v>1.0705826089999999</v>
      </c>
      <c r="D942" t="s">
        <v>8</v>
      </c>
      <c r="E942">
        <v>87.16</v>
      </c>
      <c r="G942" t="s">
        <v>1</v>
      </c>
    </row>
    <row r="943" spans="1:7" x14ac:dyDescent="0.4">
      <c r="A943" s="1">
        <v>45015</v>
      </c>
      <c r="B943">
        <v>1</v>
      </c>
      <c r="C943">
        <v>1.0705826089999999</v>
      </c>
      <c r="D943" t="s">
        <v>8</v>
      </c>
      <c r="E943">
        <v>87.42</v>
      </c>
      <c r="G943" t="s">
        <v>1</v>
      </c>
    </row>
    <row r="944" spans="1:7" x14ac:dyDescent="0.4">
      <c r="A944" s="1">
        <v>45016</v>
      </c>
      <c r="B944">
        <v>1</v>
      </c>
      <c r="C944">
        <v>1.0705826089999999</v>
      </c>
      <c r="D944" t="s">
        <v>8</v>
      </c>
      <c r="E944">
        <v>88.61</v>
      </c>
      <c r="G944" t="s">
        <v>1</v>
      </c>
    </row>
    <row r="945" spans="1:7" x14ac:dyDescent="0.4">
      <c r="A945" s="1">
        <v>45019</v>
      </c>
      <c r="B945">
        <v>1</v>
      </c>
      <c r="C945">
        <v>1.096772222</v>
      </c>
      <c r="D945" t="s">
        <v>8</v>
      </c>
      <c r="E945">
        <v>89.82</v>
      </c>
      <c r="F945">
        <v>95.66</v>
      </c>
      <c r="G945" t="s">
        <v>1</v>
      </c>
    </row>
    <row r="946" spans="1:7" x14ac:dyDescent="0.4">
      <c r="A946" s="1">
        <v>45020</v>
      </c>
      <c r="B946">
        <v>1</v>
      </c>
      <c r="C946">
        <v>1.096772222</v>
      </c>
      <c r="D946" t="s">
        <v>8</v>
      </c>
      <c r="E946">
        <v>94.12</v>
      </c>
      <c r="G946" t="s">
        <v>1</v>
      </c>
    </row>
    <row r="947" spans="1:7" x14ac:dyDescent="0.4">
      <c r="A947" s="1">
        <v>45022</v>
      </c>
      <c r="B947">
        <v>1</v>
      </c>
      <c r="C947">
        <v>1.096772222</v>
      </c>
      <c r="D947" t="s">
        <v>8</v>
      </c>
      <c r="E947">
        <v>94.3</v>
      </c>
      <c r="G947" t="s">
        <v>1</v>
      </c>
    </row>
    <row r="948" spans="1:7" x14ac:dyDescent="0.4">
      <c r="A948" s="1">
        <v>45026</v>
      </c>
      <c r="B948">
        <v>1</v>
      </c>
      <c r="C948">
        <v>1.096772222</v>
      </c>
      <c r="D948" t="s">
        <v>8</v>
      </c>
      <c r="F948">
        <v>92.9</v>
      </c>
      <c r="G948" t="s">
        <v>1</v>
      </c>
    </row>
    <row r="949" spans="1:7" x14ac:dyDescent="0.4">
      <c r="A949" s="1">
        <v>45027</v>
      </c>
      <c r="B949">
        <v>1</v>
      </c>
      <c r="C949">
        <v>1.096772222</v>
      </c>
      <c r="D949" t="s">
        <v>8</v>
      </c>
      <c r="E949">
        <v>95.52</v>
      </c>
      <c r="G949" t="s">
        <v>1</v>
      </c>
    </row>
    <row r="950" spans="1:7" x14ac:dyDescent="0.4">
      <c r="A950" s="1">
        <v>45028</v>
      </c>
      <c r="B950">
        <v>1</v>
      </c>
      <c r="C950">
        <v>1.096772222</v>
      </c>
      <c r="D950" t="s">
        <v>8</v>
      </c>
      <c r="E950">
        <v>93.9</v>
      </c>
      <c r="G950" t="s">
        <v>1</v>
      </c>
    </row>
    <row r="951" spans="1:7" x14ac:dyDescent="0.4">
      <c r="A951" s="1">
        <v>45029</v>
      </c>
      <c r="B951">
        <v>1</v>
      </c>
      <c r="C951">
        <v>1.096772222</v>
      </c>
      <c r="D951" t="s">
        <v>8</v>
      </c>
      <c r="E951">
        <v>90.51</v>
      </c>
      <c r="G951" t="s">
        <v>1</v>
      </c>
    </row>
    <row r="952" spans="1:7" x14ac:dyDescent="0.4">
      <c r="A952" s="1">
        <v>45030</v>
      </c>
      <c r="B952">
        <v>1</v>
      </c>
      <c r="C952">
        <v>1.096772222</v>
      </c>
      <c r="D952" t="s">
        <v>8</v>
      </c>
      <c r="E952">
        <v>92.3</v>
      </c>
      <c r="G952" t="s">
        <v>1</v>
      </c>
    </row>
    <row r="953" spans="1:7" x14ac:dyDescent="0.4">
      <c r="A953" s="1">
        <v>45033</v>
      </c>
      <c r="B953">
        <v>1</v>
      </c>
      <c r="C953">
        <v>1.096772222</v>
      </c>
      <c r="D953" t="s">
        <v>8</v>
      </c>
      <c r="E953">
        <v>90.55</v>
      </c>
      <c r="F953">
        <v>86.88</v>
      </c>
      <c r="G953" t="s">
        <v>1</v>
      </c>
    </row>
    <row r="954" spans="1:7" x14ac:dyDescent="0.4">
      <c r="A954" s="1">
        <v>45034</v>
      </c>
      <c r="B954">
        <v>1</v>
      </c>
      <c r="C954">
        <v>1.096772222</v>
      </c>
      <c r="D954" t="s">
        <v>8</v>
      </c>
      <c r="E954">
        <v>90.55</v>
      </c>
      <c r="G954" t="s">
        <v>1</v>
      </c>
    </row>
    <row r="955" spans="1:7" x14ac:dyDescent="0.4">
      <c r="A955" s="1">
        <v>45036</v>
      </c>
      <c r="B955">
        <v>1</v>
      </c>
      <c r="C955">
        <v>1.096772222</v>
      </c>
      <c r="D955" t="s">
        <v>8</v>
      </c>
      <c r="E955">
        <v>90.68</v>
      </c>
      <c r="G955" t="s">
        <v>1</v>
      </c>
    </row>
    <row r="956" spans="1:7" x14ac:dyDescent="0.4">
      <c r="A956" s="1">
        <v>45037</v>
      </c>
      <c r="B956">
        <v>1</v>
      </c>
      <c r="C956">
        <v>1.096772222</v>
      </c>
      <c r="D956" t="s">
        <v>8</v>
      </c>
      <c r="E956">
        <v>88.6</v>
      </c>
      <c r="G956" t="s">
        <v>1</v>
      </c>
    </row>
    <row r="957" spans="1:7" x14ac:dyDescent="0.4">
      <c r="A957" s="1">
        <v>45040</v>
      </c>
      <c r="B957">
        <v>1</v>
      </c>
      <c r="C957">
        <v>1.096772222</v>
      </c>
      <c r="D957" t="s">
        <v>8</v>
      </c>
      <c r="E957">
        <v>85.7</v>
      </c>
      <c r="F957">
        <v>85.79</v>
      </c>
      <c r="G957" t="s">
        <v>1</v>
      </c>
    </row>
    <row r="958" spans="1:7" x14ac:dyDescent="0.4">
      <c r="A958" s="1">
        <v>45041</v>
      </c>
      <c r="B958">
        <v>1</v>
      </c>
      <c r="C958">
        <v>1.096772222</v>
      </c>
      <c r="D958" t="s">
        <v>8</v>
      </c>
      <c r="E958">
        <v>84.73</v>
      </c>
      <c r="G958" t="s">
        <v>1</v>
      </c>
    </row>
    <row r="959" spans="1:7" x14ac:dyDescent="0.4">
      <c r="A959" s="1">
        <v>45042</v>
      </c>
      <c r="B959">
        <v>1</v>
      </c>
      <c r="C959">
        <v>1.096772222</v>
      </c>
      <c r="D959" t="s">
        <v>8</v>
      </c>
      <c r="E959">
        <v>83.31</v>
      </c>
      <c r="G959" t="s">
        <v>1</v>
      </c>
    </row>
    <row r="960" spans="1:7" x14ac:dyDescent="0.4">
      <c r="A960" s="1">
        <v>45043</v>
      </c>
      <c r="B960">
        <v>1</v>
      </c>
      <c r="C960">
        <v>1.096772222</v>
      </c>
      <c r="D960" t="s">
        <v>8</v>
      </c>
      <c r="E960">
        <v>85</v>
      </c>
      <c r="G960" t="s">
        <v>1</v>
      </c>
    </row>
    <row r="961" spans="1:7" x14ac:dyDescent="0.4">
      <c r="A961" s="1">
        <v>45044</v>
      </c>
      <c r="B961">
        <v>1</v>
      </c>
      <c r="C961">
        <v>1.096772222</v>
      </c>
      <c r="D961" t="s">
        <v>8</v>
      </c>
      <c r="E961">
        <v>84</v>
      </c>
      <c r="G961" t="s">
        <v>1</v>
      </c>
    </row>
    <row r="962" spans="1:7" x14ac:dyDescent="0.4">
      <c r="A962" s="1">
        <v>45047</v>
      </c>
      <c r="B962">
        <v>1</v>
      </c>
      <c r="C962">
        <v>1.0867500000000001</v>
      </c>
      <c r="D962" t="s">
        <v>8</v>
      </c>
      <c r="F962">
        <v>87.71</v>
      </c>
      <c r="G962" t="s">
        <v>1</v>
      </c>
    </row>
    <row r="963" spans="1:7" x14ac:dyDescent="0.4">
      <c r="A963" s="1">
        <v>45048</v>
      </c>
      <c r="B963">
        <v>1</v>
      </c>
      <c r="C963">
        <v>1.0867500000000001</v>
      </c>
      <c r="D963" t="s">
        <v>8</v>
      </c>
      <c r="E963">
        <v>83.24</v>
      </c>
      <c r="G963" t="s">
        <v>1</v>
      </c>
    </row>
    <row r="964" spans="1:7" x14ac:dyDescent="0.4">
      <c r="A964" s="1">
        <v>45050</v>
      </c>
      <c r="B964">
        <v>1</v>
      </c>
      <c r="C964">
        <v>1.0867500000000001</v>
      </c>
      <c r="D964" t="s">
        <v>8</v>
      </c>
      <c r="E964">
        <v>82.23</v>
      </c>
      <c r="G964" t="s">
        <v>1</v>
      </c>
    </row>
    <row r="965" spans="1:7" x14ac:dyDescent="0.4">
      <c r="A965" s="1">
        <v>45051</v>
      </c>
      <c r="B965">
        <v>1</v>
      </c>
      <c r="C965">
        <v>1.0867500000000001</v>
      </c>
      <c r="D965" t="s">
        <v>8</v>
      </c>
      <c r="E965">
        <v>84.38</v>
      </c>
      <c r="G965" t="s">
        <v>1</v>
      </c>
    </row>
    <row r="966" spans="1:7" x14ac:dyDescent="0.4">
      <c r="A966" s="1">
        <v>45054</v>
      </c>
      <c r="B966">
        <v>1</v>
      </c>
      <c r="C966">
        <v>1.0867500000000001</v>
      </c>
      <c r="D966" t="s">
        <v>8</v>
      </c>
      <c r="E966">
        <v>82.99</v>
      </c>
      <c r="F966">
        <v>88.69</v>
      </c>
      <c r="G966" t="s">
        <v>1</v>
      </c>
    </row>
    <row r="967" spans="1:7" x14ac:dyDescent="0.4">
      <c r="A967" s="1">
        <v>45055</v>
      </c>
      <c r="B967">
        <v>1</v>
      </c>
      <c r="C967">
        <v>1.0867500000000001</v>
      </c>
      <c r="D967" t="s">
        <v>8</v>
      </c>
      <c r="E967">
        <v>83.84</v>
      </c>
      <c r="G967" t="s">
        <v>1</v>
      </c>
    </row>
    <row r="968" spans="1:7" x14ac:dyDescent="0.4">
      <c r="A968" s="1">
        <v>45056</v>
      </c>
      <c r="B968">
        <v>1</v>
      </c>
      <c r="C968">
        <v>1.0867500000000001</v>
      </c>
      <c r="D968" t="s">
        <v>8</v>
      </c>
      <c r="E968">
        <v>85.85</v>
      </c>
      <c r="G968" t="s">
        <v>1</v>
      </c>
    </row>
    <row r="969" spans="1:7" x14ac:dyDescent="0.4">
      <c r="A969" s="1">
        <v>45057</v>
      </c>
      <c r="B969">
        <v>1</v>
      </c>
      <c r="C969">
        <v>1.0867500000000001</v>
      </c>
      <c r="D969" t="s">
        <v>8</v>
      </c>
      <c r="E969">
        <v>86.75</v>
      </c>
      <c r="G969" t="s">
        <v>1</v>
      </c>
    </row>
    <row r="970" spans="1:7" x14ac:dyDescent="0.4">
      <c r="A970" s="1">
        <v>45058</v>
      </c>
      <c r="B970">
        <v>1</v>
      </c>
      <c r="C970">
        <v>1.0867500000000001</v>
      </c>
      <c r="D970" t="s">
        <v>8</v>
      </c>
      <c r="E970">
        <v>86.67</v>
      </c>
      <c r="G970" t="s">
        <v>1</v>
      </c>
    </row>
    <row r="971" spans="1:7" x14ac:dyDescent="0.4">
      <c r="A971" s="1">
        <v>45061</v>
      </c>
      <c r="B971">
        <v>1</v>
      </c>
      <c r="C971">
        <v>1.0867500000000001</v>
      </c>
      <c r="D971" t="s">
        <v>8</v>
      </c>
      <c r="E971">
        <v>85.7</v>
      </c>
      <c r="F971">
        <v>84.74</v>
      </c>
      <c r="G971" t="s">
        <v>1</v>
      </c>
    </row>
    <row r="972" spans="1:7" x14ac:dyDescent="0.4">
      <c r="A972" s="1">
        <v>45062</v>
      </c>
      <c r="B972">
        <v>1</v>
      </c>
      <c r="C972">
        <v>1.0867500000000001</v>
      </c>
      <c r="D972" t="s">
        <v>8</v>
      </c>
      <c r="E972">
        <v>85.05</v>
      </c>
      <c r="G972" t="s">
        <v>1</v>
      </c>
    </row>
    <row r="973" spans="1:7" x14ac:dyDescent="0.4">
      <c r="A973" s="1">
        <v>45063</v>
      </c>
      <c r="B973">
        <v>1</v>
      </c>
      <c r="C973">
        <v>1.0867500000000001</v>
      </c>
      <c r="D973" t="s">
        <v>8</v>
      </c>
      <c r="E973">
        <v>85.58</v>
      </c>
      <c r="G973" t="s">
        <v>1</v>
      </c>
    </row>
    <row r="974" spans="1:7" x14ac:dyDescent="0.4">
      <c r="A974" s="1">
        <v>45068</v>
      </c>
      <c r="B974">
        <v>1</v>
      </c>
      <c r="C974">
        <v>1.0867500000000001</v>
      </c>
      <c r="D974" t="s">
        <v>8</v>
      </c>
      <c r="E974">
        <v>85.2</v>
      </c>
      <c r="F974">
        <v>80.42</v>
      </c>
      <c r="G974" t="s">
        <v>1</v>
      </c>
    </row>
    <row r="975" spans="1:7" x14ac:dyDescent="0.4">
      <c r="A975" s="1">
        <v>45069</v>
      </c>
      <c r="B975">
        <v>1</v>
      </c>
      <c r="C975">
        <v>1.0867500000000001</v>
      </c>
      <c r="D975" t="s">
        <v>8</v>
      </c>
      <c r="E975">
        <v>84.32</v>
      </c>
      <c r="G975" t="s">
        <v>1</v>
      </c>
    </row>
    <row r="976" spans="1:7" x14ac:dyDescent="0.4">
      <c r="A976" s="1">
        <v>45070</v>
      </c>
      <c r="B976">
        <v>1</v>
      </c>
      <c r="C976">
        <v>1.0867500000000001</v>
      </c>
      <c r="D976" t="s">
        <v>8</v>
      </c>
      <c r="E976">
        <v>83</v>
      </c>
      <c r="G976" t="s">
        <v>1</v>
      </c>
    </row>
    <row r="977" spans="1:7" x14ac:dyDescent="0.4">
      <c r="A977" s="1">
        <v>45071</v>
      </c>
      <c r="B977">
        <v>1</v>
      </c>
      <c r="C977">
        <v>1.0867500000000001</v>
      </c>
      <c r="D977" t="s">
        <v>8</v>
      </c>
      <c r="E977">
        <v>81.12</v>
      </c>
      <c r="G977" t="s">
        <v>1</v>
      </c>
    </row>
    <row r="978" spans="1:7" x14ac:dyDescent="0.4">
      <c r="A978" s="1">
        <v>45072</v>
      </c>
      <c r="B978">
        <v>1</v>
      </c>
      <c r="C978">
        <v>1.0867500000000001</v>
      </c>
      <c r="D978" t="s">
        <v>8</v>
      </c>
      <c r="E978">
        <v>81.11</v>
      </c>
      <c r="G978" t="s">
        <v>1</v>
      </c>
    </row>
    <row r="979" spans="1:7" x14ac:dyDescent="0.4">
      <c r="A979" s="1">
        <v>45075</v>
      </c>
      <c r="B979">
        <v>1</v>
      </c>
      <c r="C979">
        <v>1.0867500000000001</v>
      </c>
      <c r="D979" t="s">
        <v>8</v>
      </c>
      <c r="F979">
        <v>83.69</v>
      </c>
      <c r="G979" t="s">
        <v>1</v>
      </c>
    </row>
    <row r="980" spans="1:7" x14ac:dyDescent="0.4">
      <c r="A980" s="1">
        <v>45076</v>
      </c>
      <c r="B980">
        <v>1</v>
      </c>
      <c r="C980">
        <v>1.0867500000000001</v>
      </c>
      <c r="D980" t="s">
        <v>8</v>
      </c>
      <c r="E980">
        <v>79.790000000000006</v>
      </c>
      <c r="G980" t="s">
        <v>1</v>
      </c>
    </row>
    <row r="981" spans="1:7" x14ac:dyDescent="0.4">
      <c r="A981" s="1">
        <v>45078</v>
      </c>
      <c r="B981">
        <v>1</v>
      </c>
      <c r="C981">
        <v>1.083986364</v>
      </c>
      <c r="D981" t="s">
        <v>8</v>
      </c>
      <c r="E981">
        <v>78.62</v>
      </c>
      <c r="G981" t="s">
        <v>1</v>
      </c>
    </row>
    <row r="982" spans="1:7" x14ac:dyDescent="0.4">
      <c r="A982" s="1">
        <v>45079</v>
      </c>
      <c r="B982">
        <v>1</v>
      </c>
      <c r="C982">
        <v>1.083986364</v>
      </c>
      <c r="D982" t="s">
        <v>8</v>
      </c>
      <c r="E982">
        <v>78.2</v>
      </c>
      <c r="G982" t="s">
        <v>1</v>
      </c>
    </row>
    <row r="983" spans="1:7" x14ac:dyDescent="0.4">
      <c r="A983" s="1">
        <v>45082</v>
      </c>
      <c r="B983">
        <v>1</v>
      </c>
      <c r="C983">
        <v>1.083986364</v>
      </c>
      <c r="D983" t="s">
        <v>8</v>
      </c>
      <c r="E983">
        <v>78.55</v>
      </c>
      <c r="F983">
        <v>91.33</v>
      </c>
      <c r="G983" t="s">
        <v>1</v>
      </c>
    </row>
    <row r="984" spans="1:7" x14ac:dyDescent="0.4">
      <c r="A984" s="1">
        <v>45083</v>
      </c>
      <c r="B984">
        <v>1</v>
      </c>
      <c r="C984">
        <v>1.083986364</v>
      </c>
      <c r="D984" t="s">
        <v>8</v>
      </c>
      <c r="E984">
        <v>80.069999999999993</v>
      </c>
      <c r="G984" t="s">
        <v>1</v>
      </c>
    </row>
    <row r="985" spans="1:7" x14ac:dyDescent="0.4">
      <c r="A985" s="1">
        <v>45084</v>
      </c>
      <c r="B985">
        <v>1</v>
      </c>
      <c r="C985">
        <v>1.083986364</v>
      </c>
      <c r="D985" t="s">
        <v>8</v>
      </c>
      <c r="E985">
        <v>78.25</v>
      </c>
      <c r="G985" t="s">
        <v>1</v>
      </c>
    </row>
    <row r="986" spans="1:7" x14ac:dyDescent="0.4">
      <c r="A986" s="1">
        <v>45085</v>
      </c>
      <c r="B986">
        <v>1</v>
      </c>
      <c r="C986">
        <v>1.083986364</v>
      </c>
      <c r="D986" t="s">
        <v>8</v>
      </c>
      <c r="E986">
        <v>81.540000000000006</v>
      </c>
      <c r="G986" t="s">
        <v>1</v>
      </c>
    </row>
    <row r="987" spans="1:7" x14ac:dyDescent="0.4">
      <c r="A987" s="1">
        <v>45086</v>
      </c>
      <c r="B987">
        <v>1</v>
      </c>
      <c r="C987">
        <v>1.083986364</v>
      </c>
      <c r="D987" t="s">
        <v>8</v>
      </c>
      <c r="E987">
        <v>83.11</v>
      </c>
      <c r="G987" t="s">
        <v>1</v>
      </c>
    </row>
    <row r="988" spans="1:7" x14ac:dyDescent="0.4">
      <c r="A988" s="1">
        <v>45089</v>
      </c>
      <c r="B988">
        <v>1</v>
      </c>
      <c r="C988">
        <v>1.083986364</v>
      </c>
      <c r="D988" t="s">
        <v>8</v>
      </c>
      <c r="E988">
        <v>83.45</v>
      </c>
      <c r="F988">
        <v>91.12</v>
      </c>
      <c r="G988" t="s">
        <v>1</v>
      </c>
    </row>
    <row r="989" spans="1:7" x14ac:dyDescent="0.4">
      <c r="A989" s="1">
        <v>45090</v>
      </c>
      <c r="B989">
        <v>1</v>
      </c>
      <c r="C989">
        <v>1.083986364</v>
      </c>
      <c r="D989" t="s">
        <v>8</v>
      </c>
      <c r="E989">
        <v>86.44</v>
      </c>
      <c r="G989" t="s">
        <v>1</v>
      </c>
    </row>
    <row r="990" spans="1:7" x14ac:dyDescent="0.4">
      <c r="A990" s="1">
        <v>45092</v>
      </c>
      <c r="B990">
        <v>1</v>
      </c>
      <c r="C990">
        <v>1.083986364</v>
      </c>
      <c r="D990" t="s">
        <v>8</v>
      </c>
      <c r="E990">
        <v>91.67</v>
      </c>
      <c r="G990" t="s">
        <v>1</v>
      </c>
    </row>
    <row r="991" spans="1:7" x14ac:dyDescent="0.4">
      <c r="A991" s="1">
        <v>45093</v>
      </c>
      <c r="B991">
        <v>1</v>
      </c>
      <c r="C991">
        <v>1.083986364</v>
      </c>
      <c r="D991" t="s">
        <v>8</v>
      </c>
      <c r="E991">
        <v>89.3</v>
      </c>
      <c r="G991" t="s">
        <v>1</v>
      </c>
    </row>
    <row r="992" spans="1:7" x14ac:dyDescent="0.4">
      <c r="A992" s="1">
        <v>45096</v>
      </c>
      <c r="B992">
        <v>1</v>
      </c>
      <c r="C992">
        <v>1.083986364</v>
      </c>
      <c r="D992" t="s">
        <v>8</v>
      </c>
      <c r="E992">
        <v>90.16</v>
      </c>
      <c r="F992">
        <v>87.96</v>
      </c>
      <c r="G992" t="s">
        <v>1</v>
      </c>
    </row>
    <row r="993" spans="1:7" x14ac:dyDescent="0.4">
      <c r="A993" s="1">
        <v>45097</v>
      </c>
      <c r="B993">
        <v>1</v>
      </c>
      <c r="C993">
        <v>1.083986364</v>
      </c>
      <c r="D993" t="s">
        <v>8</v>
      </c>
      <c r="E993">
        <v>91.55</v>
      </c>
      <c r="G993" t="s">
        <v>1</v>
      </c>
    </row>
    <row r="994" spans="1:7" x14ac:dyDescent="0.4">
      <c r="A994" s="1">
        <v>45098</v>
      </c>
      <c r="B994">
        <v>1</v>
      </c>
      <c r="C994">
        <v>1.083986364</v>
      </c>
      <c r="D994" t="s">
        <v>8</v>
      </c>
      <c r="E994">
        <v>90.35</v>
      </c>
      <c r="G994" t="s">
        <v>1</v>
      </c>
    </row>
    <row r="995" spans="1:7" x14ac:dyDescent="0.4">
      <c r="A995" s="1">
        <v>45099</v>
      </c>
      <c r="B995">
        <v>1</v>
      </c>
      <c r="C995">
        <v>1.083986364</v>
      </c>
      <c r="D995" t="s">
        <v>8</v>
      </c>
      <c r="E995">
        <v>87.11</v>
      </c>
      <c r="G995" t="s">
        <v>1</v>
      </c>
    </row>
    <row r="996" spans="1:7" x14ac:dyDescent="0.4">
      <c r="A996" s="1">
        <v>45100</v>
      </c>
      <c r="B996">
        <v>1</v>
      </c>
      <c r="C996">
        <v>1.083986364</v>
      </c>
      <c r="D996" t="s">
        <v>8</v>
      </c>
      <c r="E996">
        <v>88.9</v>
      </c>
      <c r="G996" t="s">
        <v>1</v>
      </c>
    </row>
    <row r="997" spans="1:7" x14ac:dyDescent="0.4">
      <c r="A997" s="1">
        <v>45103</v>
      </c>
      <c r="B997">
        <v>1</v>
      </c>
      <c r="C997">
        <v>1.083986364</v>
      </c>
      <c r="D997" t="s">
        <v>8</v>
      </c>
      <c r="E997">
        <v>86.01</v>
      </c>
      <c r="F997">
        <v>86.5</v>
      </c>
      <c r="G997" t="s">
        <v>1</v>
      </c>
    </row>
    <row r="998" spans="1:7" x14ac:dyDescent="0.4">
      <c r="A998" s="1">
        <v>45104</v>
      </c>
      <c r="B998">
        <v>1</v>
      </c>
      <c r="C998">
        <v>1.083986364</v>
      </c>
      <c r="D998" t="s">
        <v>8</v>
      </c>
      <c r="E998">
        <v>85.35</v>
      </c>
      <c r="G998" t="s">
        <v>1</v>
      </c>
    </row>
    <row r="999" spans="1:7" x14ac:dyDescent="0.4">
      <c r="A999" s="1">
        <v>45106</v>
      </c>
      <c r="B999">
        <v>1</v>
      </c>
      <c r="C999">
        <v>1.083986364</v>
      </c>
      <c r="D999" t="s">
        <v>8</v>
      </c>
      <c r="E999">
        <v>86.6</v>
      </c>
      <c r="G999" t="s">
        <v>1</v>
      </c>
    </row>
    <row r="1000" spans="1:7" x14ac:dyDescent="0.4">
      <c r="A1000" s="1">
        <v>45107</v>
      </c>
      <c r="B1000">
        <v>1</v>
      </c>
      <c r="C1000">
        <v>1.083986364</v>
      </c>
      <c r="D1000" t="s">
        <v>8</v>
      </c>
      <c r="E1000">
        <v>85.31</v>
      </c>
      <c r="G1000" t="s">
        <v>1</v>
      </c>
    </row>
    <row r="1001" spans="1:7" x14ac:dyDescent="0.4">
      <c r="A1001" s="1">
        <v>45110</v>
      </c>
      <c r="B1001">
        <v>1</v>
      </c>
      <c r="C1001">
        <v>1.105814286</v>
      </c>
      <c r="D1001" t="s">
        <v>8</v>
      </c>
      <c r="E1001">
        <v>87.11</v>
      </c>
      <c r="F1001">
        <v>86.15</v>
      </c>
      <c r="G1001" t="s">
        <v>1</v>
      </c>
    </row>
    <row r="1002" spans="1:7" x14ac:dyDescent="0.4">
      <c r="A1002" s="1">
        <v>45111</v>
      </c>
      <c r="B1002">
        <v>1</v>
      </c>
      <c r="C1002">
        <v>1.105814286</v>
      </c>
      <c r="D1002" t="s">
        <v>8</v>
      </c>
      <c r="E1002">
        <v>85</v>
      </c>
      <c r="G1002" t="s">
        <v>1</v>
      </c>
    </row>
    <row r="1003" spans="1:7" x14ac:dyDescent="0.4">
      <c r="A1003" s="1">
        <v>45112</v>
      </c>
      <c r="B1003">
        <v>1</v>
      </c>
      <c r="C1003">
        <v>1.105814286</v>
      </c>
      <c r="D1003" t="s">
        <v>8</v>
      </c>
      <c r="E1003">
        <v>84.84</v>
      </c>
      <c r="G1003" t="s">
        <v>1</v>
      </c>
    </row>
    <row r="1004" spans="1:7" x14ac:dyDescent="0.4">
      <c r="A1004" s="1">
        <v>45113</v>
      </c>
      <c r="B1004">
        <v>1</v>
      </c>
      <c r="C1004">
        <v>1.105814286</v>
      </c>
      <c r="D1004" t="s">
        <v>8</v>
      </c>
      <c r="E1004">
        <v>84.18</v>
      </c>
      <c r="G1004" t="s">
        <v>1</v>
      </c>
    </row>
    <row r="1005" spans="1:7" x14ac:dyDescent="0.4">
      <c r="A1005" s="1">
        <v>45114</v>
      </c>
      <c r="B1005">
        <v>1</v>
      </c>
      <c r="C1005">
        <v>1.105814286</v>
      </c>
      <c r="D1005" t="s">
        <v>8</v>
      </c>
      <c r="E1005">
        <v>84.82</v>
      </c>
      <c r="G1005" t="s">
        <v>1</v>
      </c>
    </row>
    <row r="1006" spans="1:7" x14ac:dyDescent="0.4">
      <c r="A1006" s="1">
        <v>45117</v>
      </c>
      <c r="B1006">
        <v>1</v>
      </c>
      <c r="C1006">
        <v>1.105814286</v>
      </c>
      <c r="D1006" t="s">
        <v>8</v>
      </c>
      <c r="E1006">
        <v>85</v>
      </c>
      <c r="F1006">
        <v>88.99</v>
      </c>
      <c r="G1006" t="s">
        <v>1</v>
      </c>
    </row>
    <row r="1007" spans="1:7" x14ac:dyDescent="0.4">
      <c r="A1007" s="1">
        <v>45118</v>
      </c>
      <c r="B1007">
        <v>1</v>
      </c>
      <c r="C1007">
        <v>1.105814286</v>
      </c>
      <c r="D1007" t="s">
        <v>8</v>
      </c>
      <c r="E1007">
        <v>83.62</v>
      </c>
      <c r="G1007" t="s">
        <v>1</v>
      </c>
    </row>
    <row r="1008" spans="1:7" x14ac:dyDescent="0.4">
      <c r="A1008" s="1">
        <v>45119</v>
      </c>
      <c r="B1008">
        <v>1</v>
      </c>
      <c r="C1008">
        <v>1.105814286</v>
      </c>
      <c r="D1008" t="s">
        <v>8</v>
      </c>
      <c r="E1008">
        <v>85.32</v>
      </c>
      <c r="G1008" t="s">
        <v>1</v>
      </c>
    </row>
    <row r="1009" spans="1:7" x14ac:dyDescent="0.4">
      <c r="A1009" s="1">
        <v>45120</v>
      </c>
      <c r="B1009">
        <v>1</v>
      </c>
      <c r="C1009">
        <v>1.105814286</v>
      </c>
      <c r="D1009" t="s">
        <v>8</v>
      </c>
      <c r="E1009">
        <v>84.25</v>
      </c>
      <c r="G1009" t="s">
        <v>1</v>
      </c>
    </row>
    <row r="1010" spans="1:7" x14ac:dyDescent="0.4">
      <c r="A1010" s="1">
        <v>45121</v>
      </c>
      <c r="B1010">
        <v>1</v>
      </c>
      <c r="C1010">
        <v>1.105814286</v>
      </c>
      <c r="D1010" t="s">
        <v>8</v>
      </c>
      <c r="E1010">
        <v>85.51</v>
      </c>
      <c r="G1010" t="s">
        <v>1</v>
      </c>
    </row>
    <row r="1011" spans="1:7" x14ac:dyDescent="0.4">
      <c r="A1011" s="1">
        <v>45124</v>
      </c>
      <c r="B1011">
        <v>1</v>
      </c>
      <c r="C1011">
        <v>1.105814286</v>
      </c>
      <c r="D1011" t="s">
        <v>8</v>
      </c>
      <c r="E1011">
        <v>84.72</v>
      </c>
      <c r="F1011">
        <v>90.72</v>
      </c>
      <c r="G1011" t="s">
        <v>1</v>
      </c>
    </row>
    <row r="1012" spans="1:7" x14ac:dyDescent="0.4">
      <c r="A1012" s="1">
        <v>45125</v>
      </c>
      <c r="B1012">
        <v>1</v>
      </c>
      <c r="C1012">
        <v>1.105814286</v>
      </c>
      <c r="D1012" t="s">
        <v>8</v>
      </c>
      <c r="E1012">
        <v>84.9</v>
      </c>
      <c r="G1012" t="s">
        <v>1</v>
      </c>
    </row>
    <row r="1013" spans="1:7" x14ac:dyDescent="0.4">
      <c r="A1013" s="1">
        <v>45126</v>
      </c>
      <c r="B1013">
        <v>1</v>
      </c>
      <c r="C1013">
        <v>1.105814286</v>
      </c>
      <c r="D1013" t="s">
        <v>8</v>
      </c>
      <c r="E1013">
        <v>86.03</v>
      </c>
      <c r="G1013" t="s">
        <v>1</v>
      </c>
    </row>
    <row r="1014" spans="1:7" x14ac:dyDescent="0.4">
      <c r="A1014" s="1">
        <v>45127</v>
      </c>
      <c r="B1014">
        <v>1</v>
      </c>
      <c r="C1014">
        <v>1.105814286</v>
      </c>
      <c r="D1014" t="s">
        <v>8</v>
      </c>
      <c r="E1014">
        <v>87.76</v>
      </c>
      <c r="G1014" t="s">
        <v>1</v>
      </c>
    </row>
    <row r="1015" spans="1:7" x14ac:dyDescent="0.4">
      <c r="A1015" s="1">
        <v>45128</v>
      </c>
      <c r="B1015">
        <v>1</v>
      </c>
      <c r="C1015">
        <v>1.105814286</v>
      </c>
      <c r="D1015" t="s">
        <v>8</v>
      </c>
      <c r="E1015">
        <v>89.36</v>
      </c>
      <c r="G1015" t="s">
        <v>1</v>
      </c>
    </row>
    <row r="1016" spans="1:7" x14ac:dyDescent="0.4">
      <c r="A1016" s="1">
        <v>45131</v>
      </c>
      <c r="B1016">
        <v>1</v>
      </c>
      <c r="C1016">
        <v>1.105814286</v>
      </c>
      <c r="D1016" t="s">
        <v>8</v>
      </c>
      <c r="E1016">
        <v>90.3</v>
      </c>
      <c r="F1016">
        <v>84.73</v>
      </c>
      <c r="G1016" t="s">
        <v>1</v>
      </c>
    </row>
    <row r="1017" spans="1:7" x14ac:dyDescent="0.4">
      <c r="A1017" s="1">
        <v>45132</v>
      </c>
      <c r="B1017">
        <v>1</v>
      </c>
      <c r="C1017">
        <v>1.105814286</v>
      </c>
      <c r="D1017" t="s">
        <v>8</v>
      </c>
      <c r="E1017">
        <v>90.25</v>
      </c>
      <c r="G1017" t="s">
        <v>1</v>
      </c>
    </row>
    <row r="1018" spans="1:7" x14ac:dyDescent="0.4">
      <c r="A1018" s="1">
        <v>45134</v>
      </c>
      <c r="B1018">
        <v>1</v>
      </c>
      <c r="C1018">
        <v>1.105814286</v>
      </c>
      <c r="D1018" t="s">
        <v>8</v>
      </c>
      <c r="E1018">
        <v>88.02</v>
      </c>
      <c r="G1018" t="s">
        <v>1</v>
      </c>
    </row>
    <row r="1019" spans="1:7" x14ac:dyDescent="0.4">
      <c r="A1019" s="1">
        <v>45135</v>
      </c>
      <c r="B1019">
        <v>1</v>
      </c>
      <c r="C1019">
        <v>1.105814286</v>
      </c>
      <c r="D1019" t="s">
        <v>8</v>
      </c>
      <c r="E1019">
        <v>87.33</v>
      </c>
      <c r="G1019" t="s">
        <v>1</v>
      </c>
    </row>
    <row r="1020" spans="1:7" x14ac:dyDescent="0.4">
      <c r="A1020" s="1">
        <v>45138</v>
      </c>
      <c r="B1020">
        <v>1</v>
      </c>
      <c r="C1020">
        <v>1.105814286</v>
      </c>
      <c r="D1020" t="s">
        <v>8</v>
      </c>
      <c r="E1020">
        <v>86.65</v>
      </c>
      <c r="F1020">
        <v>84.52</v>
      </c>
      <c r="G1020" t="s">
        <v>1</v>
      </c>
    </row>
    <row r="1021" spans="1:7" x14ac:dyDescent="0.4">
      <c r="A1021" s="1">
        <v>45139</v>
      </c>
      <c r="B1021">
        <v>1</v>
      </c>
      <c r="C1021">
        <v>1.0908869569999999</v>
      </c>
      <c r="D1021" t="s">
        <v>8</v>
      </c>
      <c r="E1021">
        <v>84.69</v>
      </c>
      <c r="G1021" t="s">
        <v>1</v>
      </c>
    </row>
    <row r="1022" spans="1:7" x14ac:dyDescent="0.4">
      <c r="A1022" s="1">
        <v>45140</v>
      </c>
      <c r="B1022">
        <v>1</v>
      </c>
      <c r="C1022">
        <v>1.0908869569999999</v>
      </c>
      <c r="D1022" t="s">
        <v>8</v>
      </c>
      <c r="E1022">
        <v>81.88</v>
      </c>
      <c r="G1022" t="s">
        <v>1</v>
      </c>
    </row>
    <row r="1023" spans="1:7" x14ac:dyDescent="0.4">
      <c r="A1023" s="1">
        <v>45141</v>
      </c>
      <c r="B1023">
        <v>1</v>
      </c>
      <c r="C1023">
        <v>1.0908869569999999</v>
      </c>
      <c r="D1023" t="s">
        <v>8</v>
      </c>
      <c r="E1023">
        <v>83.52</v>
      </c>
      <c r="G1023" t="s">
        <v>1</v>
      </c>
    </row>
    <row r="1024" spans="1:7" x14ac:dyDescent="0.4">
      <c r="A1024" s="1">
        <v>45142</v>
      </c>
      <c r="B1024">
        <v>1</v>
      </c>
      <c r="C1024">
        <v>1.0908869569999999</v>
      </c>
      <c r="D1024" t="s">
        <v>8</v>
      </c>
      <c r="E1024">
        <v>83.33</v>
      </c>
      <c r="G1024" t="s">
        <v>1</v>
      </c>
    </row>
    <row r="1025" spans="1:7" x14ac:dyDescent="0.4">
      <c r="A1025" s="1">
        <v>45145</v>
      </c>
      <c r="B1025">
        <v>1</v>
      </c>
      <c r="C1025">
        <v>1.0908869569999999</v>
      </c>
      <c r="D1025" t="s">
        <v>8</v>
      </c>
      <c r="E1025">
        <v>82.28</v>
      </c>
      <c r="F1025">
        <v>88.03</v>
      </c>
      <c r="G1025" t="s">
        <v>1</v>
      </c>
    </row>
    <row r="1026" spans="1:7" x14ac:dyDescent="0.4">
      <c r="A1026" s="1">
        <v>45146</v>
      </c>
      <c r="B1026">
        <v>1</v>
      </c>
      <c r="C1026">
        <v>1.0908869569999999</v>
      </c>
      <c r="D1026" t="s">
        <v>8</v>
      </c>
      <c r="E1026">
        <v>81.459999999999994</v>
      </c>
      <c r="G1026" t="s">
        <v>1</v>
      </c>
    </row>
    <row r="1027" spans="1:7" x14ac:dyDescent="0.4">
      <c r="A1027" s="1">
        <v>45148</v>
      </c>
      <c r="B1027">
        <v>1</v>
      </c>
      <c r="C1027">
        <v>1.0908869569999999</v>
      </c>
      <c r="D1027" t="s">
        <v>8</v>
      </c>
      <c r="E1027">
        <v>82.24</v>
      </c>
      <c r="G1027" t="s">
        <v>1</v>
      </c>
    </row>
    <row r="1028" spans="1:7" x14ac:dyDescent="0.4">
      <c r="A1028" s="1">
        <v>45149</v>
      </c>
      <c r="B1028">
        <v>1</v>
      </c>
      <c r="C1028">
        <v>1.0908869569999999</v>
      </c>
      <c r="D1028" t="s">
        <v>8</v>
      </c>
      <c r="E1028">
        <v>84.2</v>
      </c>
      <c r="G1028" t="s">
        <v>1</v>
      </c>
    </row>
    <row r="1029" spans="1:7" x14ac:dyDescent="0.4">
      <c r="A1029" s="1">
        <v>45152</v>
      </c>
      <c r="B1029">
        <v>1</v>
      </c>
      <c r="C1029">
        <v>1.0908869569999999</v>
      </c>
      <c r="D1029" t="s">
        <v>8</v>
      </c>
      <c r="E1029">
        <v>85.34</v>
      </c>
      <c r="F1029">
        <v>87.44</v>
      </c>
      <c r="G1029" t="s">
        <v>1</v>
      </c>
    </row>
    <row r="1030" spans="1:7" x14ac:dyDescent="0.4">
      <c r="A1030" s="1">
        <v>45153</v>
      </c>
      <c r="B1030">
        <v>1</v>
      </c>
      <c r="C1030">
        <v>1.0908869569999999</v>
      </c>
      <c r="D1030" t="s">
        <v>8</v>
      </c>
      <c r="E1030">
        <v>86.71</v>
      </c>
      <c r="G1030" t="s">
        <v>1</v>
      </c>
    </row>
    <row r="1031" spans="1:7" x14ac:dyDescent="0.4">
      <c r="A1031" s="1">
        <v>45154</v>
      </c>
      <c r="B1031">
        <v>1</v>
      </c>
      <c r="C1031">
        <v>1.0908869569999999</v>
      </c>
      <c r="D1031" t="s">
        <v>8</v>
      </c>
      <c r="E1031">
        <v>87.01</v>
      </c>
      <c r="G1031" t="s">
        <v>1</v>
      </c>
    </row>
    <row r="1032" spans="1:7" x14ac:dyDescent="0.4">
      <c r="A1032" s="1">
        <v>45155</v>
      </c>
      <c r="B1032">
        <v>1</v>
      </c>
      <c r="C1032">
        <v>1.0908869569999999</v>
      </c>
      <c r="D1032" t="s">
        <v>8</v>
      </c>
      <c r="E1032">
        <v>86.84</v>
      </c>
      <c r="G1032" t="s">
        <v>1</v>
      </c>
    </row>
    <row r="1033" spans="1:7" x14ac:dyDescent="0.4">
      <c r="A1033" s="1">
        <v>45156</v>
      </c>
      <c r="B1033">
        <v>1</v>
      </c>
      <c r="C1033">
        <v>1.0908869569999999</v>
      </c>
      <c r="D1033" t="s">
        <v>8</v>
      </c>
      <c r="E1033">
        <v>86.68</v>
      </c>
      <c r="G1033" t="s">
        <v>1</v>
      </c>
    </row>
    <row r="1034" spans="1:7" x14ac:dyDescent="0.4">
      <c r="A1034" s="1">
        <v>45159</v>
      </c>
      <c r="B1034">
        <v>1</v>
      </c>
      <c r="C1034">
        <v>1.0908869569999999</v>
      </c>
      <c r="D1034" t="s">
        <v>8</v>
      </c>
      <c r="E1034">
        <v>86</v>
      </c>
      <c r="F1034">
        <v>85.54</v>
      </c>
      <c r="G1034" t="s">
        <v>1</v>
      </c>
    </row>
    <row r="1035" spans="1:7" x14ac:dyDescent="0.4">
      <c r="A1035" s="1">
        <v>45160</v>
      </c>
      <c r="B1035">
        <v>1</v>
      </c>
      <c r="C1035">
        <v>1.0908869569999999</v>
      </c>
      <c r="D1035" t="s">
        <v>8</v>
      </c>
      <c r="E1035">
        <v>87.86</v>
      </c>
      <c r="G1035" t="s">
        <v>1</v>
      </c>
    </row>
    <row r="1036" spans="1:7" x14ac:dyDescent="0.4">
      <c r="A1036" s="1">
        <v>45162</v>
      </c>
      <c r="B1036">
        <v>1</v>
      </c>
      <c r="C1036">
        <v>1.0908869569999999</v>
      </c>
      <c r="D1036" t="s">
        <v>8</v>
      </c>
      <c r="E1036">
        <v>85.51</v>
      </c>
      <c r="G1036" t="s">
        <v>1</v>
      </c>
    </row>
    <row r="1037" spans="1:7" x14ac:dyDescent="0.4">
      <c r="A1037" s="1">
        <v>45163</v>
      </c>
      <c r="B1037">
        <v>1</v>
      </c>
      <c r="C1037">
        <v>1.0908869569999999</v>
      </c>
      <c r="D1037" t="s">
        <v>8</v>
      </c>
      <c r="E1037">
        <v>85.5</v>
      </c>
      <c r="G1037" t="s">
        <v>1</v>
      </c>
    </row>
    <row r="1038" spans="1:7" x14ac:dyDescent="0.4">
      <c r="A1038" s="1">
        <v>45166</v>
      </c>
      <c r="B1038">
        <v>1</v>
      </c>
      <c r="C1038">
        <v>1.0908869569999999</v>
      </c>
      <c r="D1038" t="s">
        <v>8</v>
      </c>
      <c r="E1038">
        <v>84.7</v>
      </c>
      <c r="F1038">
        <v>83.23</v>
      </c>
      <c r="G1038" t="s">
        <v>1</v>
      </c>
    </row>
    <row r="1039" spans="1:7" x14ac:dyDescent="0.4">
      <c r="A1039" s="1">
        <v>45167</v>
      </c>
      <c r="B1039">
        <v>1</v>
      </c>
      <c r="C1039">
        <v>1.0908869569999999</v>
      </c>
      <c r="D1039" t="s">
        <v>8</v>
      </c>
      <c r="E1039">
        <v>84.64</v>
      </c>
      <c r="G1039" t="s">
        <v>1</v>
      </c>
    </row>
    <row r="1040" spans="1:7" x14ac:dyDescent="0.4">
      <c r="A1040" s="1">
        <v>45168</v>
      </c>
      <c r="B1040">
        <v>1</v>
      </c>
      <c r="C1040">
        <v>1.0908869569999999</v>
      </c>
      <c r="D1040" t="s">
        <v>8</v>
      </c>
      <c r="E1040">
        <v>84.57</v>
      </c>
      <c r="G1040" t="s">
        <v>1</v>
      </c>
    </row>
    <row r="1041" spans="1:7" x14ac:dyDescent="0.4">
      <c r="A1041" s="1">
        <v>45169</v>
      </c>
      <c r="B1041">
        <v>1</v>
      </c>
      <c r="C1041">
        <v>1.0908869569999999</v>
      </c>
      <c r="D1041" t="s">
        <v>8</v>
      </c>
      <c r="E1041">
        <v>85.52</v>
      </c>
      <c r="G1041" t="s">
        <v>1</v>
      </c>
    </row>
    <row r="1042" spans="1:7" x14ac:dyDescent="0.4">
      <c r="A1042" s="1">
        <v>45170</v>
      </c>
      <c r="B1042">
        <v>1</v>
      </c>
      <c r="C1042">
        <v>1.0683809520000001</v>
      </c>
      <c r="D1042" t="s">
        <v>8</v>
      </c>
      <c r="E1042">
        <v>84</v>
      </c>
      <c r="G1042" t="s">
        <v>1</v>
      </c>
    </row>
    <row r="1043" spans="1:7" x14ac:dyDescent="0.4">
      <c r="A1043" s="1">
        <v>45173</v>
      </c>
      <c r="B1043">
        <v>1</v>
      </c>
      <c r="C1043">
        <v>1.0683809520000001</v>
      </c>
      <c r="D1043" t="s">
        <v>8</v>
      </c>
      <c r="E1043">
        <v>83.42</v>
      </c>
      <c r="F1043">
        <v>82.23</v>
      </c>
      <c r="G1043" t="s">
        <v>1</v>
      </c>
    </row>
    <row r="1044" spans="1:7" x14ac:dyDescent="0.4">
      <c r="A1044" s="1">
        <v>45174</v>
      </c>
      <c r="B1044">
        <v>1</v>
      </c>
      <c r="C1044">
        <v>1.0683809520000001</v>
      </c>
      <c r="D1044" t="s">
        <v>8</v>
      </c>
      <c r="E1044">
        <v>83.41</v>
      </c>
      <c r="G1044" t="s">
        <v>1</v>
      </c>
    </row>
    <row r="1045" spans="1:7" x14ac:dyDescent="0.4">
      <c r="A1045" s="1">
        <v>45177</v>
      </c>
      <c r="B1045">
        <v>1</v>
      </c>
      <c r="C1045">
        <v>1.0683809520000001</v>
      </c>
      <c r="D1045" t="s">
        <v>8</v>
      </c>
      <c r="E1045">
        <v>82.09</v>
      </c>
      <c r="G1045" t="s">
        <v>1</v>
      </c>
    </row>
    <row r="1046" spans="1:7" x14ac:dyDescent="0.4">
      <c r="A1046" s="1">
        <v>45180</v>
      </c>
      <c r="B1046">
        <v>1</v>
      </c>
      <c r="C1046">
        <v>1.0683809520000001</v>
      </c>
      <c r="D1046" t="s">
        <v>8</v>
      </c>
      <c r="E1046">
        <v>80.98</v>
      </c>
      <c r="F1046">
        <v>82.9</v>
      </c>
      <c r="G1046" t="s">
        <v>1</v>
      </c>
    </row>
    <row r="1047" spans="1:7" x14ac:dyDescent="0.4">
      <c r="A1047" s="1">
        <v>45181</v>
      </c>
      <c r="B1047">
        <v>1</v>
      </c>
      <c r="C1047">
        <v>1.0683809520000001</v>
      </c>
      <c r="D1047" t="s">
        <v>8</v>
      </c>
      <c r="E1047">
        <v>80.599999999999994</v>
      </c>
      <c r="G1047" t="s">
        <v>1</v>
      </c>
    </row>
    <row r="1048" spans="1:7" x14ac:dyDescent="0.4">
      <c r="A1048" s="1">
        <v>45182</v>
      </c>
      <c r="B1048">
        <v>1</v>
      </c>
      <c r="C1048">
        <v>1.0683809520000001</v>
      </c>
      <c r="D1048" t="s">
        <v>8</v>
      </c>
      <c r="E1048">
        <v>80.5</v>
      </c>
      <c r="G1048" t="s">
        <v>1</v>
      </c>
    </row>
    <row r="1049" spans="1:7" x14ac:dyDescent="0.4">
      <c r="A1049" s="1">
        <v>45183</v>
      </c>
      <c r="B1049">
        <v>1</v>
      </c>
      <c r="C1049">
        <v>1.0683809520000001</v>
      </c>
      <c r="D1049" t="s">
        <v>8</v>
      </c>
      <c r="E1049">
        <v>81.69</v>
      </c>
      <c r="G1049" t="s">
        <v>1</v>
      </c>
    </row>
    <row r="1050" spans="1:7" x14ac:dyDescent="0.4">
      <c r="A1050" s="1">
        <v>45184</v>
      </c>
      <c r="B1050">
        <v>1</v>
      </c>
      <c r="C1050">
        <v>1.0683809520000001</v>
      </c>
      <c r="D1050" t="s">
        <v>8</v>
      </c>
      <c r="E1050">
        <v>82.33</v>
      </c>
      <c r="G1050" t="s">
        <v>1</v>
      </c>
    </row>
    <row r="1051" spans="1:7" x14ac:dyDescent="0.4">
      <c r="A1051" s="1">
        <v>45187</v>
      </c>
      <c r="B1051">
        <v>1</v>
      </c>
      <c r="C1051">
        <v>1.0683809520000001</v>
      </c>
      <c r="D1051" t="s">
        <v>8</v>
      </c>
      <c r="E1051">
        <v>80.260000000000005</v>
      </c>
      <c r="F1051">
        <v>82.97</v>
      </c>
      <c r="G1051" t="s">
        <v>1</v>
      </c>
    </row>
    <row r="1052" spans="1:7" x14ac:dyDescent="0.4">
      <c r="A1052" s="1">
        <v>45188</v>
      </c>
      <c r="B1052">
        <v>1</v>
      </c>
      <c r="C1052">
        <v>1.0683809520000001</v>
      </c>
      <c r="D1052" t="s">
        <v>8</v>
      </c>
      <c r="E1052">
        <v>79.5</v>
      </c>
      <c r="G1052" t="s">
        <v>1</v>
      </c>
    </row>
    <row r="1053" spans="1:7" x14ac:dyDescent="0.4">
      <c r="A1053" s="1">
        <v>45189</v>
      </c>
      <c r="B1053">
        <v>1</v>
      </c>
      <c r="C1053">
        <v>1.0683809520000001</v>
      </c>
      <c r="D1053" t="s">
        <v>8</v>
      </c>
      <c r="E1053">
        <v>79.8</v>
      </c>
      <c r="G1053" t="s">
        <v>1</v>
      </c>
    </row>
    <row r="1054" spans="1:7" x14ac:dyDescent="0.4">
      <c r="A1054" s="1">
        <v>45190</v>
      </c>
      <c r="B1054">
        <v>1</v>
      </c>
      <c r="C1054">
        <v>1.0683809520000001</v>
      </c>
      <c r="D1054" t="s">
        <v>8</v>
      </c>
      <c r="E1054">
        <v>81.78</v>
      </c>
      <c r="G1054" t="s">
        <v>1</v>
      </c>
    </row>
    <row r="1055" spans="1:7" x14ac:dyDescent="0.4">
      <c r="A1055" s="1">
        <v>45191</v>
      </c>
      <c r="B1055">
        <v>1</v>
      </c>
      <c r="C1055">
        <v>1.0683809520000001</v>
      </c>
      <c r="D1055" t="s">
        <v>8</v>
      </c>
      <c r="E1055">
        <v>84.03</v>
      </c>
      <c r="G1055" t="s">
        <v>1</v>
      </c>
    </row>
    <row r="1056" spans="1:7" x14ac:dyDescent="0.4">
      <c r="A1056" s="1">
        <v>45194</v>
      </c>
      <c r="B1056">
        <v>1</v>
      </c>
      <c r="C1056">
        <v>1.0683809520000001</v>
      </c>
      <c r="D1056" t="s">
        <v>8</v>
      </c>
      <c r="E1056">
        <v>83.92</v>
      </c>
      <c r="F1056">
        <v>80.62</v>
      </c>
      <c r="G1056" t="s">
        <v>1</v>
      </c>
    </row>
    <row r="1057" spans="1:7" x14ac:dyDescent="0.4">
      <c r="A1057" s="1">
        <v>45195</v>
      </c>
      <c r="B1057">
        <v>1</v>
      </c>
      <c r="C1057">
        <v>1.0683809520000001</v>
      </c>
      <c r="D1057" t="s">
        <v>8</v>
      </c>
      <c r="E1057">
        <v>82.44</v>
      </c>
      <c r="G1057" t="s">
        <v>1</v>
      </c>
    </row>
    <row r="1058" spans="1:7" x14ac:dyDescent="0.4">
      <c r="A1058" s="1">
        <v>45196</v>
      </c>
      <c r="B1058">
        <v>1</v>
      </c>
      <c r="C1058">
        <v>1.0683809520000001</v>
      </c>
      <c r="D1058" t="s">
        <v>8</v>
      </c>
      <c r="E1058">
        <v>81.37</v>
      </c>
      <c r="G1058" t="s">
        <v>1</v>
      </c>
    </row>
    <row r="1059" spans="1:7" x14ac:dyDescent="0.4">
      <c r="A1059" s="1">
        <v>45197</v>
      </c>
      <c r="B1059">
        <v>1</v>
      </c>
      <c r="C1059">
        <v>1.0683809520000001</v>
      </c>
      <c r="D1059" t="s">
        <v>8</v>
      </c>
      <c r="E1059">
        <v>81.900000000000006</v>
      </c>
      <c r="G1059" t="s">
        <v>1</v>
      </c>
    </row>
    <row r="1060" spans="1:7" x14ac:dyDescent="0.4">
      <c r="A1060" s="1">
        <v>45198</v>
      </c>
      <c r="B1060">
        <v>1</v>
      </c>
      <c r="C1060">
        <v>1.0683809520000001</v>
      </c>
      <c r="D1060" t="s">
        <v>8</v>
      </c>
      <c r="E1060">
        <v>81.650000000000006</v>
      </c>
      <c r="G1060" t="s">
        <v>1</v>
      </c>
    </row>
    <row r="1061" spans="1:7" x14ac:dyDescent="0.4">
      <c r="A1061" s="1">
        <v>45201</v>
      </c>
      <c r="B1061">
        <v>1</v>
      </c>
      <c r="C1061">
        <v>1.056254545</v>
      </c>
      <c r="D1061" t="s">
        <v>8</v>
      </c>
      <c r="E1061">
        <v>80.95</v>
      </c>
      <c r="F1061">
        <v>84.37</v>
      </c>
      <c r="G1061" t="s">
        <v>1</v>
      </c>
    </row>
    <row r="1062" spans="1:7" x14ac:dyDescent="0.4">
      <c r="A1062" s="1">
        <v>45202</v>
      </c>
      <c r="B1062">
        <v>1</v>
      </c>
      <c r="C1062">
        <v>1.056254545</v>
      </c>
      <c r="D1062" t="s">
        <v>8</v>
      </c>
      <c r="E1062">
        <v>79.17</v>
      </c>
      <c r="G1062" t="s">
        <v>1</v>
      </c>
    </row>
    <row r="1063" spans="1:7" x14ac:dyDescent="0.4">
      <c r="A1063" s="1">
        <v>45203</v>
      </c>
      <c r="B1063">
        <v>1</v>
      </c>
      <c r="C1063">
        <v>1.056254545</v>
      </c>
      <c r="D1063" t="s">
        <v>8</v>
      </c>
      <c r="E1063">
        <v>78.78</v>
      </c>
      <c r="G1063" t="s">
        <v>1</v>
      </c>
    </row>
    <row r="1064" spans="1:7" x14ac:dyDescent="0.4">
      <c r="A1064" s="1">
        <v>45204</v>
      </c>
      <c r="B1064">
        <v>1</v>
      </c>
      <c r="C1064">
        <v>1.056254545</v>
      </c>
      <c r="D1064" t="s">
        <v>8</v>
      </c>
      <c r="E1064">
        <v>80.5</v>
      </c>
      <c r="G1064" t="s">
        <v>1</v>
      </c>
    </row>
    <row r="1065" spans="1:7" x14ac:dyDescent="0.4">
      <c r="A1065" s="1">
        <v>45205</v>
      </c>
      <c r="B1065">
        <v>1</v>
      </c>
      <c r="C1065">
        <v>1.056254545</v>
      </c>
      <c r="D1065" t="s">
        <v>8</v>
      </c>
      <c r="E1065">
        <v>79.95</v>
      </c>
      <c r="G1065" t="s">
        <v>1</v>
      </c>
    </row>
    <row r="1066" spans="1:7" x14ac:dyDescent="0.4">
      <c r="A1066" s="1">
        <v>45208</v>
      </c>
      <c r="B1066">
        <v>1</v>
      </c>
      <c r="C1066">
        <v>1.056254545</v>
      </c>
      <c r="D1066" t="s">
        <v>8</v>
      </c>
      <c r="E1066">
        <v>80.430000000000007</v>
      </c>
      <c r="F1066">
        <v>82.19</v>
      </c>
      <c r="G1066" t="s">
        <v>1</v>
      </c>
    </row>
    <row r="1067" spans="1:7" x14ac:dyDescent="0.4">
      <c r="A1067" s="1">
        <v>45209</v>
      </c>
      <c r="B1067">
        <v>1</v>
      </c>
      <c r="C1067">
        <v>1.056254545</v>
      </c>
      <c r="D1067" t="s">
        <v>8</v>
      </c>
      <c r="E1067">
        <v>81.819999999999993</v>
      </c>
      <c r="G1067" t="s">
        <v>1</v>
      </c>
    </row>
    <row r="1068" spans="1:7" x14ac:dyDescent="0.4">
      <c r="A1068" s="1">
        <v>45210</v>
      </c>
      <c r="B1068">
        <v>1</v>
      </c>
      <c r="C1068">
        <v>1.056254545</v>
      </c>
      <c r="D1068" t="s">
        <v>8</v>
      </c>
      <c r="E1068">
        <v>82.68</v>
      </c>
      <c r="G1068" t="s">
        <v>1</v>
      </c>
    </row>
    <row r="1069" spans="1:7" x14ac:dyDescent="0.4">
      <c r="A1069" s="1">
        <v>45211</v>
      </c>
      <c r="B1069">
        <v>1</v>
      </c>
      <c r="C1069">
        <v>1.056254545</v>
      </c>
      <c r="D1069" t="s">
        <v>8</v>
      </c>
      <c r="E1069">
        <v>83.35</v>
      </c>
      <c r="G1069" t="s">
        <v>1</v>
      </c>
    </row>
    <row r="1070" spans="1:7" x14ac:dyDescent="0.4">
      <c r="A1070" s="1">
        <v>45212</v>
      </c>
      <c r="B1070">
        <v>1</v>
      </c>
      <c r="C1070">
        <v>1.056254545</v>
      </c>
      <c r="D1070" t="s">
        <v>8</v>
      </c>
      <c r="E1070">
        <v>84.61</v>
      </c>
      <c r="G1070" t="s">
        <v>1</v>
      </c>
    </row>
    <row r="1071" spans="1:7" x14ac:dyDescent="0.4">
      <c r="A1071" s="1">
        <v>45215</v>
      </c>
      <c r="B1071">
        <v>1</v>
      </c>
      <c r="C1071">
        <v>1.056254545</v>
      </c>
      <c r="D1071" t="s">
        <v>8</v>
      </c>
      <c r="E1071">
        <v>83.4</v>
      </c>
      <c r="F1071">
        <v>80</v>
      </c>
      <c r="G1071" t="s">
        <v>1</v>
      </c>
    </row>
    <row r="1072" spans="1:7" x14ac:dyDescent="0.4">
      <c r="A1072" s="1">
        <v>45216</v>
      </c>
      <c r="B1072">
        <v>1</v>
      </c>
      <c r="C1072">
        <v>1.056254545</v>
      </c>
      <c r="D1072" t="s">
        <v>8</v>
      </c>
      <c r="E1072">
        <v>81.69</v>
      </c>
      <c r="G1072" t="s">
        <v>1</v>
      </c>
    </row>
    <row r="1073" spans="1:7" x14ac:dyDescent="0.4">
      <c r="A1073" s="1">
        <v>45217</v>
      </c>
      <c r="B1073">
        <v>1</v>
      </c>
      <c r="C1073">
        <v>1.056254545</v>
      </c>
      <c r="D1073" t="s">
        <v>8</v>
      </c>
      <c r="E1073">
        <v>81.72</v>
      </c>
      <c r="G1073" t="s">
        <v>1</v>
      </c>
    </row>
    <row r="1074" spans="1:7" x14ac:dyDescent="0.4">
      <c r="A1074" s="1">
        <v>45218</v>
      </c>
      <c r="B1074">
        <v>1</v>
      </c>
      <c r="C1074">
        <v>1.056254545</v>
      </c>
      <c r="D1074" t="s">
        <v>8</v>
      </c>
      <c r="E1074">
        <v>79.989999999999995</v>
      </c>
      <c r="G1074" t="s">
        <v>1</v>
      </c>
    </row>
    <row r="1075" spans="1:7" x14ac:dyDescent="0.4">
      <c r="A1075" s="1">
        <v>45219</v>
      </c>
      <c r="B1075">
        <v>1</v>
      </c>
      <c r="C1075">
        <v>1.056254545</v>
      </c>
      <c r="D1075" t="s">
        <v>8</v>
      </c>
      <c r="E1075">
        <v>81.19</v>
      </c>
      <c r="G1075" t="s">
        <v>1</v>
      </c>
    </row>
    <row r="1076" spans="1:7" x14ac:dyDescent="0.4">
      <c r="A1076" s="1">
        <v>45222</v>
      </c>
      <c r="B1076">
        <v>1</v>
      </c>
      <c r="C1076">
        <v>1.056254545</v>
      </c>
      <c r="D1076" t="s">
        <v>8</v>
      </c>
      <c r="E1076">
        <v>79.92</v>
      </c>
      <c r="F1076">
        <v>78.510000000000005</v>
      </c>
      <c r="G1076" t="s">
        <v>1</v>
      </c>
    </row>
    <row r="1077" spans="1:7" x14ac:dyDescent="0.4">
      <c r="A1077" s="1">
        <v>45223</v>
      </c>
      <c r="B1077">
        <v>1</v>
      </c>
      <c r="C1077">
        <v>1.056254545</v>
      </c>
      <c r="D1077" t="s">
        <v>8</v>
      </c>
      <c r="E1077">
        <v>80.400000000000006</v>
      </c>
      <c r="G1077" t="s">
        <v>1</v>
      </c>
    </row>
    <row r="1078" spans="1:7" x14ac:dyDescent="0.4">
      <c r="A1078" s="1">
        <v>45224</v>
      </c>
      <c r="B1078">
        <v>1</v>
      </c>
      <c r="C1078">
        <v>1.056254545</v>
      </c>
      <c r="D1078" t="s">
        <v>8</v>
      </c>
      <c r="E1078">
        <v>79.849999999999994</v>
      </c>
      <c r="G1078" t="s">
        <v>1</v>
      </c>
    </row>
    <row r="1079" spans="1:7" x14ac:dyDescent="0.4">
      <c r="A1079" s="1">
        <v>45225</v>
      </c>
      <c r="B1079">
        <v>1</v>
      </c>
      <c r="C1079">
        <v>1.056254545</v>
      </c>
      <c r="D1079" t="s">
        <v>8</v>
      </c>
      <c r="E1079">
        <v>79.48</v>
      </c>
      <c r="G1079" t="s">
        <v>1</v>
      </c>
    </row>
    <row r="1080" spans="1:7" x14ac:dyDescent="0.4">
      <c r="A1080" s="1">
        <v>45226</v>
      </c>
      <c r="B1080">
        <v>1</v>
      </c>
      <c r="C1080">
        <v>1.056254545</v>
      </c>
      <c r="D1080" t="s">
        <v>8</v>
      </c>
      <c r="E1080">
        <v>79.41</v>
      </c>
      <c r="G1080" t="s">
        <v>1</v>
      </c>
    </row>
    <row r="1081" spans="1:7" x14ac:dyDescent="0.4">
      <c r="A1081" s="1">
        <v>45229</v>
      </c>
      <c r="B1081">
        <v>1</v>
      </c>
      <c r="C1081">
        <v>1.056254545</v>
      </c>
      <c r="D1081" t="s">
        <v>8</v>
      </c>
      <c r="E1081">
        <v>79.78</v>
      </c>
      <c r="F1081">
        <v>76.569999999999993</v>
      </c>
      <c r="G1081" t="s">
        <v>1</v>
      </c>
    </row>
    <row r="1082" spans="1:7" x14ac:dyDescent="0.4">
      <c r="A1082" s="1">
        <v>45230</v>
      </c>
      <c r="B1082">
        <v>1</v>
      </c>
      <c r="C1082">
        <v>1.056254545</v>
      </c>
      <c r="D1082" t="s">
        <v>8</v>
      </c>
      <c r="E1082">
        <v>77.650000000000006</v>
      </c>
      <c r="G1082" t="s">
        <v>1</v>
      </c>
    </row>
    <row r="1083" spans="1:7" x14ac:dyDescent="0.4">
      <c r="A1083" s="1">
        <v>45232</v>
      </c>
      <c r="B1083">
        <v>1</v>
      </c>
      <c r="C1083">
        <v>1.0808227269999999</v>
      </c>
      <c r="D1083" t="s">
        <v>8</v>
      </c>
      <c r="E1083">
        <v>77.88</v>
      </c>
      <c r="G1083" t="s">
        <v>1</v>
      </c>
    </row>
    <row r="1084" spans="1:7" x14ac:dyDescent="0.4">
      <c r="A1084" s="1">
        <v>45233</v>
      </c>
      <c r="B1084">
        <v>1</v>
      </c>
      <c r="C1084">
        <v>1.0808227269999999</v>
      </c>
      <c r="D1084" t="s">
        <v>8</v>
      </c>
      <c r="E1084">
        <v>78.349999999999994</v>
      </c>
      <c r="G1084" t="s">
        <v>1</v>
      </c>
    </row>
    <row r="1085" spans="1:7" x14ac:dyDescent="0.4">
      <c r="A1085" s="1">
        <v>45236</v>
      </c>
      <c r="B1085">
        <v>1</v>
      </c>
      <c r="C1085">
        <v>1.0808227269999999</v>
      </c>
      <c r="D1085" t="s">
        <v>8</v>
      </c>
      <c r="E1085">
        <v>76.02</v>
      </c>
      <c r="F1085">
        <v>77.88</v>
      </c>
      <c r="G1085" t="s">
        <v>1</v>
      </c>
    </row>
    <row r="1086" spans="1:7" x14ac:dyDescent="0.4">
      <c r="A1086" s="1">
        <v>45237</v>
      </c>
      <c r="B1086">
        <v>1</v>
      </c>
      <c r="C1086">
        <v>1.0808227269999999</v>
      </c>
      <c r="D1086" t="s">
        <v>8</v>
      </c>
      <c r="E1086">
        <v>75.58</v>
      </c>
      <c r="G1086" t="s">
        <v>1</v>
      </c>
    </row>
    <row r="1087" spans="1:7" x14ac:dyDescent="0.4">
      <c r="A1087" s="1">
        <v>45238</v>
      </c>
      <c r="B1087">
        <v>1</v>
      </c>
      <c r="C1087">
        <v>1.0808227269999999</v>
      </c>
      <c r="D1087" t="s">
        <v>8</v>
      </c>
      <c r="E1087">
        <v>74.56</v>
      </c>
      <c r="G1087" t="s">
        <v>1</v>
      </c>
    </row>
    <row r="1088" spans="1:7" x14ac:dyDescent="0.4">
      <c r="A1088" s="1">
        <v>45239</v>
      </c>
      <c r="B1088">
        <v>1</v>
      </c>
      <c r="C1088">
        <v>1.0808227269999999</v>
      </c>
      <c r="D1088" t="s">
        <v>8</v>
      </c>
      <c r="E1088">
        <v>75.75</v>
      </c>
      <c r="G1088" t="s">
        <v>1</v>
      </c>
    </row>
    <row r="1089" spans="1:7" x14ac:dyDescent="0.4">
      <c r="A1089" s="1">
        <v>45240</v>
      </c>
      <c r="B1089">
        <v>1</v>
      </c>
      <c r="C1089">
        <v>1.0808227269999999</v>
      </c>
      <c r="D1089" t="s">
        <v>8</v>
      </c>
      <c r="E1089">
        <v>76.459999999999994</v>
      </c>
      <c r="G1089" t="s">
        <v>1</v>
      </c>
    </row>
    <row r="1090" spans="1:7" x14ac:dyDescent="0.4">
      <c r="A1090" s="1">
        <v>45243</v>
      </c>
      <c r="B1090">
        <v>1</v>
      </c>
      <c r="C1090">
        <v>1.0808227269999999</v>
      </c>
      <c r="D1090" t="s">
        <v>8</v>
      </c>
      <c r="E1090">
        <v>77.010000000000005</v>
      </c>
      <c r="F1090">
        <v>76.069999999999993</v>
      </c>
      <c r="G1090" t="s">
        <v>1</v>
      </c>
    </row>
    <row r="1091" spans="1:7" x14ac:dyDescent="0.4">
      <c r="A1091" s="1">
        <v>45244</v>
      </c>
      <c r="B1091">
        <v>1</v>
      </c>
      <c r="C1091">
        <v>1.0808227269999999</v>
      </c>
      <c r="D1091" t="s">
        <v>8</v>
      </c>
      <c r="E1091">
        <v>76.62</v>
      </c>
      <c r="G1091" t="s">
        <v>1</v>
      </c>
    </row>
    <row r="1092" spans="1:7" x14ac:dyDescent="0.4">
      <c r="A1092" s="1">
        <v>45245</v>
      </c>
      <c r="B1092">
        <v>1</v>
      </c>
      <c r="C1092">
        <v>1.0808227269999999</v>
      </c>
      <c r="D1092" t="s">
        <v>8</v>
      </c>
      <c r="E1092">
        <v>79.45</v>
      </c>
      <c r="G1092" t="s">
        <v>1</v>
      </c>
    </row>
    <row r="1093" spans="1:7" x14ac:dyDescent="0.4">
      <c r="A1093" s="1">
        <v>45246</v>
      </c>
      <c r="B1093">
        <v>1</v>
      </c>
      <c r="C1093">
        <v>1.0808227269999999</v>
      </c>
      <c r="D1093" t="s">
        <v>8</v>
      </c>
      <c r="E1093">
        <v>79</v>
      </c>
      <c r="G1093" t="s">
        <v>1</v>
      </c>
    </row>
    <row r="1094" spans="1:7" x14ac:dyDescent="0.4">
      <c r="A1094" s="1">
        <v>45247</v>
      </c>
      <c r="B1094">
        <v>1</v>
      </c>
      <c r="C1094">
        <v>1.0808227269999999</v>
      </c>
      <c r="D1094" t="s">
        <v>8</v>
      </c>
      <c r="E1094">
        <v>76.55</v>
      </c>
      <c r="G1094" t="s">
        <v>1</v>
      </c>
    </row>
    <row r="1095" spans="1:7" x14ac:dyDescent="0.4">
      <c r="A1095" s="1">
        <v>45250</v>
      </c>
      <c r="B1095">
        <v>1</v>
      </c>
      <c r="C1095">
        <v>1.0808227269999999</v>
      </c>
      <c r="D1095" t="s">
        <v>8</v>
      </c>
      <c r="E1095">
        <v>76.349999999999994</v>
      </c>
      <c r="F1095">
        <v>72.180000000000007</v>
      </c>
      <c r="G1095" t="s">
        <v>1</v>
      </c>
    </row>
    <row r="1096" spans="1:7" x14ac:dyDescent="0.4">
      <c r="A1096" s="1">
        <v>45251</v>
      </c>
      <c r="B1096">
        <v>1</v>
      </c>
      <c r="C1096">
        <v>1.0808227269999999</v>
      </c>
      <c r="D1096" t="s">
        <v>8</v>
      </c>
      <c r="E1096">
        <v>75.69</v>
      </c>
      <c r="G1096" t="s">
        <v>1</v>
      </c>
    </row>
    <row r="1097" spans="1:7" x14ac:dyDescent="0.4">
      <c r="A1097" s="1">
        <v>45252</v>
      </c>
      <c r="B1097">
        <v>1</v>
      </c>
      <c r="C1097">
        <v>1.0808227269999999</v>
      </c>
      <c r="D1097" t="s">
        <v>8</v>
      </c>
      <c r="E1097">
        <v>74.84</v>
      </c>
      <c r="G1097" t="s">
        <v>1</v>
      </c>
    </row>
    <row r="1098" spans="1:7" x14ac:dyDescent="0.4">
      <c r="A1098" s="1">
        <v>45253</v>
      </c>
      <c r="B1098">
        <v>1</v>
      </c>
      <c r="C1098">
        <v>1.0808227269999999</v>
      </c>
      <c r="D1098" t="s">
        <v>8</v>
      </c>
      <c r="E1098">
        <v>74.5</v>
      </c>
      <c r="G1098" t="s">
        <v>1</v>
      </c>
    </row>
    <row r="1099" spans="1:7" x14ac:dyDescent="0.4">
      <c r="A1099" s="1">
        <v>45254</v>
      </c>
      <c r="B1099">
        <v>1</v>
      </c>
      <c r="C1099">
        <v>1.0808227269999999</v>
      </c>
      <c r="D1099" t="s">
        <v>8</v>
      </c>
      <c r="E1099">
        <v>75.900000000000006</v>
      </c>
      <c r="G1099" t="s">
        <v>1</v>
      </c>
    </row>
    <row r="1100" spans="1:7" x14ac:dyDescent="0.4">
      <c r="A1100" s="1">
        <v>45257</v>
      </c>
      <c r="B1100">
        <v>1</v>
      </c>
      <c r="C1100">
        <v>1.0808227269999999</v>
      </c>
      <c r="D1100" t="s">
        <v>8</v>
      </c>
      <c r="E1100">
        <v>74.569999999999993</v>
      </c>
      <c r="F1100">
        <v>69.22</v>
      </c>
      <c r="G1100" t="s">
        <v>1</v>
      </c>
    </row>
    <row r="1101" spans="1:7" x14ac:dyDescent="0.4">
      <c r="A1101" s="1">
        <v>45258</v>
      </c>
      <c r="B1101">
        <v>1</v>
      </c>
      <c r="C1101">
        <v>1.0808227269999999</v>
      </c>
      <c r="D1101" t="s">
        <v>8</v>
      </c>
      <c r="E1101">
        <v>71.709999999999994</v>
      </c>
      <c r="G1101" t="s">
        <v>1</v>
      </c>
    </row>
    <row r="1102" spans="1:7" x14ac:dyDescent="0.4">
      <c r="A1102" s="1">
        <v>45260</v>
      </c>
      <c r="B1102">
        <v>1</v>
      </c>
      <c r="C1102">
        <v>1.0808227269999999</v>
      </c>
      <c r="D1102" t="s">
        <v>8</v>
      </c>
      <c r="E1102">
        <v>70.790000000000006</v>
      </c>
      <c r="G1102" t="s">
        <v>1</v>
      </c>
    </row>
    <row r="1103" spans="1:7" x14ac:dyDescent="0.4">
      <c r="A1103" s="1">
        <v>45261</v>
      </c>
      <c r="B1103">
        <v>1</v>
      </c>
      <c r="C1103">
        <v>1.0903052630000001</v>
      </c>
      <c r="D1103" t="s">
        <v>8</v>
      </c>
      <c r="E1103">
        <v>71.45</v>
      </c>
      <c r="G1103" t="s">
        <v>1</v>
      </c>
    </row>
    <row r="1104" spans="1:7" x14ac:dyDescent="0.4">
      <c r="A1104" s="1">
        <v>45264</v>
      </c>
      <c r="B1104">
        <v>1</v>
      </c>
      <c r="C1104">
        <v>1.0903052630000001</v>
      </c>
      <c r="D1104" t="s">
        <v>8</v>
      </c>
      <c r="E1104">
        <v>71.34</v>
      </c>
      <c r="F1104">
        <v>67.510000000000005</v>
      </c>
      <c r="G1104" t="s">
        <v>1</v>
      </c>
    </row>
    <row r="1105" spans="1:7" x14ac:dyDescent="0.4">
      <c r="A1105" s="1">
        <v>45265</v>
      </c>
      <c r="B1105">
        <v>1</v>
      </c>
      <c r="C1105">
        <v>1.0903052630000001</v>
      </c>
      <c r="D1105" t="s">
        <v>8</v>
      </c>
      <c r="E1105">
        <v>69.94</v>
      </c>
      <c r="G1105" t="s">
        <v>1</v>
      </c>
    </row>
    <row r="1106" spans="1:7" x14ac:dyDescent="0.4">
      <c r="A1106" s="1">
        <v>45266</v>
      </c>
      <c r="B1106">
        <v>1</v>
      </c>
      <c r="C1106">
        <v>1.0903052630000001</v>
      </c>
      <c r="D1106" t="s">
        <v>8</v>
      </c>
      <c r="E1106">
        <v>68.709999999999994</v>
      </c>
      <c r="G1106" t="s">
        <v>1</v>
      </c>
    </row>
    <row r="1107" spans="1:7" x14ac:dyDescent="0.4">
      <c r="A1107" s="1">
        <v>45267</v>
      </c>
      <c r="B1107">
        <v>1</v>
      </c>
      <c r="C1107">
        <v>1.0903052630000001</v>
      </c>
      <c r="D1107" t="s">
        <v>8</v>
      </c>
      <c r="E1107">
        <v>68.760000000000005</v>
      </c>
      <c r="G1107" t="s">
        <v>1</v>
      </c>
    </row>
    <row r="1108" spans="1:7" x14ac:dyDescent="0.4">
      <c r="A1108" s="1">
        <v>45268</v>
      </c>
      <c r="B1108">
        <v>1</v>
      </c>
      <c r="C1108">
        <v>1.0903052630000001</v>
      </c>
      <c r="D1108" t="s">
        <v>8</v>
      </c>
      <c r="E1108">
        <v>69.84</v>
      </c>
      <c r="G1108" t="s">
        <v>1</v>
      </c>
    </row>
    <row r="1109" spans="1:7" x14ac:dyDescent="0.4">
      <c r="A1109" s="1">
        <v>45271</v>
      </c>
      <c r="B1109">
        <v>1</v>
      </c>
      <c r="C1109">
        <v>1.0903052630000001</v>
      </c>
      <c r="D1109" t="s">
        <v>8</v>
      </c>
      <c r="E1109">
        <v>67.819999999999993</v>
      </c>
      <c r="F1109">
        <v>69.08</v>
      </c>
      <c r="G1109" t="s">
        <v>1</v>
      </c>
    </row>
    <row r="1110" spans="1:7" x14ac:dyDescent="0.4">
      <c r="A1110" s="1">
        <v>45272</v>
      </c>
      <c r="B1110">
        <v>1</v>
      </c>
      <c r="C1110">
        <v>1.0903052630000001</v>
      </c>
      <c r="D1110" t="s">
        <v>8</v>
      </c>
      <c r="E1110">
        <v>66.72</v>
      </c>
      <c r="G1110" t="s">
        <v>1</v>
      </c>
    </row>
    <row r="1111" spans="1:7" x14ac:dyDescent="0.4">
      <c r="A1111" s="1">
        <v>45273</v>
      </c>
      <c r="B1111">
        <v>1</v>
      </c>
      <c r="C1111">
        <v>1.0903052630000001</v>
      </c>
      <c r="D1111" t="s">
        <v>8</v>
      </c>
      <c r="E1111">
        <v>69.7</v>
      </c>
      <c r="G1111" t="s">
        <v>1</v>
      </c>
    </row>
    <row r="1112" spans="1:7" x14ac:dyDescent="0.4">
      <c r="A1112" s="1">
        <v>45274</v>
      </c>
      <c r="B1112">
        <v>1</v>
      </c>
      <c r="C1112">
        <v>1.0903052630000001</v>
      </c>
      <c r="D1112" t="s">
        <v>8</v>
      </c>
      <c r="E1112">
        <v>68.45</v>
      </c>
      <c r="G1112" t="s">
        <v>1</v>
      </c>
    </row>
    <row r="1113" spans="1:7" x14ac:dyDescent="0.4">
      <c r="A1113" s="1">
        <v>45275</v>
      </c>
      <c r="B1113">
        <v>1</v>
      </c>
      <c r="C1113">
        <v>1.0903052630000001</v>
      </c>
      <c r="D1113" t="s">
        <v>8</v>
      </c>
      <c r="E1113">
        <v>66.599999999999994</v>
      </c>
      <c r="G1113" t="s">
        <v>1</v>
      </c>
    </row>
    <row r="1114" spans="1:7" x14ac:dyDescent="0.4">
      <c r="A1114" s="1">
        <v>45278</v>
      </c>
      <c r="B1114">
        <v>1</v>
      </c>
      <c r="C1114">
        <v>1.0903052630000001</v>
      </c>
      <c r="D1114" t="s">
        <v>8</v>
      </c>
      <c r="E1114">
        <v>66.489999999999995</v>
      </c>
      <c r="G1114" t="s">
        <v>1</v>
      </c>
    </row>
    <row r="1115" spans="1:7" x14ac:dyDescent="0.4">
      <c r="A1115" s="1">
        <v>45292</v>
      </c>
      <c r="B1115">
        <v>1</v>
      </c>
      <c r="C1115">
        <v>1.0905136360000001</v>
      </c>
      <c r="D1115" t="s">
        <v>8</v>
      </c>
      <c r="F1115">
        <v>76.37</v>
      </c>
      <c r="G1115" t="s">
        <v>1</v>
      </c>
    </row>
    <row r="1116" spans="1:7" x14ac:dyDescent="0.4">
      <c r="A1116" s="1">
        <v>45299</v>
      </c>
      <c r="B1116">
        <v>1</v>
      </c>
      <c r="C1116">
        <v>1.0905136360000001</v>
      </c>
      <c r="D1116" t="s">
        <v>8</v>
      </c>
      <c r="F1116">
        <v>69.62</v>
      </c>
      <c r="G1116" t="s">
        <v>1</v>
      </c>
    </row>
    <row r="1117" spans="1:7" x14ac:dyDescent="0.4">
      <c r="A1117" s="1">
        <v>45306</v>
      </c>
      <c r="B1117">
        <v>1</v>
      </c>
      <c r="C1117">
        <v>1.0905136360000001</v>
      </c>
      <c r="D1117" t="s">
        <v>8</v>
      </c>
      <c r="E1117">
        <v>63.5</v>
      </c>
      <c r="F1117">
        <v>64.53</v>
      </c>
      <c r="G1117" t="s">
        <v>1</v>
      </c>
    </row>
    <row r="1118" spans="1:7" x14ac:dyDescent="0.4">
      <c r="A1118" s="1">
        <v>45307</v>
      </c>
      <c r="B1118">
        <v>1</v>
      </c>
      <c r="C1118">
        <v>1.0905136360000001</v>
      </c>
      <c r="D1118" t="s">
        <v>8</v>
      </c>
      <c r="E1118">
        <v>63.2</v>
      </c>
      <c r="G1118" t="s">
        <v>1</v>
      </c>
    </row>
    <row r="1119" spans="1:7" x14ac:dyDescent="0.4">
      <c r="A1119" s="1">
        <v>45308</v>
      </c>
      <c r="B1119">
        <v>1</v>
      </c>
      <c r="C1119">
        <v>1.0905136360000001</v>
      </c>
      <c r="D1119" t="s">
        <v>8</v>
      </c>
      <c r="E1119">
        <v>62.96</v>
      </c>
      <c r="G1119" t="s">
        <v>1</v>
      </c>
    </row>
    <row r="1120" spans="1:7" x14ac:dyDescent="0.4">
      <c r="A1120" s="1">
        <v>45309</v>
      </c>
      <c r="B1120">
        <v>1</v>
      </c>
      <c r="C1120">
        <v>1.0905136360000001</v>
      </c>
      <c r="D1120" t="s">
        <v>8</v>
      </c>
      <c r="E1120">
        <v>61.28</v>
      </c>
      <c r="G1120" t="s">
        <v>1</v>
      </c>
    </row>
    <row r="1121" spans="1:7" x14ac:dyDescent="0.4">
      <c r="A1121" s="1">
        <v>45310</v>
      </c>
      <c r="B1121">
        <v>1</v>
      </c>
      <c r="C1121">
        <v>1.0905136360000001</v>
      </c>
      <c r="D1121" t="s">
        <v>8</v>
      </c>
      <c r="E1121">
        <v>61.93</v>
      </c>
      <c r="G1121" t="s">
        <v>1</v>
      </c>
    </row>
    <row r="1122" spans="1:7" x14ac:dyDescent="0.4">
      <c r="A1122" s="1">
        <v>45313</v>
      </c>
      <c r="B1122">
        <v>1</v>
      </c>
      <c r="C1122">
        <v>1.0905136360000001</v>
      </c>
      <c r="D1122" t="s">
        <v>8</v>
      </c>
      <c r="E1122">
        <v>59.74</v>
      </c>
      <c r="F1122">
        <v>63.54</v>
      </c>
      <c r="G1122" t="s">
        <v>1</v>
      </c>
    </row>
    <row r="1123" spans="1:7" x14ac:dyDescent="0.4">
      <c r="A1123" s="1">
        <v>45314</v>
      </c>
      <c r="B1123">
        <v>1</v>
      </c>
      <c r="C1123">
        <v>1.0905136360000001</v>
      </c>
      <c r="D1123" t="s">
        <v>8</v>
      </c>
      <c r="E1123">
        <v>60.55</v>
      </c>
      <c r="G1123" t="s">
        <v>1</v>
      </c>
    </row>
    <row r="1124" spans="1:7" x14ac:dyDescent="0.4">
      <c r="A1124" s="1">
        <v>45315</v>
      </c>
      <c r="B1124">
        <v>1</v>
      </c>
      <c r="C1124">
        <v>1.0905136360000001</v>
      </c>
      <c r="D1124" t="s">
        <v>8</v>
      </c>
      <c r="E1124">
        <v>62</v>
      </c>
      <c r="G1124" t="s">
        <v>1</v>
      </c>
    </row>
    <row r="1125" spans="1:7" x14ac:dyDescent="0.4">
      <c r="A1125" s="1">
        <v>45316</v>
      </c>
      <c r="B1125">
        <v>1</v>
      </c>
      <c r="C1125">
        <v>1.0905136360000001</v>
      </c>
      <c r="D1125" t="s">
        <v>8</v>
      </c>
      <c r="E1125">
        <v>61.95</v>
      </c>
      <c r="G1125" t="s">
        <v>1</v>
      </c>
    </row>
    <row r="1126" spans="1:7" x14ac:dyDescent="0.4">
      <c r="A1126" s="1">
        <v>45317</v>
      </c>
      <c r="B1126">
        <v>1</v>
      </c>
      <c r="C1126">
        <v>1.0905136360000001</v>
      </c>
      <c r="D1126" t="s">
        <v>8</v>
      </c>
      <c r="E1126">
        <v>61.95</v>
      </c>
      <c r="G1126" t="s">
        <v>1</v>
      </c>
    </row>
    <row r="1127" spans="1:7" x14ac:dyDescent="0.4">
      <c r="A1127" s="1">
        <v>45320</v>
      </c>
      <c r="B1127">
        <v>1</v>
      </c>
      <c r="C1127">
        <v>1.0905136360000001</v>
      </c>
      <c r="D1127" t="s">
        <v>8</v>
      </c>
      <c r="E1127">
        <v>60.81</v>
      </c>
      <c r="F1127">
        <v>63.01</v>
      </c>
      <c r="G1127" t="s">
        <v>1</v>
      </c>
    </row>
    <row r="1128" spans="1:7" x14ac:dyDescent="0.4">
      <c r="A1128" s="1">
        <v>45321</v>
      </c>
      <c r="B1128">
        <v>1</v>
      </c>
      <c r="C1128">
        <v>1.0905136360000001</v>
      </c>
      <c r="D1128" t="s">
        <v>8</v>
      </c>
      <c r="E1128">
        <v>59.82</v>
      </c>
      <c r="G1128" t="s">
        <v>1</v>
      </c>
    </row>
    <row r="1129" spans="1:7" x14ac:dyDescent="0.4">
      <c r="A1129" s="1">
        <v>45322</v>
      </c>
      <c r="B1129">
        <v>1</v>
      </c>
      <c r="C1129">
        <v>1.0905136360000001</v>
      </c>
      <c r="D1129" t="s">
        <v>8</v>
      </c>
      <c r="E1129">
        <v>62.27</v>
      </c>
      <c r="G1129" t="s">
        <v>1</v>
      </c>
    </row>
    <row r="1130" spans="1:7" x14ac:dyDescent="0.4">
      <c r="A1130" s="1">
        <v>45323</v>
      </c>
      <c r="B1130">
        <v>1</v>
      </c>
      <c r="C1130">
        <v>1.079471429</v>
      </c>
      <c r="D1130" t="s">
        <v>8</v>
      </c>
      <c r="E1130">
        <v>61.09</v>
      </c>
      <c r="G1130" t="s">
        <v>1</v>
      </c>
    </row>
    <row r="1131" spans="1:7" x14ac:dyDescent="0.4">
      <c r="A1131" s="1">
        <v>45324</v>
      </c>
      <c r="B1131">
        <v>1</v>
      </c>
      <c r="C1131">
        <v>1.079471429</v>
      </c>
      <c r="D1131" t="s">
        <v>8</v>
      </c>
      <c r="E1131">
        <v>60.92</v>
      </c>
      <c r="G1131" t="s">
        <v>1</v>
      </c>
    </row>
    <row r="1132" spans="1:7" x14ac:dyDescent="0.4">
      <c r="A1132" s="1">
        <v>45327</v>
      </c>
      <c r="B1132">
        <v>1</v>
      </c>
      <c r="C1132">
        <v>1.079471429</v>
      </c>
      <c r="D1132" t="s">
        <v>8</v>
      </c>
      <c r="E1132">
        <v>60.68</v>
      </c>
      <c r="F1132">
        <v>61.65</v>
      </c>
      <c r="G1132" t="s">
        <v>1</v>
      </c>
    </row>
    <row r="1133" spans="1:7" x14ac:dyDescent="0.4">
      <c r="A1133" s="1">
        <v>45328</v>
      </c>
      <c r="B1133">
        <v>1</v>
      </c>
      <c r="C1133">
        <v>1.079471429</v>
      </c>
      <c r="D1133" t="s">
        <v>8</v>
      </c>
      <c r="E1133">
        <v>60.25</v>
      </c>
      <c r="G1133" t="s">
        <v>1</v>
      </c>
    </row>
    <row r="1134" spans="1:7" x14ac:dyDescent="0.4">
      <c r="A1134" s="1">
        <v>45330</v>
      </c>
      <c r="B1134">
        <v>1</v>
      </c>
      <c r="C1134">
        <v>1.079471429</v>
      </c>
      <c r="D1134" t="s">
        <v>8</v>
      </c>
      <c r="E1134">
        <v>59.85</v>
      </c>
      <c r="G1134" t="s">
        <v>1</v>
      </c>
    </row>
    <row r="1135" spans="1:7" x14ac:dyDescent="0.4">
      <c r="A1135" s="1">
        <v>45331</v>
      </c>
      <c r="B1135">
        <v>1</v>
      </c>
      <c r="C1135">
        <v>1.079471429</v>
      </c>
      <c r="D1135" t="s">
        <v>8</v>
      </c>
      <c r="E1135">
        <v>57.24</v>
      </c>
      <c r="G1135" t="s">
        <v>1</v>
      </c>
    </row>
    <row r="1136" spans="1:7" x14ac:dyDescent="0.4">
      <c r="A1136" s="1">
        <v>45334</v>
      </c>
      <c r="B1136">
        <v>1</v>
      </c>
      <c r="C1136">
        <v>1.079471429</v>
      </c>
      <c r="D1136" t="s">
        <v>8</v>
      </c>
      <c r="E1136">
        <v>55.84</v>
      </c>
      <c r="F1136">
        <v>57.01</v>
      </c>
      <c r="G1136" t="s">
        <v>1</v>
      </c>
    </row>
    <row r="1137" spans="1:7" x14ac:dyDescent="0.4">
      <c r="A1137" s="1">
        <v>45335</v>
      </c>
      <c r="B1137">
        <v>1</v>
      </c>
      <c r="C1137">
        <v>1.079471429</v>
      </c>
      <c r="D1137" t="s">
        <v>8</v>
      </c>
      <c r="E1137">
        <v>54.24</v>
      </c>
      <c r="G1137" t="s">
        <v>1</v>
      </c>
    </row>
    <row r="1138" spans="1:7" x14ac:dyDescent="0.4">
      <c r="A1138" s="1">
        <v>45336</v>
      </c>
      <c r="B1138">
        <v>1</v>
      </c>
      <c r="C1138">
        <v>1.079471429</v>
      </c>
      <c r="D1138" t="s">
        <v>8</v>
      </c>
      <c r="E1138">
        <v>54.07</v>
      </c>
      <c r="G1138" t="s">
        <v>1</v>
      </c>
    </row>
    <row r="1139" spans="1:7" x14ac:dyDescent="0.4">
      <c r="A1139" s="1">
        <v>45337</v>
      </c>
      <c r="B1139">
        <v>1</v>
      </c>
      <c r="C1139">
        <v>1.079471429</v>
      </c>
      <c r="D1139" t="s">
        <v>8</v>
      </c>
      <c r="E1139">
        <v>54.87</v>
      </c>
      <c r="G1139" t="s">
        <v>1</v>
      </c>
    </row>
    <row r="1140" spans="1:7" x14ac:dyDescent="0.4">
      <c r="A1140" s="1">
        <v>45338</v>
      </c>
      <c r="B1140">
        <v>1</v>
      </c>
      <c r="C1140">
        <v>1.079471429</v>
      </c>
      <c r="D1140" t="s">
        <v>8</v>
      </c>
      <c r="E1140">
        <v>55.12</v>
      </c>
      <c r="G1140" t="s">
        <v>1</v>
      </c>
    </row>
    <row r="1141" spans="1:7" x14ac:dyDescent="0.4">
      <c r="A1141" s="1">
        <v>45341</v>
      </c>
      <c r="B1141">
        <v>1</v>
      </c>
      <c r="C1141">
        <v>1.079471429</v>
      </c>
      <c r="D1141" t="s">
        <v>8</v>
      </c>
      <c r="E1141">
        <v>53</v>
      </c>
      <c r="F1141">
        <v>53.48</v>
      </c>
      <c r="G1141" t="s">
        <v>1</v>
      </c>
    </row>
    <row r="1142" spans="1:7" x14ac:dyDescent="0.4">
      <c r="A1142" s="1">
        <v>45342</v>
      </c>
      <c r="B1142">
        <v>1</v>
      </c>
      <c r="C1142">
        <v>1.079471429</v>
      </c>
      <c r="D1142" t="s">
        <v>8</v>
      </c>
      <c r="E1142">
        <v>51.8</v>
      </c>
      <c r="G1142" t="s">
        <v>1</v>
      </c>
    </row>
    <row r="1143" spans="1:7" x14ac:dyDescent="0.4">
      <c r="A1143" s="1">
        <v>45344</v>
      </c>
      <c r="B1143">
        <v>1</v>
      </c>
      <c r="C1143">
        <v>1.079471429</v>
      </c>
      <c r="D1143" t="s">
        <v>8</v>
      </c>
      <c r="E1143">
        <v>51.55</v>
      </c>
      <c r="G1143" t="s">
        <v>1</v>
      </c>
    </row>
    <row r="1144" spans="1:7" x14ac:dyDescent="0.4">
      <c r="A1144" s="1">
        <v>45345</v>
      </c>
      <c r="B1144">
        <v>1</v>
      </c>
      <c r="C1144">
        <v>1.079471429</v>
      </c>
      <c r="D1144" t="s">
        <v>8</v>
      </c>
      <c r="E1144">
        <v>49.5</v>
      </c>
      <c r="G1144" t="s">
        <v>1</v>
      </c>
    </row>
    <row r="1145" spans="1:7" x14ac:dyDescent="0.4">
      <c r="A1145" s="1">
        <v>45348</v>
      </c>
      <c r="B1145">
        <v>1</v>
      </c>
      <c r="C1145">
        <v>1.079471429</v>
      </c>
      <c r="D1145" t="s">
        <v>8</v>
      </c>
      <c r="E1145">
        <v>50.65</v>
      </c>
      <c r="F1145">
        <v>55.97</v>
      </c>
      <c r="G1145" t="s">
        <v>1</v>
      </c>
    </row>
    <row r="1146" spans="1:7" x14ac:dyDescent="0.4">
      <c r="A1146" s="1">
        <v>45349</v>
      </c>
      <c r="B1146">
        <v>1</v>
      </c>
      <c r="C1146">
        <v>1.079471429</v>
      </c>
      <c r="D1146" t="s">
        <v>8</v>
      </c>
      <c r="E1146">
        <v>51.12</v>
      </c>
      <c r="G1146" t="s">
        <v>1</v>
      </c>
    </row>
    <row r="1147" spans="1:7" x14ac:dyDescent="0.4">
      <c r="A1147" s="1">
        <v>45350</v>
      </c>
      <c r="B1147">
        <v>1</v>
      </c>
      <c r="C1147">
        <v>1.079471429</v>
      </c>
      <c r="D1147" t="s">
        <v>8</v>
      </c>
      <c r="E1147">
        <v>54.94</v>
      </c>
      <c r="G1147" t="s">
        <v>1</v>
      </c>
    </row>
    <row r="1148" spans="1:7" x14ac:dyDescent="0.4">
      <c r="A1148" s="1">
        <v>45351</v>
      </c>
      <c r="B1148">
        <v>1</v>
      </c>
      <c r="C1148">
        <v>1.079471429</v>
      </c>
      <c r="D1148" t="s">
        <v>8</v>
      </c>
      <c r="E1148">
        <v>54.9</v>
      </c>
      <c r="G1148" t="s">
        <v>1</v>
      </c>
    </row>
    <row r="1149" spans="1:7" x14ac:dyDescent="0.4">
      <c r="A1149" s="1">
        <v>45352</v>
      </c>
      <c r="B1149">
        <v>1</v>
      </c>
      <c r="C1149">
        <v>1.0872200000000001</v>
      </c>
      <c r="D1149" t="s">
        <v>8</v>
      </c>
      <c r="E1149">
        <v>53.6</v>
      </c>
      <c r="G1149" t="s">
        <v>1</v>
      </c>
    </row>
    <row r="1150" spans="1:7" x14ac:dyDescent="0.4">
      <c r="A1150" s="1">
        <v>45355</v>
      </c>
      <c r="B1150">
        <v>1</v>
      </c>
      <c r="C1150">
        <v>1.0872200000000001</v>
      </c>
      <c r="D1150" t="s">
        <v>8</v>
      </c>
      <c r="E1150">
        <v>51.76</v>
      </c>
      <c r="F1150">
        <v>58.87</v>
      </c>
      <c r="G1150" t="s">
        <v>1</v>
      </c>
    </row>
    <row r="1151" spans="1:7" x14ac:dyDescent="0.4">
      <c r="A1151" s="1">
        <v>45356</v>
      </c>
      <c r="B1151">
        <v>1</v>
      </c>
      <c r="C1151">
        <v>1.0872200000000001</v>
      </c>
      <c r="D1151" t="s">
        <v>8</v>
      </c>
      <c r="E1151">
        <v>59.14</v>
      </c>
      <c r="G1151" t="s">
        <v>1</v>
      </c>
    </row>
    <row r="1152" spans="1:7" x14ac:dyDescent="0.4">
      <c r="A1152" s="1">
        <v>45358</v>
      </c>
      <c r="B1152">
        <v>1</v>
      </c>
      <c r="C1152">
        <v>1.0872200000000001</v>
      </c>
      <c r="D1152" t="s">
        <v>8</v>
      </c>
      <c r="E1152">
        <v>56.94</v>
      </c>
      <c r="G1152" t="s">
        <v>1</v>
      </c>
    </row>
    <row r="1153" spans="1:7" x14ac:dyDescent="0.4">
      <c r="A1153" s="1">
        <v>45359</v>
      </c>
      <c r="B1153">
        <v>1</v>
      </c>
      <c r="C1153">
        <v>1.0872200000000001</v>
      </c>
      <c r="D1153" t="s">
        <v>8</v>
      </c>
      <c r="E1153">
        <v>57.1</v>
      </c>
      <c r="G1153" t="s">
        <v>1</v>
      </c>
    </row>
    <row r="1154" spans="1:7" x14ac:dyDescent="0.4">
      <c r="A1154" s="1">
        <v>45362</v>
      </c>
      <c r="B1154">
        <v>1</v>
      </c>
      <c r="C1154">
        <v>1.0872200000000001</v>
      </c>
      <c r="D1154" t="s">
        <v>8</v>
      </c>
      <c r="E1154">
        <v>54.43</v>
      </c>
      <c r="F1154">
        <v>57.32</v>
      </c>
      <c r="G1154" t="s">
        <v>1</v>
      </c>
    </row>
    <row r="1155" spans="1:7" x14ac:dyDescent="0.4">
      <c r="A1155" s="1">
        <v>45363</v>
      </c>
      <c r="B1155">
        <v>1</v>
      </c>
      <c r="C1155">
        <v>1.0872200000000001</v>
      </c>
      <c r="D1155" t="s">
        <v>8</v>
      </c>
      <c r="E1155">
        <v>54.21</v>
      </c>
      <c r="G1155" t="s">
        <v>1</v>
      </c>
    </row>
    <row r="1156" spans="1:7" x14ac:dyDescent="0.4">
      <c r="A1156" s="1">
        <v>45364</v>
      </c>
      <c r="B1156">
        <v>1</v>
      </c>
      <c r="C1156">
        <v>1.0872200000000001</v>
      </c>
      <c r="D1156" t="s">
        <v>8</v>
      </c>
      <c r="E1156">
        <v>54.92</v>
      </c>
      <c r="G1156" t="s">
        <v>1</v>
      </c>
    </row>
    <row r="1157" spans="1:7" x14ac:dyDescent="0.4">
      <c r="A1157" s="1">
        <v>45365</v>
      </c>
      <c r="B1157">
        <v>1</v>
      </c>
      <c r="C1157">
        <v>1.0872200000000001</v>
      </c>
      <c r="D1157" t="s">
        <v>8</v>
      </c>
      <c r="E1157">
        <v>54.25</v>
      </c>
      <c r="G1157" t="s">
        <v>1</v>
      </c>
    </row>
    <row r="1158" spans="1:7" x14ac:dyDescent="0.4">
      <c r="A1158" s="1">
        <v>45366</v>
      </c>
      <c r="B1158">
        <v>1</v>
      </c>
      <c r="C1158">
        <v>1.0872200000000001</v>
      </c>
      <c r="D1158" t="s">
        <v>8</v>
      </c>
      <c r="E1158">
        <v>57.75</v>
      </c>
      <c r="G1158" t="s">
        <v>1</v>
      </c>
    </row>
    <row r="1159" spans="1:7" x14ac:dyDescent="0.4">
      <c r="A1159" s="1">
        <v>45369</v>
      </c>
      <c r="B1159">
        <v>1</v>
      </c>
      <c r="C1159">
        <v>1.0872200000000001</v>
      </c>
      <c r="D1159" t="s">
        <v>8</v>
      </c>
      <c r="E1159">
        <v>59.42</v>
      </c>
      <c r="F1159">
        <v>60.69</v>
      </c>
      <c r="G1159" t="s">
        <v>1</v>
      </c>
    </row>
    <row r="1160" spans="1:7" x14ac:dyDescent="0.4">
      <c r="A1160" s="1">
        <v>45370</v>
      </c>
      <c r="B1160">
        <v>1</v>
      </c>
      <c r="C1160">
        <v>1.0872200000000001</v>
      </c>
      <c r="D1160" t="s">
        <v>8</v>
      </c>
      <c r="E1160">
        <v>59</v>
      </c>
      <c r="G1160" t="s">
        <v>1</v>
      </c>
    </row>
    <row r="1161" spans="1:7" x14ac:dyDescent="0.4">
      <c r="A1161" s="1">
        <v>45371</v>
      </c>
      <c r="B1161">
        <v>1</v>
      </c>
      <c r="C1161">
        <v>1.0872200000000001</v>
      </c>
      <c r="D1161" t="s">
        <v>8</v>
      </c>
      <c r="E1161">
        <v>57.9</v>
      </c>
      <c r="G1161" t="s">
        <v>1</v>
      </c>
    </row>
    <row r="1162" spans="1:7" x14ac:dyDescent="0.4">
      <c r="A1162" s="1">
        <v>45372</v>
      </c>
      <c r="B1162">
        <v>1</v>
      </c>
      <c r="C1162">
        <v>1.0872200000000001</v>
      </c>
      <c r="D1162" t="s">
        <v>8</v>
      </c>
      <c r="E1162">
        <v>58</v>
      </c>
      <c r="G1162" t="s">
        <v>1</v>
      </c>
    </row>
    <row r="1163" spans="1:7" x14ac:dyDescent="0.4">
      <c r="A1163" s="1">
        <v>45373</v>
      </c>
      <c r="B1163">
        <v>1</v>
      </c>
      <c r="C1163">
        <v>1.0872200000000001</v>
      </c>
      <c r="D1163" t="s">
        <v>8</v>
      </c>
      <c r="E1163">
        <v>57.93</v>
      </c>
      <c r="G1163" t="s">
        <v>1</v>
      </c>
    </row>
    <row r="1164" spans="1:7" x14ac:dyDescent="0.4">
      <c r="A1164" s="1">
        <v>45376</v>
      </c>
      <c r="B1164">
        <v>1</v>
      </c>
      <c r="C1164">
        <v>1.0872200000000001</v>
      </c>
      <c r="D1164" t="s">
        <v>8</v>
      </c>
      <c r="E1164">
        <v>62.09</v>
      </c>
      <c r="F1164">
        <v>62.88</v>
      </c>
      <c r="G1164" t="s">
        <v>1</v>
      </c>
    </row>
    <row r="1165" spans="1:7" x14ac:dyDescent="0.4">
      <c r="A1165" s="1">
        <v>45377</v>
      </c>
      <c r="B1165">
        <v>1</v>
      </c>
      <c r="C1165">
        <v>1.0872200000000001</v>
      </c>
      <c r="D1165" t="s">
        <v>8</v>
      </c>
      <c r="E1165">
        <v>63.25</v>
      </c>
      <c r="G1165" t="s">
        <v>1</v>
      </c>
    </row>
    <row r="1166" spans="1:7" x14ac:dyDescent="0.4">
      <c r="A1166" s="1">
        <v>45378</v>
      </c>
      <c r="B1166">
        <v>1</v>
      </c>
      <c r="C1166">
        <v>1.0872200000000001</v>
      </c>
      <c r="D1166" t="s">
        <v>8</v>
      </c>
      <c r="E1166">
        <v>60.56</v>
      </c>
      <c r="G1166" t="s">
        <v>1</v>
      </c>
    </row>
    <row r="1167" spans="1:7" x14ac:dyDescent="0.4">
      <c r="A1167" s="1">
        <v>45379</v>
      </c>
      <c r="B1167">
        <v>1</v>
      </c>
      <c r="C1167">
        <v>1.0872200000000001</v>
      </c>
      <c r="D1167" t="s">
        <v>8</v>
      </c>
      <c r="E1167">
        <v>59.86</v>
      </c>
      <c r="G1167" t="s">
        <v>1</v>
      </c>
    </row>
    <row r="1168" spans="1:7" x14ac:dyDescent="0.4">
      <c r="A1168" s="1">
        <v>45383</v>
      </c>
      <c r="B1168">
        <v>1</v>
      </c>
      <c r="C1168">
        <v>1.0727761899999999</v>
      </c>
      <c r="D1168" t="s">
        <v>8</v>
      </c>
      <c r="F1168">
        <v>59.4</v>
      </c>
      <c r="G1168" t="s">
        <v>1</v>
      </c>
    </row>
    <row r="1169" spans="1:7" x14ac:dyDescent="0.4">
      <c r="A1169" s="1">
        <v>45384</v>
      </c>
      <c r="B1169">
        <v>1</v>
      </c>
      <c r="C1169">
        <v>1.0727761899999999</v>
      </c>
      <c r="D1169" t="s">
        <v>8</v>
      </c>
      <c r="E1169">
        <v>57.07</v>
      </c>
      <c r="G1169" t="s">
        <v>1</v>
      </c>
    </row>
    <row r="1170" spans="1:7" x14ac:dyDescent="0.4">
      <c r="A1170" s="1">
        <v>45386</v>
      </c>
      <c r="B1170">
        <v>1</v>
      </c>
      <c r="C1170">
        <v>1.0727761899999999</v>
      </c>
      <c r="D1170" t="s">
        <v>8</v>
      </c>
      <c r="E1170">
        <v>56.37</v>
      </c>
      <c r="G1170" t="s">
        <v>1</v>
      </c>
    </row>
    <row r="1171" spans="1:7" x14ac:dyDescent="0.4">
      <c r="A1171" s="1">
        <v>45387</v>
      </c>
      <c r="B1171">
        <v>1</v>
      </c>
      <c r="C1171">
        <v>1.0727761899999999</v>
      </c>
      <c r="D1171" t="s">
        <v>8</v>
      </c>
      <c r="E1171">
        <v>57.17</v>
      </c>
      <c r="G1171" t="s">
        <v>1</v>
      </c>
    </row>
    <row r="1172" spans="1:7" x14ac:dyDescent="0.4">
      <c r="A1172" s="1">
        <v>45390</v>
      </c>
      <c r="B1172">
        <v>1</v>
      </c>
      <c r="C1172">
        <v>1.0727761899999999</v>
      </c>
      <c r="D1172" t="s">
        <v>8</v>
      </c>
      <c r="E1172">
        <v>58.41</v>
      </c>
      <c r="F1172">
        <v>66.010000000000005</v>
      </c>
      <c r="G1172" t="s">
        <v>1</v>
      </c>
    </row>
    <row r="1173" spans="1:7" x14ac:dyDescent="0.4">
      <c r="A1173" s="1">
        <v>45391</v>
      </c>
      <c r="B1173">
        <v>1</v>
      </c>
      <c r="C1173">
        <v>1.0727761899999999</v>
      </c>
      <c r="D1173" t="s">
        <v>8</v>
      </c>
      <c r="E1173">
        <v>61.3</v>
      </c>
      <c r="G1173" t="s">
        <v>1</v>
      </c>
    </row>
    <row r="1174" spans="1:7" x14ac:dyDescent="0.4">
      <c r="A1174" s="1">
        <v>45392</v>
      </c>
      <c r="B1174">
        <v>1</v>
      </c>
      <c r="C1174">
        <v>1.0727761899999999</v>
      </c>
      <c r="D1174" t="s">
        <v>8</v>
      </c>
      <c r="E1174">
        <v>63</v>
      </c>
      <c r="G1174" t="s">
        <v>1</v>
      </c>
    </row>
    <row r="1175" spans="1:7" x14ac:dyDescent="0.4">
      <c r="A1175" s="1">
        <v>45393</v>
      </c>
      <c r="B1175">
        <v>1</v>
      </c>
      <c r="C1175">
        <v>1.0727761899999999</v>
      </c>
      <c r="D1175" t="s">
        <v>8</v>
      </c>
      <c r="E1175">
        <v>63.42</v>
      </c>
      <c r="G1175" t="s">
        <v>1</v>
      </c>
    </row>
    <row r="1176" spans="1:7" x14ac:dyDescent="0.4">
      <c r="A1176" s="1">
        <v>45394</v>
      </c>
      <c r="B1176">
        <v>1</v>
      </c>
      <c r="C1176">
        <v>1.0727761899999999</v>
      </c>
      <c r="D1176" t="s">
        <v>8</v>
      </c>
      <c r="E1176">
        <v>68.010000000000005</v>
      </c>
      <c r="G1176" t="s">
        <v>1</v>
      </c>
    </row>
    <row r="1177" spans="1:7" x14ac:dyDescent="0.4">
      <c r="A1177" s="1">
        <v>45397</v>
      </c>
      <c r="B1177">
        <v>1</v>
      </c>
      <c r="C1177">
        <v>1.0727761899999999</v>
      </c>
      <c r="D1177" t="s">
        <v>8</v>
      </c>
      <c r="E1177">
        <v>68.17</v>
      </c>
      <c r="F1177">
        <v>70.900000000000006</v>
      </c>
      <c r="G1177" t="s">
        <v>1</v>
      </c>
    </row>
    <row r="1178" spans="1:7" x14ac:dyDescent="0.4">
      <c r="A1178" s="1">
        <v>45398</v>
      </c>
      <c r="B1178">
        <v>1</v>
      </c>
      <c r="C1178">
        <v>1.0727761899999999</v>
      </c>
      <c r="D1178" t="s">
        <v>8</v>
      </c>
      <c r="E1178">
        <v>70.61</v>
      </c>
      <c r="G1178" t="s">
        <v>1</v>
      </c>
    </row>
    <row r="1179" spans="1:7" x14ac:dyDescent="0.4">
      <c r="A1179" s="1">
        <v>45400</v>
      </c>
      <c r="B1179">
        <v>1</v>
      </c>
      <c r="C1179">
        <v>1.0727761899999999</v>
      </c>
      <c r="D1179" t="s">
        <v>8</v>
      </c>
      <c r="E1179">
        <v>67.150000000000006</v>
      </c>
      <c r="G1179" t="s">
        <v>1</v>
      </c>
    </row>
    <row r="1180" spans="1:7" x14ac:dyDescent="0.4">
      <c r="A1180" s="1">
        <v>45401</v>
      </c>
      <c r="B1180">
        <v>1</v>
      </c>
      <c r="C1180">
        <v>1.0727761899999999</v>
      </c>
      <c r="D1180" t="s">
        <v>8</v>
      </c>
      <c r="E1180">
        <v>67.77</v>
      </c>
      <c r="G1180" t="s">
        <v>1</v>
      </c>
    </row>
    <row r="1181" spans="1:7" x14ac:dyDescent="0.4">
      <c r="A1181" s="1">
        <v>45404</v>
      </c>
      <c r="B1181">
        <v>1</v>
      </c>
      <c r="C1181">
        <v>1.0727761899999999</v>
      </c>
      <c r="D1181" t="s">
        <v>8</v>
      </c>
      <c r="E1181">
        <v>65.099999999999994</v>
      </c>
      <c r="F1181">
        <v>66.760000000000005</v>
      </c>
      <c r="G1181" t="s">
        <v>1</v>
      </c>
    </row>
    <row r="1182" spans="1:7" x14ac:dyDescent="0.4">
      <c r="A1182" s="1">
        <v>45405</v>
      </c>
      <c r="B1182">
        <v>1</v>
      </c>
      <c r="C1182">
        <v>1.0727761899999999</v>
      </c>
      <c r="D1182" t="s">
        <v>8</v>
      </c>
      <c r="E1182">
        <v>64.28</v>
      </c>
      <c r="G1182" t="s">
        <v>1</v>
      </c>
    </row>
    <row r="1183" spans="1:7" x14ac:dyDescent="0.4">
      <c r="A1183" s="1">
        <v>45406</v>
      </c>
      <c r="B1183">
        <v>1</v>
      </c>
      <c r="C1183">
        <v>1.0727761899999999</v>
      </c>
      <c r="D1183" t="s">
        <v>8</v>
      </c>
      <c r="E1183">
        <v>65.349999999999994</v>
      </c>
      <c r="G1183" t="s">
        <v>1</v>
      </c>
    </row>
    <row r="1184" spans="1:7" x14ac:dyDescent="0.4">
      <c r="A1184" s="1">
        <v>45407</v>
      </c>
      <c r="B1184">
        <v>1</v>
      </c>
      <c r="C1184">
        <v>1.0727761899999999</v>
      </c>
      <c r="D1184" t="s">
        <v>8</v>
      </c>
      <c r="E1184">
        <v>65.08</v>
      </c>
      <c r="G1184" t="s">
        <v>1</v>
      </c>
    </row>
    <row r="1185" spans="1:7" x14ac:dyDescent="0.4">
      <c r="A1185" s="1">
        <v>45408</v>
      </c>
      <c r="B1185">
        <v>1</v>
      </c>
      <c r="C1185">
        <v>1.0727761899999999</v>
      </c>
      <c r="D1185" t="s">
        <v>8</v>
      </c>
      <c r="E1185">
        <v>65.66</v>
      </c>
      <c r="G1185" t="s">
        <v>1</v>
      </c>
    </row>
    <row r="1186" spans="1:7" x14ac:dyDescent="0.4">
      <c r="A1186" s="1">
        <v>45411</v>
      </c>
      <c r="B1186">
        <v>1</v>
      </c>
      <c r="C1186">
        <v>1.0727761899999999</v>
      </c>
      <c r="D1186" t="s">
        <v>8</v>
      </c>
      <c r="E1186">
        <v>63.52</v>
      </c>
      <c r="F1186">
        <v>69.27</v>
      </c>
      <c r="G1186" t="s">
        <v>1</v>
      </c>
    </row>
    <row r="1187" spans="1:7" x14ac:dyDescent="0.4">
      <c r="A1187" s="1">
        <v>45412</v>
      </c>
      <c r="B1187">
        <v>1</v>
      </c>
      <c r="C1187">
        <v>1.0727761899999999</v>
      </c>
      <c r="D1187" t="s">
        <v>8</v>
      </c>
      <c r="E1187">
        <v>65.260000000000005</v>
      </c>
      <c r="G1187" t="s">
        <v>1</v>
      </c>
    </row>
    <row r="1188" spans="1:7" x14ac:dyDescent="0.4">
      <c r="A1188" s="1">
        <v>45414</v>
      </c>
      <c r="B1188">
        <v>1</v>
      </c>
      <c r="C1188">
        <v>1.0812227270000001</v>
      </c>
      <c r="D1188" t="s">
        <v>8</v>
      </c>
      <c r="E1188">
        <v>68.099999999999994</v>
      </c>
      <c r="G1188" t="s">
        <v>1</v>
      </c>
    </row>
    <row r="1189" spans="1:7" x14ac:dyDescent="0.4">
      <c r="A1189" s="1">
        <v>45415</v>
      </c>
      <c r="B1189">
        <v>1</v>
      </c>
      <c r="C1189">
        <v>1.0812227270000001</v>
      </c>
      <c r="D1189" t="s">
        <v>8</v>
      </c>
      <c r="E1189">
        <v>71.180000000000007</v>
      </c>
      <c r="G1189" t="s">
        <v>1</v>
      </c>
    </row>
    <row r="1190" spans="1:7" x14ac:dyDescent="0.4">
      <c r="A1190" s="1">
        <v>45418</v>
      </c>
      <c r="B1190">
        <v>1</v>
      </c>
      <c r="C1190">
        <v>1.0812227270000001</v>
      </c>
      <c r="D1190" t="s">
        <v>8</v>
      </c>
      <c r="E1190">
        <v>70.3</v>
      </c>
      <c r="F1190">
        <v>72.209999999999994</v>
      </c>
      <c r="G1190" t="s">
        <v>1</v>
      </c>
    </row>
    <row r="1191" spans="1:7" x14ac:dyDescent="0.4">
      <c r="A1191" s="1">
        <v>45419</v>
      </c>
      <c r="B1191">
        <v>1</v>
      </c>
      <c r="C1191">
        <v>1.0812227270000001</v>
      </c>
      <c r="D1191" t="s">
        <v>8</v>
      </c>
      <c r="E1191">
        <v>69.16</v>
      </c>
      <c r="G1191" t="s">
        <v>1</v>
      </c>
    </row>
    <row r="1192" spans="1:7" x14ac:dyDescent="0.4">
      <c r="A1192" s="1">
        <v>45420</v>
      </c>
      <c r="B1192">
        <v>1</v>
      </c>
      <c r="C1192">
        <v>1.0812227270000001</v>
      </c>
      <c r="D1192" t="s">
        <v>8</v>
      </c>
      <c r="E1192">
        <v>68.989999999999995</v>
      </c>
      <c r="G1192" t="s">
        <v>1</v>
      </c>
    </row>
    <row r="1193" spans="1:7" x14ac:dyDescent="0.4">
      <c r="A1193" s="1">
        <v>45425</v>
      </c>
      <c r="B1193">
        <v>1</v>
      </c>
      <c r="C1193">
        <v>1.0812227270000001</v>
      </c>
      <c r="D1193" t="s">
        <v>8</v>
      </c>
      <c r="E1193">
        <v>68.48</v>
      </c>
      <c r="F1193">
        <v>70.06</v>
      </c>
      <c r="G1193" t="s">
        <v>1</v>
      </c>
    </row>
    <row r="1194" spans="1:7" x14ac:dyDescent="0.4">
      <c r="A1194" s="1">
        <v>45426</v>
      </c>
      <c r="B1194">
        <v>1</v>
      </c>
      <c r="C1194">
        <v>1.0812227270000001</v>
      </c>
      <c r="D1194" t="s">
        <v>8</v>
      </c>
      <c r="E1194">
        <v>67.67</v>
      </c>
      <c r="G1194" t="s">
        <v>1</v>
      </c>
    </row>
    <row r="1195" spans="1:7" x14ac:dyDescent="0.4">
      <c r="A1195" s="1">
        <v>45427</v>
      </c>
      <c r="B1195">
        <v>1</v>
      </c>
      <c r="C1195">
        <v>1.0812227270000001</v>
      </c>
      <c r="D1195" t="s">
        <v>8</v>
      </c>
      <c r="E1195">
        <v>69.349999999999994</v>
      </c>
      <c r="G1195" t="s">
        <v>1</v>
      </c>
    </row>
    <row r="1196" spans="1:7" x14ac:dyDescent="0.4">
      <c r="A1196" s="1">
        <v>45428</v>
      </c>
      <c r="B1196">
        <v>1</v>
      </c>
      <c r="C1196">
        <v>1.0812227270000001</v>
      </c>
      <c r="D1196" t="s">
        <v>8</v>
      </c>
      <c r="E1196">
        <v>68.260000000000005</v>
      </c>
      <c r="G1196" t="s">
        <v>1</v>
      </c>
    </row>
    <row r="1197" spans="1:7" x14ac:dyDescent="0.4">
      <c r="A1197" s="1">
        <v>45429</v>
      </c>
      <c r="B1197">
        <v>1</v>
      </c>
      <c r="C1197">
        <v>1.0812227270000001</v>
      </c>
      <c r="D1197" t="s">
        <v>8</v>
      </c>
      <c r="E1197">
        <v>69.459999999999994</v>
      </c>
      <c r="G1197" t="s">
        <v>1</v>
      </c>
    </row>
    <row r="1198" spans="1:7" x14ac:dyDescent="0.4">
      <c r="A1198" s="1">
        <v>45432</v>
      </c>
      <c r="B1198">
        <v>1</v>
      </c>
      <c r="C1198">
        <v>1.0812227270000001</v>
      </c>
      <c r="D1198" t="s">
        <v>8</v>
      </c>
      <c r="E1198">
        <v>71.239999999999995</v>
      </c>
      <c r="F1198">
        <v>75.62</v>
      </c>
      <c r="G1198" t="s">
        <v>1</v>
      </c>
    </row>
    <row r="1199" spans="1:7" x14ac:dyDescent="0.4">
      <c r="A1199" s="1">
        <v>45433</v>
      </c>
      <c r="B1199">
        <v>1</v>
      </c>
      <c r="C1199">
        <v>1.0812227270000001</v>
      </c>
      <c r="D1199" t="s">
        <v>8</v>
      </c>
      <c r="E1199">
        <v>71.8</v>
      </c>
      <c r="G1199" t="s">
        <v>1</v>
      </c>
    </row>
    <row r="1200" spans="1:7" x14ac:dyDescent="0.4">
      <c r="A1200" s="1">
        <v>45434</v>
      </c>
      <c r="B1200">
        <v>1</v>
      </c>
      <c r="C1200">
        <v>1.0812227270000001</v>
      </c>
      <c r="D1200" t="s">
        <v>8</v>
      </c>
      <c r="E1200">
        <v>74.31</v>
      </c>
      <c r="G1200" t="s">
        <v>1</v>
      </c>
    </row>
    <row r="1201" spans="1:7" x14ac:dyDescent="0.4">
      <c r="A1201" s="1">
        <v>45435</v>
      </c>
      <c r="B1201">
        <v>1</v>
      </c>
      <c r="C1201">
        <v>1.0812227270000001</v>
      </c>
      <c r="D1201" t="s">
        <v>8</v>
      </c>
      <c r="E1201">
        <v>74.900000000000006</v>
      </c>
      <c r="G1201" t="s">
        <v>1</v>
      </c>
    </row>
    <row r="1202" spans="1:7" x14ac:dyDescent="0.4">
      <c r="A1202" s="1">
        <v>45436</v>
      </c>
      <c r="B1202">
        <v>1</v>
      </c>
      <c r="C1202">
        <v>1.0812227270000001</v>
      </c>
      <c r="D1202" t="s">
        <v>8</v>
      </c>
      <c r="E1202">
        <v>72.8</v>
      </c>
      <c r="G1202" t="s">
        <v>1</v>
      </c>
    </row>
    <row r="1203" spans="1:7" x14ac:dyDescent="0.4">
      <c r="A1203" s="1">
        <v>45439</v>
      </c>
      <c r="B1203">
        <v>1</v>
      </c>
      <c r="C1203">
        <v>1.0812227270000001</v>
      </c>
      <c r="D1203" t="s">
        <v>8</v>
      </c>
      <c r="F1203">
        <v>74.849999999999994</v>
      </c>
      <c r="G1203" t="s">
        <v>1</v>
      </c>
    </row>
    <row r="1204" spans="1:7" x14ac:dyDescent="0.4">
      <c r="A1204" s="1">
        <v>45440</v>
      </c>
      <c r="B1204">
        <v>1</v>
      </c>
      <c r="C1204">
        <v>1.0812227270000001</v>
      </c>
      <c r="D1204" t="s">
        <v>8</v>
      </c>
      <c r="E1204">
        <v>72.900000000000006</v>
      </c>
      <c r="G1204" t="s">
        <v>1</v>
      </c>
    </row>
    <row r="1205" spans="1:7" x14ac:dyDescent="0.4">
      <c r="A1205" s="1">
        <v>45442</v>
      </c>
      <c r="B1205">
        <v>1</v>
      </c>
      <c r="C1205">
        <v>1.0812227270000001</v>
      </c>
      <c r="D1205" t="s">
        <v>8</v>
      </c>
      <c r="E1205">
        <v>72</v>
      </c>
      <c r="G1205" t="s">
        <v>1</v>
      </c>
    </row>
    <row r="1206" spans="1:7" x14ac:dyDescent="0.4">
      <c r="A1206" s="1">
        <v>45443</v>
      </c>
      <c r="B1206">
        <v>1</v>
      </c>
      <c r="C1206">
        <v>1.0812227270000001</v>
      </c>
      <c r="D1206" t="s">
        <v>8</v>
      </c>
      <c r="E1206">
        <v>74.489999999999995</v>
      </c>
      <c r="G1206" t="s">
        <v>1</v>
      </c>
    </row>
    <row r="1207" spans="1:7" x14ac:dyDescent="0.4">
      <c r="A1207" s="1">
        <v>45446</v>
      </c>
      <c r="B1207">
        <v>1</v>
      </c>
      <c r="C1207">
        <v>1.0759000000000001</v>
      </c>
      <c r="D1207" t="s">
        <v>8</v>
      </c>
      <c r="E1207">
        <v>75.349999999999994</v>
      </c>
      <c r="F1207">
        <v>72.44</v>
      </c>
      <c r="G1207" t="s">
        <v>1</v>
      </c>
    </row>
    <row r="1208" spans="1:7" x14ac:dyDescent="0.4">
      <c r="A1208" s="1">
        <v>45447</v>
      </c>
      <c r="B1208">
        <v>1</v>
      </c>
      <c r="C1208">
        <v>1.0759000000000001</v>
      </c>
      <c r="D1208" t="s">
        <v>8</v>
      </c>
      <c r="E1208">
        <v>71.5</v>
      </c>
      <c r="G1208" t="s">
        <v>1</v>
      </c>
    </row>
    <row r="1209" spans="1:7" x14ac:dyDescent="0.4">
      <c r="A1209" s="1">
        <v>45448</v>
      </c>
      <c r="B1209">
        <v>1</v>
      </c>
      <c r="C1209">
        <v>1.0759000000000001</v>
      </c>
      <c r="D1209" t="s">
        <v>8</v>
      </c>
      <c r="E1209">
        <v>70.3</v>
      </c>
      <c r="G1209" t="s">
        <v>1</v>
      </c>
    </row>
    <row r="1210" spans="1:7" x14ac:dyDescent="0.4">
      <c r="A1210" s="1">
        <v>45449</v>
      </c>
      <c r="B1210">
        <v>1</v>
      </c>
      <c r="C1210">
        <v>1.0759000000000001</v>
      </c>
      <c r="D1210" t="s">
        <v>8</v>
      </c>
      <c r="E1210">
        <v>71</v>
      </c>
      <c r="G1210" t="s">
        <v>1</v>
      </c>
    </row>
    <row r="1211" spans="1:7" x14ac:dyDescent="0.4">
      <c r="A1211" s="1">
        <v>45450</v>
      </c>
      <c r="B1211">
        <v>1</v>
      </c>
      <c r="C1211">
        <v>1.0759000000000001</v>
      </c>
      <c r="D1211" t="s">
        <v>8</v>
      </c>
      <c r="E1211">
        <v>69.900000000000006</v>
      </c>
      <c r="G1211" t="s">
        <v>1</v>
      </c>
    </row>
    <row r="1212" spans="1:7" x14ac:dyDescent="0.4">
      <c r="A1212" s="1">
        <v>45453</v>
      </c>
      <c r="B1212">
        <v>1</v>
      </c>
      <c r="C1212">
        <v>1.0759000000000001</v>
      </c>
      <c r="D1212" t="s">
        <v>8</v>
      </c>
      <c r="E1212">
        <v>67.819999999999993</v>
      </c>
      <c r="F1212">
        <v>70.23</v>
      </c>
      <c r="G1212" t="s">
        <v>1</v>
      </c>
    </row>
    <row r="1213" spans="1:7" x14ac:dyDescent="0.4">
      <c r="A1213" s="1">
        <v>45454</v>
      </c>
      <c r="B1213">
        <v>1</v>
      </c>
      <c r="C1213">
        <v>1.0759000000000001</v>
      </c>
      <c r="D1213" t="s">
        <v>8</v>
      </c>
      <c r="E1213">
        <v>70.31</v>
      </c>
      <c r="G1213" t="s">
        <v>1</v>
      </c>
    </row>
    <row r="1214" spans="1:7" x14ac:dyDescent="0.4">
      <c r="A1214" s="1">
        <v>45456</v>
      </c>
      <c r="B1214">
        <v>1</v>
      </c>
      <c r="C1214">
        <v>1.0759000000000001</v>
      </c>
      <c r="D1214" t="s">
        <v>8</v>
      </c>
      <c r="E1214">
        <v>69.77</v>
      </c>
      <c r="G1214" t="s">
        <v>1</v>
      </c>
    </row>
    <row r="1215" spans="1:7" x14ac:dyDescent="0.4">
      <c r="A1215" s="1">
        <v>45457</v>
      </c>
      <c r="B1215">
        <v>1</v>
      </c>
      <c r="C1215">
        <v>1.0759000000000001</v>
      </c>
      <c r="D1215" t="s">
        <v>8</v>
      </c>
      <c r="E1215">
        <v>68.41</v>
      </c>
      <c r="G1215" t="s">
        <v>1</v>
      </c>
    </row>
    <row r="1216" spans="1:7" x14ac:dyDescent="0.4">
      <c r="A1216" s="1">
        <v>45460</v>
      </c>
      <c r="B1216">
        <v>1</v>
      </c>
      <c r="C1216">
        <v>1.0759000000000001</v>
      </c>
      <c r="D1216" t="s">
        <v>8</v>
      </c>
      <c r="E1216">
        <v>66.66</v>
      </c>
      <c r="F1216">
        <v>68.83</v>
      </c>
      <c r="G1216" t="s">
        <v>1</v>
      </c>
    </row>
    <row r="1217" spans="1:7" x14ac:dyDescent="0.4">
      <c r="A1217" s="1">
        <v>45461</v>
      </c>
      <c r="B1217">
        <v>1</v>
      </c>
      <c r="C1217">
        <v>1.0759000000000001</v>
      </c>
      <c r="D1217" t="s">
        <v>8</v>
      </c>
      <c r="E1217">
        <v>66.97</v>
      </c>
      <c r="G1217" t="s">
        <v>1</v>
      </c>
    </row>
    <row r="1218" spans="1:7" x14ac:dyDescent="0.4">
      <c r="A1218" s="1">
        <v>45462</v>
      </c>
      <c r="B1218">
        <v>1</v>
      </c>
      <c r="C1218">
        <v>1.0759000000000001</v>
      </c>
      <c r="D1218" t="s">
        <v>8</v>
      </c>
      <c r="E1218">
        <v>67.75</v>
      </c>
      <c r="G1218" t="s">
        <v>1</v>
      </c>
    </row>
    <row r="1219" spans="1:7" x14ac:dyDescent="0.4">
      <c r="A1219" s="1">
        <v>45463</v>
      </c>
      <c r="B1219">
        <v>1</v>
      </c>
      <c r="C1219">
        <v>1.0759000000000001</v>
      </c>
      <c r="D1219" t="s">
        <v>8</v>
      </c>
      <c r="E1219">
        <v>68.61</v>
      </c>
      <c r="G1219" t="s">
        <v>1</v>
      </c>
    </row>
    <row r="1220" spans="1:7" x14ac:dyDescent="0.4">
      <c r="A1220" s="1">
        <v>45464</v>
      </c>
      <c r="B1220">
        <v>1</v>
      </c>
      <c r="C1220">
        <v>1.0759000000000001</v>
      </c>
      <c r="D1220" t="s">
        <v>8</v>
      </c>
      <c r="E1220">
        <v>67.36</v>
      </c>
      <c r="G1220" t="s">
        <v>1</v>
      </c>
    </row>
    <row r="1221" spans="1:7" x14ac:dyDescent="0.4">
      <c r="A1221" s="1">
        <v>45467</v>
      </c>
      <c r="B1221">
        <v>1</v>
      </c>
      <c r="C1221">
        <v>1.0759000000000001</v>
      </c>
      <c r="D1221" t="s">
        <v>8</v>
      </c>
      <c r="E1221">
        <v>66.06</v>
      </c>
      <c r="F1221">
        <v>67.27</v>
      </c>
      <c r="G1221" t="s">
        <v>1</v>
      </c>
    </row>
    <row r="1222" spans="1:7" x14ac:dyDescent="0.4">
      <c r="A1222" s="1">
        <v>45468</v>
      </c>
      <c r="B1222">
        <v>1</v>
      </c>
      <c r="C1222">
        <v>1.0759000000000001</v>
      </c>
      <c r="D1222" t="s">
        <v>8</v>
      </c>
      <c r="E1222">
        <v>65.94</v>
      </c>
      <c r="G1222" t="s">
        <v>1</v>
      </c>
    </row>
    <row r="1223" spans="1:7" x14ac:dyDescent="0.4">
      <c r="A1223" s="1">
        <v>45470</v>
      </c>
      <c r="B1223">
        <v>1</v>
      </c>
      <c r="C1223">
        <v>1.0759000000000001</v>
      </c>
      <c r="D1223" t="s">
        <v>8</v>
      </c>
      <c r="E1223">
        <v>66.17</v>
      </c>
      <c r="G1223" t="s">
        <v>1</v>
      </c>
    </row>
    <row r="1224" spans="1:7" x14ac:dyDescent="0.4">
      <c r="A1224" s="1">
        <v>45471</v>
      </c>
      <c r="B1224">
        <v>1</v>
      </c>
      <c r="C1224">
        <v>1.0759000000000001</v>
      </c>
      <c r="D1224" t="s">
        <v>8</v>
      </c>
      <c r="E1224">
        <v>65.010000000000005</v>
      </c>
      <c r="G1224" t="s">
        <v>1</v>
      </c>
    </row>
    <row r="1225" spans="1:7" x14ac:dyDescent="0.4">
      <c r="A1225" s="1">
        <v>45474</v>
      </c>
      <c r="B1225">
        <v>1</v>
      </c>
      <c r="C1225">
        <v>1.1205235090000001</v>
      </c>
      <c r="D1225" t="s">
        <v>8</v>
      </c>
      <c r="E1225">
        <v>67.83</v>
      </c>
      <c r="F1225">
        <v>69.98</v>
      </c>
      <c r="G1225" t="s">
        <v>1</v>
      </c>
    </row>
    <row r="1226" spans="1:7" x14ac:dyDescent="0.4">
      <c r="A1226" s="1">
        <v>45475</v>
      </c>
      <c r="B1226">
        <v>1</v>
      </c>
      <c r="C1226">
        <v>1.1205235090000001</v>
      </c>
      <c r="D1226" t="s">
        <v>8</v>
      </c>
      <c r="E1226">
        <v>66.709999999999994</v>
      </c>
      <c r="G1226" t="s">
        <v>1</v>
      </c>
    </row>
    <row r="1227" spans="1:7" x14ac:dyDescent="0.4">
      <c r="A1227" s="1">
        <v>45476</v>
      </c>
      <c r="B1227">
        <v>1</v>
      </c>
      <c r="C1227">
        <v>1.1205235090000001</v>
      </c>
      <c r="D1227" t="s">
        <v>8</v>
      </c>
      <c r="E1227">
        <v>68.84</v>
      </c>
      <c r="G1227" t="s">
        <v>1</v>
      </c>
    </row>
    <row r="1228" spans="1:7" x14ac:dyDescent="0.4">
      <c r="A1228" s="1">
        <v>45477</v>
      </c>
      <c r="B1228">
        <v>1</v>
      </c>
      <c r="C1228">
        <v>1.1205235090000001</v>
      </c>
      <c r="D1228" t="s">
        <v>8</v>
      </c>
      <c r="E1228">
        <v>68.709999999999994</v>
      </c>
      <c r="G1228" t="s">
        <v>1</v>
      </c>
    </row>
    <row r="1229" spans="1:7" x14ac:dyDescent="0.4">
      <c r="A1229" s="1">
        <v>45478</v>
      </c>
      <c r="B1229">
        <v>1</v>
      </c>
      <c r="C1229">
        <v>1.1205235090000001</v>
      </c>
      <c r="D1229" t="s">
        <v>8</v>
      </c>
      <c r="E1229">
        <v>68.680000000000007</v>
      </c>
      <c r="G1229" t="s">
        <v>1</v>
      </c>
    </row>
    <row r="1230" spans="1:7" x14ac:dyDescent="0.4">
      <c r="A1230" s="1">
        <v>45481</v>
      </c>
      <c r="B1230">
        <v>1</v>
      </c>
      <c r="C1230">
        <v>1.1205235090000001</v>
      </c>
      <c r="D1230" t="s">
        <v>8</v>
      </c>
      <c r="E1230">
        <v>70</v>
      </c>
      <c r="F1230">
        <v>68.61</v>
      </c>
      <c r="G1230" t="s">
        <v>1</v>
      </c>
    </row>
    <row r="1231" spans="1:7" x14ac:dyDescent="0.4">
      <c r="A1231" s="1">
        <v>45482</v>
      </c>
      <c r="B1231">
        <v>1</v>
      </c>
      <c r="C1231">
        <v>1.1205235090000001</v>
      </c>
      <c r="D1231" t="s">
        <v>8</v>
      </c>
      <c r="E1231">
        <v>66.87</v>
      </c>
      <c r="G1231" t="s">
        <v>1</v>
      </c>
    </row>
    <row r="1232" spans="1:7" x14ac:dyDescent="0.4">
      <c r="A1232" s="1">
        <v>45483</v>
      </c>
      <c r="B1232">
        <v>1</v>
      </c>
      <c r="C1232">
        <v>1.1205235090000001</v>
      </c>
      <c r="D1232" t="s">
        <v>8</v>
      </c>
      <c r="E1232">
        <v>67.42</v>
      </c>
      <c r="G1232" t="s">
        <v>1</v>
      </c>
    </row>
    <row r="1233" spans="1:7" x14ac:dyDescent="0.4">
      <c r="A1233" s="1">
        <v>45484</v>
      </c>
      <c r="B1233">
        <v>1</v>
      </c>
      <c r="C1233">
        <v>1.1205235090000001</v>
      </c>
      <c r="D1233" t="s">
        <v>8</v>
      </c>
      <c r="E1233">
        <v>66.72</v>
      </c>
      <c r="G1233" t="s">
        <v>1</v>
      </c>
    </row>
    <row r="1234" spans="1:7" x14ac:dyDescent="0.4">
      <c r="A1234" s="1">
        <v>45485</v>
      </c>
      <c r="B1234">
        <v>1</v>
      </c>
      <c r="C1234">
        <v>1.1205235090000001</v>
      </c>
      <c r="D1234" t="s">
        <v>8</v>
      </c>
      <c r="E1234">
        <v>67.06</v>
      </c>
      <c r="G1234" t="s">
        <v>1</v>
      </c>
    </row>
    <row r="1235" spans="1:7" x14ac:dyDescent="0.4">
      <c r="A1235" s="1">
        <v>45488</v>
      </c>
      <c r="B1235">
        <v>1</v>
      </c>
      <c r="C1235">
        <v>1.1205235090000001</v>
      </c>
      <c r="D1235" t="s">
        <v>8</v>
      </c>
      <c r="E1235">
        <v>66.63</v>
      </c>
      <c r="F1235">
        <v>66.989999999999995</v>
      </c>
      <c r="G1235" t="s">
        <v>1</v>
      </c>
    </row>
    <row r="1236" spans="1:7" x14ac:dyDescent="0.4">
      <c r="A1236" s="1">
        <v>45489</v>
      </c>
      <c r="B1236">
        <v>1</v>
      </c>
      <c r="C1236">
        <v>1.1205235090000001</v>
      </c>
      <c r="D1236" t="s">
        <v>8</v>
      </c>
      <c r="E1236">
        <v>66.16</v>
      </c>
      <c r="G1236" t="s">
        <v>1</v>
      </c>
    </row>
    <row r="1237" spans="1:7" x14ac:dyDescent="0.4">
      <c r="A1237" s="1">
        <v>45490</v>
      </c>
      <c r="B1237">
        <v>1</v>
      </c>
      <c r="C1237">
        <v>1.1205235090000001</v>
      </c>
      <c r="D1237" t="s">
        <v>8</v>
      </c>
      <c r="E1237">
        <v>66.66</v>
      </c>
      <c r="G1237" t="s">
        <v>1</v>
      </c>
    </row>
    <row r="1238" spans="1:7" x14ac:dyDescent="0.4">
      <c r="A1238" s="1">
        <v>45491</v>
      </c>
      <c r="B1238">
        <v>1</v>
      </c>
      <c r="C1238">
        <v>1.1205235090000001</v>
      </c>
      <c r="D1238" t="s">
        <v>8</v>
      </c>
      <c r="E1238">
        <v>64.959999999999994</v>
      </c>
      <c r="G1238" t="s">
        <v>1</v>
      </c>
    </row>
    <row r="1239" spans="1:7" x14ac:dyDescent="0.4">
      <c r="A1239" s="1">
        <v>45492</v>
      </c>
      <c r="B1239">
        <v>1</v>
      </c>
      <c r="C1239">
        <v>1.1205235090000001</v>
      </c>
      <c r="D1239" t="s">
        <v>8</v>
      </c>
      <c r="E1239">
        <v>64.73</v>
      </c>
      <c r="G1239" t="s">
        <v>1</v>
      </c>
    </row>
    <row r="1240" spans="1:7" x14ac:dyDescent="0.4">
      <c r="A1240" s="1">
        <v>45495</v>
      </c>
      <c r="B1240">
        <v>1</v>
      </c>
      <c r="C1240">
        <v>1.1205235090000001</v>
      </c>
      <c r="D1240" t="s">
        <v>8</v>
      </c>
      <c r="E1240">
        <v>64.37</v>
      </c>
      <c r="F1240">
        <v>66.709999999999994</v>
      </c>
      <c r="G1240" t="s">
        <v>1</v>
      </c>
    </row>
    <row r="1241" spans="1:7" x14ac:dyDescent="0.4">
      <c r="A1241" s="1">
        <v>45496</v>
      </c>
      <c r="B1241">
        <v>1</v>
      </c>
      <c r="C1241">
        <v>1.1205235090000001</v>
      </c>
      <c r="D1241" t="s">
        <v>8</v>
      </c>
      <c r="E1241">
        <v>63.67</v>
      </c>
      <c r="G1241" t="s">
        <v>1</v>
      </c>
    </row>
    <row r="1242" spans="1:7" x14ac:dyDescent="0.4">
      <c r="A1242" s="1">
        <v>45497</v>
      </c>
      <c r="B1242">
        <v>1</v>
      </c>
      <c r="C1242">
        <v>1.1205235090000001</v>
      </c>
      <c r="D1242" t="s">
        <v>8</v>
      </c>
      <c r="E1242">
        <v>66.709999999999994</v>
      </c>
      <c r="G1242" t="s">
        <v>1</v>
      </c>
    </row>
    <row r="1243" spans="1:7" x14ac:dyDescent="0.4">
      <c r="A1243" s="1">
        <v>45498</v>
      </c>
      <c r="B1243">
        <v>1</v>
      </c>
      <c r="C1243">
        <v>1.1205235090000001</v>
      </c>
      <c r="D1243" t="s">
        <v>8</v>
      </c>
      <c r="E1243">
        <v>66.33</v>
      </c>
      <c r="G1243" t="s">
        <v>1</v>
      </c>
    </row>
    <row r="1244" spans="1:7" x14ac:dyDescent="0.4">
      <c r="A1244" s="1">
        <v>45499</v>
      </c>
      <c r="B1244">
        <v>1</v>
      </c>
      <c r="C1244">
        <v>1.1205235090000001</v>
      </c>
      <c r="D1244" t="s">
        <v>8</v>
      </c>
      <c r="E1244">
        <v>67.17</v>
      </c>
      <c r="G1244" t="s">
        <v>1</v>
      </c>
    </row>
    <row r="1245" spans="1:7" x14ac:dyDescent="0.4">
      <c r="A1245" s="1">
        <v>45502</v>
      </c>
      <c r="B1245">
        <v>1</v>
      </c>
      <c r="C1245">
        <v>1.1205235090000001</v>
      </c>
      <c r="D1245" t="s">
        <v>8</v>
      </c>
      <c r="E1245">
        <v>66.55</v>
      </c>
      <c r="F1245">
        <v>69.66</v>
      </c>
      <c r="G1245" t="s">
        <v>1</v>
      </c>
    </row>
    <row r="1246" spans="1:7" x14ac:dyDescent="0.4">
      <c r="A1246" s="1">
        <v>45503</v>
      </c>
      <c r="B1246">
        <v>1</v>
      </c>
      <c r="C1246">
        <v>1.1205235090000001</v>
      </c>
      <c r="D1246" t="s">
        <v>8</v>
      </c>
      <c r="E1246">
        <v>67.849999999999994</v>
      </c>
      <c r="G1246" t="s">
        <v>1</v>
      </c>
    </row>
    <row r="1247" spans="1:7" x14ac:dyDescent="0.4">
      <c r="A1247" s="1">
        <v>45504</v>
      </c>
      <c r="B1247">
        <v>1</v>
      </c>
      <c r="C1247">
        <v>1.1205235090000001</v>
      </c>
      <c r="D1247" t="s">
        <v>8</v>
      </c>
      <c r="E1247">
        <v>68.069999999999993</v>
      </c>
      <c r="G1247" t="s">
        <v>1</v>
      </c>
    </row>
    <row r="1248" spans="1:7" x14ac:dyDescent="0.4">
      <c r="A1248" s="1">
        <v>45505</v>
      </c>
      <c r="B1248">
        <v>1</v>
      </c>
      <c r="C1248">
        <v>1.1664256049999999</v>
      </c>
      <c r="D1248" t="s">
        <v>8</v>
      </c>
      <c r="E1248">
        <v>69.760000000000005</v>
      </c>
      <c r="G1248" t="s">
        <v>1</v>
      </c>
    </row>
    <row r="1249" spans="1:7" x14ac:dyDescent="0.4">
      <c r="A1249" s="1">
        <v>45506</v>
      </c>
      <c r="B1249">
        <v>1</v>
      </c>
      <c r="C1249">
        <v>1.1664256049999999</v>
      </c>
      <c r="D1249" t="s">
        <v>8</v>
      </c>
      <c r="E1249">
        <v>67.02</v>
      </c>
      <c r="G1249" t="s">
        <v>1</v>
      </c>
    </row>
    <row r="1250" spans="1:7" x14ac:dyDescent="0.4">
      <c r="A1250" s="1">
        <v>45509</v>
      </c>
      <c r="B1250">
        <v>1</v>
      </c>
      <c r="C1250">
        <v>1.1664256049999999</v>
      </c>
      <c r="D1250" t="s">
        <v>8</v>
      </c>
      <c r="E1250">
        <v>68.650000000000006</v>
      </c>
      <c r="F1250">
        <v>70.09</v>
      </c>
      <c r="G1250" t="s">
        <v>1</v>
      </c>
    </row>
    <row r="1251" spans="1:7" x14ac:dyDescent="0.4">
      <c r="A1251" s="1">
        <v>45512</v>
      </c>
      <c r="B1251">
        <v>1</v>
      </c>
      <c r="C1251">
        <v>1.1664256049999999</v>
      </c>
      <c r="D1251" t="s">
        <v>8</v>
      </c>
      <c r="E1251">
        <v>68.900000000000006</v>
      </c>
      <c r="G1251" t="s">
        <v>1</v>
      </c>
    </row>
    <row r="1252" spans="1:7" x14ac:dyDescent="0.4">
      <c r="A1252" s="1">
        <v>45513</v>
      </c>
      <c r="B1252">
        <v>1</v>
      </c>
      <c r="C1252">
        <v>1.1664256049999999</v>
      </c>
      <c r="D1252" t="s">
        <v>8</v>
      </c>
      <c r="E1252">
        <v>70.459999999999994</v>
      </c>
      <c r="G1252" t="s">
        <v>1</v>
      </c>
    </row>
    <row r="1253" spans="1:7" x14ac:dyDescent="0.4">
      <c r="A1253" s="1">
        <v>45516</v>
      </c>
      <c r="B1253">
        <v>1</v>
      </c>
      <c r="C1253">
        <v>1.1664256049999999</v>
      </c>
      <c r="D1253" t="s">
        <v>8</v>
      </c>
      <c r="E1253">
        <v>71.150000000000006</v>
      </c>
      <c r="F1253">
        <v>72.09</v>
      </c>
      <c r="G1253" t="s">
        <v>1</v>
      </c>
    </row>
    <row r="1254" spans="1:7" x14ac:dyDescent="0.4">
      <c r="A1254" s="1">
        <v>45517</v>
      </c>
      <c r="B1254">
        <v>1</v>
      </c>
      <c r="C1254">
        <v>1.1664256049999999</v>
      </c>
      <c r="D1254" t="s">
        <v>8</v>
      </c>
      <c r="E1254">
        <v>70.819999999999993</v>
      </c>
      <c r="G1254" t="s">
        <v>1</v>
      </c>
    </row>
    <row r="1255" spans="1:7" x14ac:dyDescent="0.4">
      <c r="A1255" s="1">
        <v>45518</v>
      </c>
      <c r="B1255">
        <v>1</v>
      </c>
      <c r="C1255">
        <v>1.1664256049999999</v>
      </c>
      <c r="D1255" t="s">
        <v>8</v>
      </c>
      <c r="E1255">
        <v>70.59</v>
      </c>
      <c r="G1255" t="s">
        <v>1</v>
      </c>
    </row>
    <row r="1256" spans="1:7" x14ac:dyDescent="0.4">
      <c r="A1256" s="1">
        <v>45519</v>
      </c>
      <c r="B1256">
        <v>1</v>
      </c>
      <c r="C1256">
        <v>1.1664256049999999</v>
      </c>
      <c r="D1256" t="s">
        <v>8</v>
      </c>
      <c r="E1256">
        <v>69.849999999999994</v>
      </c>
      <c r="G1256" t="s">
        <v>1</v>
      </c>
    </row>
    <row r="1257" spans="1:7" x14ac:dyDescent="0.4">
      <c r="A1257" s="1">
        <v>45520</v>
      </c>
      <c r="B1257">
        <v>1</v>
      </c>
      <c r="C1257">
        <v>1.1664256049999999</v>
      </c>
      <c r="D1257" t="s">
        <v>8</v>
      </c>
      <c r="E1257">
        <v>71</v>
      </c>
      <c r="G1257" t="s">
        <v>1</v>
      </c>
    </row>
    <row r="1258" spans="1:7" x14ac:dyDescent="0.4">
      <c r="A1258" s="1">
        <v>45523</v>
      </c>
      <c r="B1258">
        <v>1</v>
      </c>
      <c r="C1258">
        <v>1.1664256049999999</v>
      </c>
      <c r="D1258" t="s">
        <v>8</v>
      </c>
      <c r="E1258">
        <v>71.5</v>
      </c>
      <c r="F1258">
        <v>72.209999999999994</v>
      </c>
      <c r="G1258" t="s">
        <v>1</v>
      </c>
    </row>
    <row r="1259" spans="1:7" x14ac:dyDescent="0.4">
      <c r="A1259" s="1">
        <v>45524</v>
      </c>
      <c r="B1259">
        <v>1</v>
      </c>
      <c r="C1259">
        <v>1.1664256049999999</v>
      </c>
      <c r="D1259" t="s">
        <v>8</v>
      </c>
      <c r="E1259">
        <v>72.400000000000006</v>
      </c>
      <c r="G1259" t="s">
        <v>1</v>
      </c>
    </row>
    <row r="1260" spans="1:7" x14ac:dyDescent="0.4">
      <c r="A1260" s="1">
        <v>45526</v>
      </c>
      <c r="B1260">
        <v>1</v>
      </c>
      <c r="C1260">
        <v>1.1664256049999999</v>
      </c>
      <c r="D1260" t="s">
        <v>8</v>
      </c>
      <c r="E1260">
        <v>71.02</v>
      </c>
      <c r="G1260" t="s">
        <v>1</v>
      </c>
    </row>
    <row r="1261" spans="1:7" x14ac:dyDescent="0.4">
      <c r="A1261" s="1">
        <v>45527</v>
      </c>
      <c r="B1261">
        <v>1</v>
      </c>
      <c r="C1261">
        <v>1.1664256049999999</v>
      </c>
      <c r="D1261" t="s">
        <v>8</v>
      </c>
      <c r="E1261">
        <v>70.73</v>
      </c>
      <c r="G1261" t="s">
        <v>1</v>
      </c>
    </row>
    <row r="1262" spans="1:7" x14ac:dyDescent="0.4">
      <c r="A1262" s="1">
        <v>45530</v>
      </c>
      <c r="B1262">
        <v>1</v>
      </c>
      <c r="C1262">
        <v>1.1664256049999999</v>
      </c>
      <c r="D1262" t="s">
        <v>8</v>
      </c>
      <c r="E1262">
        <v>69.28</v>
      </c>
      <c r="F1262">
        <v>70.819999999999993</v>
      </c>
      <c r="G1262" t="s">
        <v>1</v>
      </c>
    </row>
    <row r="1263" spans="1:7" x14ac:dyDescent="0.4">
      <c r="A1263" s="1">
        <v>45531</v>
      </c>
      <c r="B1263">
        <v>1</v>
      </c>
      <c r="C1263">
        <v>1.1664256049999999</v>
      </c>
      <c r="D1263" t="s">
        <v>8</v>
      </c>
      <c r="E1263">
        <v>70.17</v>
      </c>
      <c r="G1263" t="s">
        <v>1</v>
      </c>
    </row>
    <row r="1264" spans="1:7" x14ac:dyDescent="0.4">
      <c r="A1264" s="1">
        <v>45532</v>
      </c>
      <c r="B1264">
        <v>1</v>
      </c>
      <c r="C1264">
        <v>1.1664256049999999</v>
      </c>
      <c r="D1264" t="s">
        <v>8</v>
      </c>
      <c r="E1264">
        <v>70.39</v>
      </c>
      <c r="G1264" t="s">
        <v>1</v>
      </c>
    </row>
    <row r="1265" spans="1:7" x14ac:dyDescent="0.4">
      <c r="A1265" s="1">
        <v>45533</v>
      </c>
      <c r="B1265">
        <v>1</v>
      </c>
      <c r="C1265">
        <v>1.1664256049999999</v>
      </c>
      <c r="D1265" t="s">
        <v>8</v>
      </c>
      <c r="E1265">
        <v>69.5</v>
      </c>
      <c r="G1265" t="s">
        <v>1</v>
      </c>
    </row>
    <row r="1266" spans="1:7" x14ac:dyDescent="0.4">
      <c r="A1266" s="1">
        <v>45534</v>
      </c>
      <c r="B1266">
        <v>1</v>
      </c>
      <c r="C1266">
        <v>1.1664256049999999</v>
      </c>
      <c r="D1266" t="s">
        <v>8</v>
      </c>
      <c r="E1266">
        <v>70.069999999999993</v>
      </c>
      <c r="G1266" t="s">
        <v>1</v>
      </c>
    </row>
    <row r="1267" spans="1:7" x14ac:dyDescent="0.4">
      <c r="A1267" s="1">
        <v>45537</v>
      </c>
      <c r="B1267">
        <v>1</v>
      </c>
      <c r="C1267">
        <v>1.1802264849999999</v>
      </c>
      <c r="D1267" t="s">
        <v>8</v>
      </c>
      <c r="E1267">
        <v>69.3</v>
      </c>
      <c r="F1267">
        <v>67.66</v>
      </c>
      <c r="G1267" t="s">
        <v>1</v>
      </c>
    </row>
    <row r="1268" spans="1:7" x14ac:dyDescent="0.4">
      <c r="A1268" s="1">
        <v>45538</v>
      </c>
      <c r="B1268">
        <v>1</v>
      </c>
      <c r="C1268">
        <v>1.1802264849999999</v>
      </c>
      <c r="D1268" t="s">
        <v>8</v>
      </c>
      <c r="E1268">
        <v>68.56</v>
      </c>
      <c r="G1268" t="s">
        <v>1</v>
      </c>
    </row>
    <row r="1269" spans="1:7" x14ac:dyDescent="0.4">
      <c r="A1269" s="1">
        <v>45540</v>
      </c>
      <c r="B1269">
        <v>1</v>
      </c>
      <c r="C1269">
        <v>1.1802264849999999</v>
      </c>
      <c r="D1269" t="s">
        <v>8</v>
      </c>
      <c r="E1269">
        <v>65.989999999999995</v>
      </c>
      <c r="G1269" t="s">
        <v>1</v>
      </c>
    </row>
    <row r="1270" spans="1:7" x14ac:dyDescent="0.4">
      <c r="A1270" s="1">
        <v>45541</v>
      </c>
      <c r="B1270">
        <v>1</v>
      </c>
      <c r="C1270">
        <v>1.1802264849999999</v>
      </c>
      <c r="D1270" t="s">
        <v>8</v>
      </c>
      <c r="E1270">
        <v>67</v>
      </c>
      <c r="G1270" t="s">
        <v>1</v>
      </c>
    </row>
    <row r="1271" spans="1:7" x14ac:dyDescent="0.4">
      <c r="A1271" s="1">
        <v>45544</v>
      </c>
      <c r="B1271">
        <v>1</v>
      </c>
      <c r="C1271">
        <v>1.1802264849999999</v>
      </c>
      <c r="D1271" t="s">
        <v>8</v>
      </c>
      <c r="E1271">
        <v>65.75</v>
      </c>
      <c r="F1271">
        <v>65.66</v>
      </c>
      <c r="G1271" t="s">
        <v>1</v>
      </c>
    </row>
    <row r="1272" spans="1:7" x14ac:dyDescent="0.4">
      <c r="A1272" s="1">
        <v>45545</v>
      </c>
      <c r="B1272">
        <v>1</v>
      </c>
      <c r="C1272">
        <v>1.1802264849999999</v>
      </c>
      <c r="D1272" t="s">
        <v>8</v>
      </c>
      <c r="E1272">
        <v>65.83</v>
      </c>
      <c r="G1272" t="s">
        <v>1</v>
      </c>
    </row>
    <row r="1273" spans="1:7" x14ac:dyDescent="0.4">
      <c r="A1273" s="1">
        <v>45546</v>
      </c>
      <c r="B1273">
        <v>1</v>
      </c>
      <c r="C1273">
        <v>1.1802264849999999</v>
      </c>
      <c r="D1273" t="s">
        <v>8</v>
      </c>
      <c r="E1273">
        <v>64.75</v>
      </c>
      <c r="G1273" t="s">
        <v>1</v>
      </c>
    </row>
    <row r="1274" spans="1:7" x14ac:dyDescent="0.4">
      <c r="A1274" s="1">
        <v>45547</v>
      </c>
      <c r="B1274">
        <v>1</v>
      </c>
      <c r="C1274">
        <v>1.1802264849999999</v>
      </c>
      <c r="D1274" t="s">
        <v>8</v>
      </c>
      <c r="E1274">
        <v>65.099999999999994</v>
      </c>
      <c r="G1274" t="s">
        <v>1</v>
      </c>
    </row>
    <row r="1275" spans="1:7" x14ac:dyDescent="0.4">
      <c r="A1275" s="1">
        <v>45548</v>
      </c>
      <c r="B1275">
        <v>1</v>
      </c>
      <c r="C1275">
        <v>1.1802264849999999</v>
      </c>
      <c r="D1275" t="s">
        <v>8</v>
      </c>
      <c r="E1275">
        <v>64.89</v>
      </c>
      <c r="G1275" t="s">
        <v>1</v>
      </c>
    </row>
    <row r="1276" spans="1:7" x14ac:dyDescent="0.4">
      <c r="A1276" s="1">
        <v>45551</v>
      </c>
      <c r="B1276">
        <v>1</v>
      </c>
      <c r="C1276">
        <v>1.1802264849999999</v>
      </c>
      <c r="D1276" t="s">
        <v>8</v>
      </c>
      <c r="E1276">
        <v>64.94</v>
      </c>
      <c r="F1276">
        <v>63.49</v>
      </c>
      <c r="G1276" t="s">
        <v>1</v>
      </c>
    </row>
    <row r="1277" spans="1:7" x14ac:dyDescent="0.4">
      <c r="A1277" s="1">
        <v>45552</v>
      </c>
      <c r="B1277">
        <v>1</v>
      </c>
      <c r="C1277">
        <v>1.1802264849999999</v>
      </c>
      <c r="D1277" t="s">
        <v>8</v>
      </c>
      <c r="E1277">
        <v>62.71</v>
      </c>
      <c r="G1277" t="s">
        <v>1</v>
      </c>
    </row>
    <row r="1278" spans="1:7" x14ac:dyDescent="0.4">
      <c r="A1278" s="1">
        <v>45553</v>
      </c>
      <c r="B1278">
        <v>1</v>
      </c>
      <c r="C1278">
        <v>1.1802264849999999</v>
      </c>
      <c r="D1278" t="s">
        <v>8</v>
      </c>
      <c r="E1278">
        <v>62.8</v>
      </c>
      <c r="G1278" t="s">
        <v>1</v>
      </c>
    </row>
    <row r="1279" spans="1:7" x14ac:dyDescent="0.4">
      <c r="A1279" s="1">
        <v>45554</v>
      </c>
      <c r="B1279">
        <v>1</v>
      </c>
      <c r="C1279">
        <v>1.1802264849999999</v>
      </c>
      <c r="D1279" t="s">
        <v>8</v>
      </c>
      <c r="E1279">
        <v>63.56</v>
      </c>
      <c r="G1279" t="s">
        <v>1</v>
      </c>
    </row>
    <row r="1280" spans="1:7" x14ac:dyDescent="0.4">
      <c r="A1280" s="1">
        <v>45555</v>
      </c>
      <c r="B1280">
        <v>1</v>
      </c>
      <c r="C1280">
        <v>1.1802264849999999</v>
      </c>
      <c r="D1280" t="s">
        <v>8</v>
      </c>
      <c r="E1280">
        <v>63.18</v>
      </c>
      <c r="G1280" t="s">
        <v>1</v>
      </c>
    </row>
    <row r="1281" spans="1:7" x14ac:dyDescent="0.4">
      <c r="A1281" s="1">
        <v>45558</v>
      </c>
      <c r="B1281">
        <v>1</v>
      </c>
      <c r="C1281">
        <v>1.1802264849999999</v>
      </c>
      <c r="D1281" t="s">
        <v>8</v>
      </c>
      <c r="E1281">
        <v>64</v>
      </c>
      <c r="F1281">
        <v>65.209999999999994</v>
      </c>
      <c r="G1281" t="s">
        <v>1</v>
      </c>
    </row>
    <row r="1282" spans="1:7" x14ac:dyDescent="0.4">
      <c r="A1282" s="1">
        <v>45559</v>
      </c>
      <c r="B1282">
        <v>1</v>
      </c>
      <c r="C1282">
        <v>1.1802264849999999</v>
      </c>
      <c r="D1282" t="s">
        <v>8</v>
      </c>
      <c r="E1282">
        <v>63.91</v>
      </c>
      <c r="G1282" t="s">
        <v>1</v>
      </c>
    </row>
    <row r="1283" spans="1:7" x14ac:dyDescent="0.4">
      <c r="A1283" s="1">
        <v>45560</v>
      </c>
      <c r="B1283">
        <v>1</v>
      </c>
      <c r="C1283">
        <v>1.1802264849999999</v>
      </c>
      <c r="D1283" t="s">
        <v>8</v>
      </c>
      <c r="E1283">
        <v>63.55</v>
      </c>
      <c r="G1283" t="s">
        <v>1</v>
      </c>
    </row>
    <row r="1284" spans="1:7" x14ac:dyDescent="0.4">
      <c r="A1284" s="1">
        <v>45561</v>
      </c>
      <c r="B1284">
        <v>1</v>
      </c>
      <c r="C1284">
        <v>1.1802264849999999</v>
      </c>
      <c r="D1284" t="s">
        <v>8</v>
      </c>
      <c r="E1284">
        <v>63.88</v>
      </c>
      <c r="G1284" t="s">
        <v>1</v>
      </c>
    </row>
    <row r="1285" spans="1:7" x14ac:dyDescent="0.4">
      <c r="A1285" s="1">
        <v>45562</v>
      </c>
      <c r="B1285">
        <v>1</v>
      </c>
      <c r="C1285">
        <v>1.1802264849999999</v>
      </c>
      <c r="D1285" t="s">
        <v>8</v>
      </c>
      <c r="E1285">
        <v>65.45</v>
      </c>
      <c r="G1285" t="s">
        <v>1</v>
      </c>
    </row>
    <row r="1286" spans="1:7" x14ac:dyDescent="0.4">
      <c r="A1286" s="1">
        <v>45565</v>
      </c>
      <c r="B1286">
        <v>1</v>
      </c>
      <c r="C1286">
        <v>1.1802264849999999</v>
      </c>
      <c r="D1286" t="s">
        <v>8</v>
      </c>
      <c r="E1286">
        <v>65.69</v>
      </c>
      <c r="F1286">
        <v>63.32</v>
      </c>
      <c r="G1286" t="s">
        <v>1</v>
      </c>
    </row>
    <row r="1287" spans="1:7" x14ac:dyDescent="0.4">
      <c r="A1287" s="1">
        <v>45566</v>
      </c>
      <c r="B1287">
        <v>1</v>
      </c>
      <c r="C1287">
        <v>1.0904347830000001</v>
      </c>
      <c r="D1287" t="s">
        <v>8</v>
      </c>
      <c r="E1287">
        <v>63.19</v>
      </c>
      <c r="G1287" t="s">
        <v>1</v>
      </c>
    </row>
    <row r="1288" spans="1:7" x14ac:dyDescent="0.4">
      <c r="A1288" s="1">
        <v>45567</v>
      </c>
      <c r="B1288">
        <v>1</v>
      </c>
      <c r="C1288">
        <v>1.0904347830000001</v>
      </c>
      <c r="D1288" t="s">
        <v>8</v>
      </c>
      <c r="E1288">
        <v>62.89</v>
      </c>
      <c r="G1288" t="s">
        <v>1</v>
      </c>
    </row>
    <row r="1289" spans="1:7" x14ac:dyDescent="0.4">
      <c r="A1289" s="1">
        <v>45568</v>
      </c>
      <c r="B1289">
        <v>1</v>
      </c>
      <c r="C1289">
        <v>1.0904347830000001</v>
      </c>
      <c r="D1289" t="s">
        <v>8</v>
      </c>
      <c r="E1289">
        <v>62.02</v>
      </c>
      <c r="G1289" t="s">
        <v>1</v>
      </c>
    </row>
    <row r="1290" spans="1:7" x14ac:dyDescent="0.4">
      <c r="A1290" s="1">
        <v>45569</v>
      </c>
      <c r="B1290">
        <v>1</v>
      </c>
      <c r="C1290">
        <v>1.0904347830000001</v>
      </c>
      <c r="D1290" t="s">
        <v>8</v>
      </c>
      <c r="E1290">
        <v>61.03</v>
      </c>
      <c r="G1290" t="s">
        <v>1</v>
      </c>
    </row>
    <row r="1291" spans="1:7" x14ac:dyDescent="0.4">
      <c r="A1291" s="1">
        <v>45572</v>
      </c>
      <c r="B1291">
        <v>1</v>
      </c>
      <c r="C1291">
        <v>1.0904347830000001</v>
      </c>
      <c r="D1291" t="s">
        <v>8</v>
      </c>
      <c r="E1291">
        <v>60.15</v>
      </c>
      <c r="F1291">
        <v>62.74</v>
      </c>
      <c r="G1291" t="s">
        <v>1</v>
      </c>
    </row>
    <row r="1292" spans="1:7" x14ac:dyDescent="0.4">
      <c r="A1292" s="1">
        <v>45573</v>
      </c>
      <c r="B1292">
        <v>1</v>
      </c>
      <c r="C1292">
        <v>1.0904347830000001</v>
      </c>
      <c r="D1292" t="s">
        <v>8</v>
      </c>
      <c r="E1292">
        <v>59.85</v>
      </c>
      <c r="G1292" t="s">
        <v>1</v>
      </c>
    </row>
    <row r="1293" spans="1:7" x14ac:dyDescent="0.4">
      <c r="A1293" s="1">
        <v>45574</v>
      </c>
      <c r="B1293">
        <v>1</v>
      </c>
      <c r="C1293">
        <v>1.0904347830000001</v>
      </c>
      <c r="D1293" t="s">
        <v>8</v>
      </c>
      <c r="E1293">
        <v>61.18</v>
      </c>
      <c r="G1293" t="s">
        <v>1</v>
      </c>
    </row>
    <row r="1294" spans="1:7" x14ac:dyDescent="0.4">
      <c r="A1294" s="1">
        <v>45575</v>
      </c>
      <c r="B1294">
        <v>1</v>
      </c>
      <c r="C1294">
        <v>1.0904347830000001</v>
      </c>
      <c r="D1294" t="s">
        <v>8</v>
      </c>
      <c r="E1294">
        <v>63.3</v>
      </c>
      <c r="G1294" t="s">
        <v>1</v>
      </c>
    </row>
    <row r="1295" spans="1:7" x14ac:dyDescent="0.4">
      <c r="A1295" s="1">
        <v>45576</v>
      </c>
      <c r="B1295">
        <v>1</v>
      </c>
      <c r="C1295">
        <v>1.0904347830000001</v>
      </c>
      <c r="D1295" t="s">
        <v>8</v>
      </c>
      <c r="E1295">
        <v>63.71</v>
      </c>
      <c r="G1295" t="s">
        <v>1</v>
      </c>
    </row>
    <row r="1296" spans="1:7" x14ac:dyDescent="0.4">
      <c r="A1296" s="1">
        <v>45579</v>
      </c>
      <c r="B1296">
        <v>1</v>
      </c>
      <c r="C1296">
        <v>1.0904347830000001</v>
      </c>
      <c r="D1296" t="s">
        <v>8</v>
      </c>
      <c r="E1296">
        <v>65</v>
      </c>
      <c r="F1296">
        <v>63.87</v>
      </c>
      <c r="G1296" t="s">
        <v>1</v>
      </c>
    </row>
    <row r="1297" spans="1:7" x14ac:dyDescent="0.4">
      <c r="A1297" s="1">
        <v>45580</v>
      </c>
      <c r="B1297">
        <v>1</v>
      </c>
      <c r="C1297">
        <v>1.0904347830000001</v>
      </c>
      <c r="D1297" t="s">
        <v>8</v>
      </c>
      <c r="E1297">
        <v>64.08</v>
      </c>
      <c r="G1297" t="s">
        <v>1</v>
      </c>
    </row>
    <row r="1298" spans="1:7" x14ac:dyDescent="0.4">
      <c r="A1298" s="1">
        <v>45581</v>
      </c>
      <c r="B1298">
        <v>1</v>
      </c>
      <c r="C1298">
        <v>1.0904347830000001</v>
      </c>
      <c r="D1298" t="s">
        <v>8</v>
      </c>
      <c r="E1298">
        <v>64.14</v>
      </c>
      <c r="G1298" t="s">
        <v>1</v>
      </c>
    </row>
    <row r="1299" spans="1:7" x14ac:dyDescent="0.4">
      <c r="A1299" s="1">
        <v>45582</v>
      </c>
      <c r="B1299">
        <v>1</v>
      </c>
      <c r="C1299">
        <v>1.0904347830000001</v>
      </c>
      <c r="D1299" t="s">
        <v>8</v>
      </c>
      <c r="E1299">
        <v>63.1</v>
      </c>
      <c r="G1299" t="s">
        <v>1</v>
      </c>
    </row>
    <row r="1300" spans="1:7" x14ac:dyDescent="0.4">
      <c r="A1300" s="1">
        <v>45583</v>
      </c>
      <c r="B1300">
        <v>1</v>
      </c>
      <c r="C1300">
        <v>1.0904347830000001</v>
      </c>
      <c r="D1300" t="s">
        <v>8</v>
      </c>
      <c r="E1300">
        <v>61.9</v>
      </c>
      <c r="G1300" t="s">
        <v>1</v>
      </c>
    </row>
    <row r="1301" spans="1:7" x14ac:dyDescent="0.4">
      <c r="A1301" s="1">
        <v>45586</v>
      </c>
      <c r="B1301">
        <v>1</v>
      </c>
      <c r="C1301">
        <v>1.0904347830000001</v>
      </c>
      <c r="D1301" t="s">
        <v>8</v>
      </c>
      <c r="E1301">
        <v>62.3</v>
      </c>
      <c r="F1301">
        <v>64.5</v>
      </c>
      <c r="G1301" t="s">
        <v>1</v>
      </c>
    </row>
    <row r="1302" spans="1:7" x14ac:dyDescent="0.4">
      <c r="A1302" s="1">
        <v>45587</v>
      </c>
      <c r="B1302">
        <v>1</v>
      </c>
      <c r="C1302">
        <v>1.0904347830000001</v>
      </c>
      <c r="D1302" t="s">
        <v>8</v>
      </c>
      <c r="E1302">
        <v>61.22</v>
      </c>
      <c r="G1302" t="s">
        <v>1</v>
      </c>
    </row>
    <row r="1303" spans="1:7" x14ac:dyDescent="0.4">
      <c r="A1303" s="1">
        <v>45588</v>
      </c>
      <c r="B1303">
        <v>1</v>
      </c>
      <c r="C1303">
        <v>1.0904347830000001</v>
      </c>
      <c r="D1303" t="s">
        <v>8</v>
      </c>
      <c r="E1303">
        <v>63.75</v>
      </c>
      <c r="G1303" t="s">
        <v>1</v>
      </c>
    </row>
    <row r="1304" spans="1:7" x14ac:dyDescent="0.4">
      <c r="A1304" s="1">
        <v>45589</v>
      </c>
      <c r="B1304">
        <v>1</v>
      </c>
      <c r="C1304">
        <v>1.0904347830000001</v>
      </c>
      <c r="D1304" t="s">
        <v>8</v>
      </c>
      <c r="E1304">
        <v>64.599999999999994</v>
      </c>
      <c r="G1304" t="s">
        <v>1</v>
      </c>
    </row>
    <row r="1305" spans="1:7" x14ac:dyDescent="0.4">
      <c r="A1305" s="1">
        <v>45590</v>
      </c>
      <c r="B1305">
        <v>1</v>
      </c>
      <c r="C1305">
        <v>1.0904347830000001</v>
      </c>
      <c r="D1305" t="s">
        <v>8</v>
      </c>
      <c r="E1305">
        <v>66.319999999999993</v>
      </c>
      <c r="G1305" t="s">
        <v>1</v>
      </c>
    </row>
    <row r="1306" spans="1:7" x14ac:dyDescent="0.4">
      <c r="A1306" s="1">
        <v>45593</v>
      </c>
      <c r="B1306">
        <v>1</v>
      </c>
      <c r="C1306">
        <v>1.0904347830000001</v>
      </c>
      <c r="D1306" t="s">
        <v>8</v>
      </c>
      <c r="E1306">
        <v>64.38</v>
      </c>
      <c r="F1306">
        <v>65.52</v>
      </c>
      <c r="G1306" t="s">
        <v>1</v>
      </c>
    </row>
    <row r="1307" spans="1:7" x14ac:dyDescent="0.4">
      <c r="A1307" s="1">
        <v>45594</v>
      </c>
      <c r="B1307">
        <v>1</v>
      </c>
      <c r="C1307">
        <v>1.0904347830000001</v>
      </c>
      <c r="D1307" t="s">
        <v>8</v>
      </c>
      <c r="E1307">
        <v>66.42</v>
      </c>
      <c r="G1307" t="s">
        <v>1</v>
      </c>
    </row>
    <row r="1308" spans="1:7" x14ac:dyDescent="0.4">
      <c r="A1308" s="1">
        <v>45596</v>
      </c>
      <c r="B1308">
        <v>1</v>
      </c>
      <c r="C1308">
        <v>1.0904347830000001</v>
      </c>
      <c r="D1308" t="s">
        <v>8</v>
      </c>
      <c r="E1308">
        <v>64.78</v>
      </c>
      <c r="G1308" t="s">
        <v>1</v>
      </c>
    </row>
    <row r="1309" spans="1:7" x14ac:dyDescent="0.4">
      <c r="A1309" s="1">
        <v>45597</v>
      </c>
      <c r="B1309">
        <v>1</v>
      </c>
      <c r="C1309">
        <v>1.063014286</v>
      </c>
      <c r="D1309" t="s">
        <v>8</v>
      </c>
      <c r="E1309">
        <v>64.459999999999994</v>
      </c>
      <c r="G1309" t="s">
        <v>1</v>
      </c>
    </row>
    <row r="1310" spans="1:7" x14ac:dyDescent="0.4">
      <c r="A1310" s="1">
        <v>45600</v>
      </c>
      <c r="B1310">
        <v>1</v>
      </c>
      <c r="C1310">
        <v>1.063014286</v>
      </c>
      <c r="D1310" t="s">
        <v>8</v>
      </c>
      <c r="E1310">
        <v>64.680000000000007</v>
      </c>
      <c r="F1310">
        <v>65.47</v>
      </c>
      <c r="G1310" t="s">
        <v>1</v>
      </c>
    </row>
    <row r="1311" spans="1:7" x14ac:dyDescent="0.4">
      <c r="A1311" s="1">
        <v>45601</v>
      </c>
      <c r="B1311">
        <v>1</v>
      </c>
      <c r="C1311">
        <v>1.063014286</v>
      </c>
      <c r="D1311" t="s">
        <v>8</v>
      </c>
      <c r="E1311">
        <v>65.06</v>
      </c>
      <c r="G1311" t="s">
        <v>1</v>
      </c>
    </row>
    <row r="1312" spans="1:7" x14ac:dyDescent="0.4">
      <c r="A1312" s="1">
        <v>45602</v>
      </c>
      <c r="B1312">
        <v>1</v>
      </c>
      <c r="C1312">
        <v>1.063014286</v>
      </c>
      <c r="D1312" t="s">
        <v>8</v>
      </c>
      <c r="E1312">
        <v>62.94</v>
      </c>
      <c r="G1312" t="s">
        <v>1</v>
      </c>
    </row>
    <row r="1313" spans="1:7" x14ac:dyDescent="0.4">
      <c r="A1313" s="1">
        <v>45603</v>
      </c>
      <c r="B1313">
        <v>1</v>
      </c>
      <c r="C1313">
        <v>1.063014286</v>
      </c>
      <c r="D1313" t="s">
        <v>8</v>
      </c>
      <c r="E1313">
        <v>65.349999999999994</v>
      </c>
      <c r="G1313" t="s">
        <v>1</v>
      </c>
    </row>
    <row r="1314" spans="1:7" x14ac:dyDescent="0.4">
      <c r="A1314" s="1">
        <v>45604</v>
      </c>
      <c r="B1314">
        <v>1</v>
      </c>
      <c r="C1314">
        <v>1.063014286</v>
      </c>
      <c r="D1314" t="s">
        <v>8</v>
      </c>
      <c r="E1314">
        <v>66.2</v>
      </c>
      <c r="G1314" t="s">
        <v>1</v>
      </c>
    </row>
    <row r="1315" spans="1:7" x14ac:dyDescent="0.4">
      <c r="A1315" s="1">
        <v>45607</v>
      </c>
      <c r="B1315">
        <v>1</v>
      </c>
      <c r="C1315">
        <v>1.063014286</v>
      </c>
      <c r="D1315" t="s">
        <v>8</v>
      </c>
      <c r="E1315">
        <v>67.599999999999994</v>
      </c>
      <c r="F1315">
        <v>67.540000000000006</v>
      </c>
      <c r="G1315" t="s">
        <v>1</v>
      </c>
    </row>
    <row r="1316" spans="1:7" x14ac:dyDescent="0.4">
      <c r="A1316" s="1">
        <v>45608</v>
      </c>
      <c r="B1316">
        <v>1</v>
      </c>
      <c r="C1316">
        <v>1.063014286</v>
      </c>
      <c r="D1316" t="s">
        <v>8</v>
      </c>
      <c r="E1316">
        <v>65.92</v>
      </c>
      <c r="G1316" t="s">
        <v>1</v>
      </c>
    </row>
    <row r="1317" spans="1:7" x14ac:dyDescent="0.4">
      <c r="A1317" s="1">
        <v>45609</v>
      </c>
      <c r="B1317">
        <v>1</v>
      </c>
      <c r="C1317">
        <v>1.063014286</v>
      </c>
      <c r="D1317" t="s">
        <v>8</v>
      </c>
      <c r="E1317">
        <v>65.86</v>
      </c>
      <c r="G1317" t="s">
        <v>1</v>
      </c>
    </row>
    <row r="1318" spans="1:7" x14ac:dyDescent="0.4">
      <c r="A1318" s="1">
        <v>45610</v>
      </c>
      <c r="B1318">
        <v>1</v>
      </c>
      <c r="C1318">
        <v>1.063014286</v>
      </c>
      <c r="D1318" t="s">
        <v>8</v>
      </c>
      <c r="E1318">
        <v>67.150000000000006</v>
      </c>
      <c r="G1318" t="s">
        <v>1</v>
      </c>
    </row>
    <row r="1319" spans="1:7" x14ac:dyDescent="0.4">
      <c r="A1319" s="1">
        <v>45611</v>
      </c>
      <c r="B1319">
        <v>1</v>
      </c>
      <c r="C1319">
        <v>1.063014286</v>
      </c>
      <c r="D1319" t="s">
        <v>8</v>
      </c>
      <c r="E1319">
        <v>66.78</v>
      </c>
      <c r="G1319" t="s">
        <v>1</v>
      </c>
    </row>
    <row r="1320" spans="1:7" x14ac:dyDescent="0.4">
      <c r="A1320" s="1">
        <v>45614</v>
      </c>
      <c r="B1320">
        <v>1</v>
      </c>
      <c r="C1320">
        <v>1.063014286</v>
      </c>
      <c r="D1320" t="s">
        <v>8</v>
      </c>
      <c r="E1320">
        <v>67.7</v>
      </c>
      <c r="F1320">
        <v>69.06</v>
      </c>
      <c r="G1320" t="s">
        <v>1</v>
      </c>
    </row>
    <row r="1321" spans="1:7" x14ac:dyDescent="0.4">
      <c r="A1321" s="1">
        <v>45615</v>
      </c>
      <c r="B1321">
        <v>1</v>
      </c>
      <c r="C1321">
        <v>1.063014286</v>
      </c>
      <c r="D1321" t="s">
        <v>8</v>
      </c>
      <c r="E1321">
        <v>69.05</v>
      </c>
      <c r="G1321" t="s">
        <v>1</v>
      </c>
    </row>
    <row r="1322" spans="1:7" x14ac:dyDescent="0.4">
      <c r="A1322" s="1">
        <v>45616</v>
      </c>
      <c r="B1322">
        <v>1</v>
      </c>
      <c r="C1322">
        <v>1.063014286</v>
      </c>
      <c r="D1322" t="s">
        <v>8</v>
      </c>
      <c r="E1322">
        <v>68.02</v>
      </c>
      <c r="G1322" t="s">
        <v>1</v>
      </c>
    </row>
    <row r="1323" spans="1:7" x14ac:dyDescent="0.4">
      <c r="A1323" s="1">
        <v>45617</v>
      </c>
      <c r="B1323">
        <v>1</v>
      </c>
      <c r="C1323">
        <v>1.063014286</v>
      </c>
      <c r="D1323" t="s">
        <v>8</v>
      </c>
      <c r="E1323">
        <v>68.790000000000006</v>
      </c>
      <c r="G1323" t="s">
        <v>1</v>
      </c>
    </row>
    <row r="1324" spans="1:7" x14ac:dyDescent="0.4">
      <c r="A1324" s="1">
        <v>45618</v>
      </c>
      <c r="B1324">
        <v>1</v>
      </c>
      <c r="C1324">
        <v>1.063014286</v>
      </c>
      <c r="D1324" t="s">
        <v>8</v>
      </c>
      <c r="E1324">
        <v>69.709999999999994</v>
      </c>
      <c r="G1324" t="s">
        <v>1</v>
      </c>
    </row>
    <row r="1325" spans="1:7" x14ac:dyDescent="0.4">
      <c r="A1325" s="1">
        <v>45621</v>
      </c>
      <c r="B1325">
        <v>1</v>
      </c>
      <c r="C1325">
        <v>1.063014286</v>
      </c>
      <c r="D1325" t="s">
        <v>8</v>
      </c>
      <c r="E1325">
        <v>69.319999999999993</v>
      </c>
      <c r="F1325">
        <v>68.72</v>
      </c>
      <c r="G1325" t="s">
        <v>1</v>
      </c>
    </row>
    <row r="1326" spans="1:7" x14ac:dyDescent="0.4">
      <c r="A1326" s="1">
        <v>45622</v>
      </c>
      <c r="B1326">
        <v>1</v>
      </c>
      <c r="C1326">
        <v>1.063014286</v>
      </c>
      <c r="D1326" t="s">
        <v>8</v>
      </c>
      <c r="E1326">
        <v>69.37</v>
      </c>
      <c r="G1326" t="s">
        <v>1</v>
      </c>
    </row>
    <row r="1327" spans="1:7" x14ac:dyDescent="0.4">
      <c r="A1327" s="1">
        <v>45624</v>
      </c>
      <c r="B1327">
        <v>1</v>
      </c>
      <c r="C1327">
        <v>1.063014286</v>
      </c>
      <c r="D1327" t="s">
        <v>8</v>
      </c>
      <c r="E1327">
        <v>67.91</v>
      </c>
      <c r="G1327" t="s">
        <v>1</v>
      </c>
    </row>
    <row r="1328" spans="1:7" x14ac:dyDescent="0.4">
      <c r="A1328" s="1">
        <v>45625</v>
      </c>
      <c r="B1328">
        <v>1</v>
      </c>
      <c r="C1328">
        <v>1.063014286</v>
      </c>
      <c r="D1328" t="s">
        <v>8</v>
      </c>
      <c r="E1328">
        <v>67.3</v>
      </c>
      <c r="G1328" t="s">
        <v>1</v>
      </c>
    </row>
    <row r="1329" spans="1:7" x14ac:dyDescent="0.4">
      <c r="A1329" s="1">
        <v>45628</v>
      </c>
      <c r="B1329">
        <v>1</v>
      </c>
      <c r="C1329">
        <v>1.0478749999999999</v>
      </c>
      <c r="D1329" t="s">
        <v>8</v>
      </c>
      <c r="E1329">
        <v>69.400000000000006</v>
      </c>
      <c r="F1329">
        <v>68.17</v>
      </c>
      <c r="G1329" t="s">
        <v>1</v>
      </c>
    </row>
    <row r="1330" spans="1:7" x14ac:dyDescent="0.4">
      <c r="A1330" s="1">
        <v>45629</v>
      </c>
      <c r="B1330">
        <v>1</v>
      </c>
      <c r="C1330">
        <v>1.0478749999999999</v>
      </c>
      <c r="D1330" t="s">
        <v>8</v>
      </c>
      <c r="E1330">
        <v>68.12</v>
      </c>
      <c r="G1330" t="s">
        <v>1</v>
      </c>
    </row>
    <row r="1331" spans="1:7" x14ac:dyDescent="0.4">
      <c r="A1331" s="1">
        <v>45630</v>
      </c>
      <c r="B1331">
        <v>1</v>
      </c>
      <c r="C1331">
        <v>1.0478749999999999</v>
      </c>
      <c r="D1331" t="s">
        <v>8</v>
      </c>
      <c r="E1331">
        <v>67.42</v>
      </c>
      <c r="G1331" t="s">
        <v>1</v>
      </c>
    </row>
    <row r="1332" spans="1:7" x14ac:dyDescent="0.4">
      <c r="A1332" s="1">
        <v>45631</v>
      </c>
      <c r="B1332">
        <v>1</v>
      </c>
      <c r="C1332">
        <v>1.0478749999999999</v>
      </c>
      <c r="D1332" t="s">
        <v>8</v>
      </c>
      <c r="E1332">
        <v>67.62</v>
      </c>
      <c r="G1332" t="s">
        <v>1</v>
      </c>
    </row>
    <row r="1333" spans="1:7" x14ac:dyDescent="0.4">
      <c r="A1333" s="1">
        <v>45632</v>
      </c>
      <c r="B1333">
        <v>1</v>
      </c>
      <c r="C1333">
        <v>1.0478749999999999</v>
      </c>
      <c r="D1333" t="s">
        <v>8</v>
      </c>
      <c r="E1333">
        <v>67.25</v>
      </c>
      <c r="G1333" t="s">
        <v>1</v>
      </c>
    </row>
    <row r="1334" spans="1:7" x14ac:dyDescent="0.4">
      <c r="A1334" s="1">
        <v>45635</v>
      </c>
      <c r="B1334">
        <v>1</v>
      </c>
      <c r="C1334">
        <v>1.0478749999999999</v>
      </c>
      <c r="D1334" t="s">
        <v>8</v>
      </c>
      <c r="E1334">
        <v>67.7</v>
      </c>
      <c r="F1334">
        <v>66.739999999999995</v>
      </c>
      <c r="G1334" t="s">
        <v>1</v>
      </c>
    </row>
    <row r="1335" spans="1:7" x14ac:dyDescent="0.4">
      <c r="A1335" s="1">
        <v>45636</v>
      </c>
      <c r="B1335">
        <v>1</v>
      </c>
      <c r="C1335">
        <v>1.0478749999999999</v>
      </c>
      <c r="D1335" t="s">
        <v>8</v>
      </c>
      <c r="E1335">
        <v>67</v>
      </c>
      <c r="G1335" t="s">
        <v>1</v>
      </c>
    </row>
    <row r="1336" spans="1:7" x14ac:dyDescent="0.4">
      <c r="A1336" s="1">
        <v>45637</v>
      </c>
      <c r="B1336">
        <v>1</v>
      </c>
      <c r="C1336">
        <v>1.0478749999999999</v>
      </c>
      <c r="D1336" t="s">
        <v>8</v>
      </c>
      <c r="E1336">
        <v>69.17</v>
      </c>
      <c r="G1336" t="s">
        <v>1</v>
      </c>
    </row>
    <row r="1337" spans="1:7" x14ac:dyDescent="0.4">
      <c r="A1337" s="1">
        <v>45638</v>
      </c>
      <c r="B1337">
        <v>1</v>
      </c>
      <c r="C1337">
        <v>1.0478749999999999</v>
      </c>
      <c r="D1337" t="s">
        <v>8</v>
      </c>
      <c r="E1337">
        <v>67.95</v>
      </c>
      <c r="G1337" t="s">
        <v>1</v>
      </c>
    </row>
    <row r="1338" spans="1:7" x14ac:dyDescent="0.4">
      <c r="A1338" s="1">
        <v>45639</v>
      </c>
      <c r="B1338">
        <v>1</v>
      </c>
      <c r="C1338">
        <v>1.0478749999999999</v>
      </c>
      <c r="D1338" t="s">
        <v>8</v>
      </c>
      <c r="E1338">
        <v>66.069999999999993</v>
      </c>
      <c r="G1338" t="s">
        <v>1</v>
      </c>
    </row>
    <row r="1339" spans="1:7" x14ac:dyDescent="0.4">
      <c r="A1339" s="1">
        <v>45642</v>
      </c>
      <c r="B1339">
        <v>1</v>
      </c>
      <c r="C1339">
        <v>1.0478749999999999</v>
      </c>
      <c r="D1339" t="s">
        <v>8</v>
      </c>
      <c r="E1339">
        <v>63.64</v>
      </c>
      <c r="F1339">
        <v>63.32</v>
      </c>
      <c r="G1339" t="s">
        <v>1</v>
      </c>
    </row>
    <row r="1340" spans="1:7" x14ac:dyDescent="0.4">
      <c r="A1340" s="1">
        <v>45664</v>
      </c>
      <c r="B1340">
        <v>1</v>
      </c>
      <c r="C1340">
        <v>1.0353727269999999</v>
      </c>
      <c r="D1340" t="s">
        <v>8</v>
      </c>
      <c r="E1340">
        <v>71.02</v>
      </c>
      <c r="G1340" t="s">
        <v>1</v>
      </c>
    </row>
    <row r="1341" spans="1:7" x14ac:dyDescent="0.4">
      <c r="A1341" s="1">
        <v>45665</v>
      </c>
      <c r="B1341">
        <v>1</v>
      </c>
      <c r="C1341">
        <v>1.0353727269999999</v>
      </c>
      <c r="D1341" t="s">
        <v>8</v>
      </c>
      <c r="E1341">
        <v>71.5</v>
      </c>
      <c r="G1341" t="s">
        <v>1</v>
      </c>
    </row>
    <row r="1342" spans="1:7" x14ac:dyDescent="0.4">
      <c r="A1342" s="1">
        <v>45666</v>
      </c>
      <c r="B1342">
        <v>1</v>
      </c>
      <c r="C1342">
        <v>1.0353727269999999</v>
      </c>
      <c r="D1342" t="s">
        <v>8</v>
      </c>
      <c r="E1342">
        <v>70.010000000000005</v>
      </c>
      <c r="G1342" t="s">
        <v>1</v>
      </c>
    </row>
    <row r="1343" spans="1:7" x14ac:dyDescent="0.4">
      <c r="A1343" s="1">
        <v>45667</v>
      </c>
      <c r="B1343">
        <v>1</v>
      </c>
      <c r="C1343">
        <v>1.0353727269999999</v>
      </c>
      <c r="D1343" t="s">
        <v>8</v>
      </c>
      <c r="E1343">
        <v>70.63</v>
      </c>
      <c r="G1343" t="s">
        <v>1</v>
      </c>
    </row>
    <row r="1344" spans="1:7" x14ac:dyDescent="0.4">
      <c r="A1344" s="1">
        <v>45670</v>
      </c>
      <c r="B1344">
        <v>1</v>
      </c>
      <c r="C1344">
        <v>1.0353727269999999</v>
      </c>
      <c r="D1344" t="s">
        <v>8</v>
      </c>
      <c r="E1344">
        <v>74.400000000000006</v>
      </c>
      <c r="F1344">
        <v>77.89</v>
      </c>
      <c r="G1344" t="s">
        <v>1</v>
      </c>
    </row>
    <row r="1345" spans="1:7" x14ac:dyDescent="0.4">
      <c r="A1345" s="1">
        <v>45671</v>
      </c>
      <c r="B1345">
        <v>1</v>
      </c>
      <c r="C1345">
        <v>1.0353727269999999</v>
      </c>
      <c r="D1345" t="s">
        <v>8</v>
      </c>
      <c r="E1345">
        <v>74.45</v>
      </c>
      <c r="G1345" t="s">
        <v>1</v>
      </c>
    </row>
    <row r="1346" spans="1:7" x14ac:dyDescent="0.4">
      <c r="A1346" s="1">
        <v>45673</v>
      </c>
      <c r="B1346">
        <v>1</v>
      </c>
      <c r="C1346">
        <v>1.0353727269999999</v>
      </c>
      <c r="D1346" t="s">
        <v>8</v>
      </c>
      <c r="E1346">
        <v>75.7</v>
      </c>
      <c r="G1346" t="s">
        <v>1</v>
      </c>
    </row>
    <row r="1347" spans="1:7" x14ac:dyDescent="0.4">
      <c r="A1347" s="1">
        <v>45674</v>
      </c>
      <c r="B1347">
        <v>1</v>
      </c>
      <c r="C1347">
        <v>1.0353727269999999</v>
      </c>
      <c r="D1347" t="s">
        <v>8</v>
      </c>
      <c r="E1347">
        <v>77.3</v>
      </c>
      <c r="G1347" t="s">
        <v>1</v>
      </c>
    </row>
    <row r="1348" spans="1:7" x14ac:dyDescent="0.4">
      <c r="A1348" s="1">
        <v>45677</v>
      </c>
      <c r="B1348">
        <v>1</v>
      </c>
      <c r="C1348">
        <v>1.0353727269999999</v>
      </c>
      <c r="D1348" t="s">
        <v>8</v>
      </c>
      <c r="E1348">
        <v>76.400000000000006</v>
      </c>
      <c r="F1348">
        <v>80.33</v>
      </c>
      <c r="G1348" t="s">
        <v>1</v>
      </c>
    </row>
    <row r="1349" spans="1:7" x14ac:dyDescent="0.4">
      <c r="A1349" s="1">
        <v>45678</v>
      </c>
      <c r="B1349">
        <v>1</v>
      </c>
      <c r="C1349">
        <v>1.0353727269999999</v>
      </c>
      <c r="D1349" t="s">
        <v>8</v>
      </c>
      <c r="E1349">
        <v>77.3</v>
      </c>
      <c r="G1349" t="s">
        <v>1</v>
      </c>
    </row>
    <row r="1350" spans="1:7" x14ac:dyDescent="0.4">
      <c r="A1350" s="1">
        <v>45679</v>
      </c>
      <c r="B1350">
        <v>1</v>
      </c>
      <c r="C1350">
        <v>1.0353727269999999</v>
      </c>
      <c r="D1350" t="s">
        <v>8</v>
      </c>
      <c r="E1350">
        <v>76.709999999999994</v>
      </c>
      <c r="G1350" t="s">
        <v>1</v>
      </c>
    </row>
    <row r="1351" spans="1:7" x14ac:dyDescent="0.4">
      <c r="A1351" s="1">
        <v>45680</v>
      </c>
      <c r="B1351">
        <v>1</v>
      </c>
      <c r="C1351">
        <v>1.0353727269999999</v>
      </c>
      <c r="D1351" t="s">
        <v>8</v>
      </c>
      <c r="E1351">
        <v>79.06</v>
      </c>
      <c r="G1351" t="s">
        <v>1</v>
      </c>
    </row>
    <row r="1352" spans="1:7" x14ac:dyDescent="0.4">
      <c r="A1352" s="1">
        <v>45681</v>
      </c>
      <c r="B1352">
        <v>1</v>
      </c>
      <c r="C1352">
        <v>1.0353727269999999</v>
      </c>
      <c r="D1352" t="s">
        <v>8</v>
      </c>
      <c r="E1352">
        <v>78.430000000000007</v>
      </c>
      <c r="G1352" t="s">
        <v>1</v>
      </c>
    </row>
    <row r="1353" spans="1:7" x14ac:dyDescent="0.4">
      <c r="A1353" s="1">
        <v>45684</v>
      </c>
      <c r="B1353">
        <v>1</v>
      </c>
      <c r="C1353">
        <v>1.0353727269999999</v>
      </c>
      <c r="D1353" t="s">
        <v>8</v>
      </c>
      <c r="E1353">
        <v>77.7</v>
      </c>
      <c r="F1353">
        <v>81.83</v>
      </c>
      <c r="G1353" t="s">
        <v>1</v>
      </c>
    </row>
    <row r="1354" spans="1:7" x14ac:dyDescent="0.4">
      <c r="A1354" s="1">
        <v>45685</v>
      </c>
      <c r="B1354">
        <v>1</v>
      </c>
      <c r="C1354">
        <v>1.0353727269999999</v>
      </c>
      <c r="D1354" t="s">
        <v>8</v>
      </c>
      <c r="E1354">
        <v>77.06</v>
      </c>
      <c r="G1354" t="s">
        <v>1</v>
      </c>
    </row>
    <row r="1355" spans="1:7" x14ac:dyDescent="0.4">
      <c r="A1355" s="1">
        <v>45687</v>
      </c>
      <c r="B1355">
        <v>1</v>
      </c>
      <c r="C1355">
        <v>1.0353727269999999</v>
      </c>
      <c r="D1355" t="s">
        <v>8</v>
      </c>
      <c r="E1355">
        <v>81.569999999999993</v>
      </c>
      <c r="G1355" t="s">
        <v>1</v>
      </c>
    </row>
    <row r="1356" spans="1:7" x14ac:dyDescent="0.4">
      <c r="A1356" s="1">
        <v>45688</v>
      </c>
      <c r="B1356">
        <v>1</v>
      </c>
      <c r="C1356">
        <v>1.0353727269999999</v>
      </c>
      <c r="D1356" t="s">
        <v>8</v>
      </c>
      <c r="E1356">
        <v>81.11</v>
      </c>
      <c r="G1356" t="s">
        <v>1</v>
      </c>
    </row>
    <row r="1357" spans="1:7" x14ac:dyDescent="0.4">
      <c r="A1357" s="1">
        <v>45691</v>
      </c>
      <c r="B1357">
        <v>1</v>
      </c>
      <c r="C1357">
        <v>1.04125</v>
      </c>
      <c r="D1357" t="s">
        <v>8</v>
      </c>
      <c r="E1357">
        <v>80.39</v>
      </c>
      <c r="F1357">
        <v>81.430000000000007</v>
      </c>
      <c r="G1357" t="s">
        <v>1</v>
      </c>
    </row>
    <row r="1358" spans="1:7" x14ac:dyDescent="0.4">
      <c r="A1358" s="1">
        <v>45692</v>
      </c>
      <c r="B1358">
        <v>1</v>
      </c>
      <c r="C1358">
        <v>1.04125</v>
      </c>
      <c r="D1358" t="s">
        <v>8</v>
      </c>
      <c r="E1358">
        <v>79.06</v>
      </c>
      <c r="G1358" t="s">
        <v>1</v>
      </c>
    </row>
    <row r="1359" spans="1:7" x14ac:dyDescent="0.4">
      <c r="A1359" s="1">
        <v>45693</v>
      </c>
      <c r="B1359">
        <v>1</v>
      </c>
      <c r="C1359">
        <v>1.04125</v>
      </c>
      <c r="D1359" t="s">
        <v>8</v>
      </c>
      <c r="E1359">
        <v>77.87</v>
      </c>
      <c r="G1359" t="s">
        <v>1</v>
      </c>
    </row>
    <row r="1360" spans="1:7" x14ac:dyDescent="0.4">
      <c r="A1360" s="1">
        <v>45694</v>
      </c>
      <c r="B1360">
        <v>1</v>
      </c>
      <c r="C1360">
        <v>1.04125</v>
      </c>
      <c r="D1360" t="s">
        <v>8</v>
      </c>
      <c r="E1360">
        <v>79.75</v>
      </c>
      <c r="G1360" t="s">
        <v>1</v>
      </c>
    </row>
    <row r="1361" spans="1:7" x14ac:dyDescent="0.4">
      <c r="A1361" s="1">
        <v>45695</v>
      </c>
      <c r="B1361">
        <v>1</v>
      </c>
      <c r="C1361">
        <v>1.04125</v>
      </c>
      <c r="D1361" t="s">
        <v>8</v>
      </c>
      <c r="E1361">
        <v>80.709999999999994</v>
      </c>
      <c r="G1361" t="s">
        <v>1</v>
      </c>
    </row>
    <row r="1362" spans="1:7" x14ac:dyDescent="0.4">
      <c r="A1362" s="1">
        <v>45698</v>
      </c>
      <c r="B1362">
        <v>1</v>
      </c>
      <c r="C1362">
        <v>1.04125</v>
      </c>
      <c r="D1362" t="s">
        <v>8</v>
      </c>
      <c r="E1362">
        <v>81.27</v>
      </c>
      <c r="F1362">
        <v>80.72</v>
      </c>
      <c r="G1362" t="s">
        <v>1</v>
      </c>
    </row>
    <row r="1363" spans="1:7" x14ac:dyDescent="0.4">
      <c r="A1363" s="1">
        <v>45699</v>
      </c>
      <c r="B1363">
        <v>1</v>
      </c>
      <c r="C1363">
        <v>1.04125</v>
      </c>
      <c r="D1363" t="s">
        <v>8</v>
      </c>
      <c r="E1363">
        <v>80.08</v>
      </c>
      <c r="G1363" t="s">
        <v>1</v>
      </c>
    </row>
    <row r="1364" spans="1:7" x14ac:dyDescent="0.4">
      <c r="A1364" s="1">
        <v>45701</v>
      </c>
      <c r="B1364">
        <v>1</v>
      </c>
      <c r="C1364">
        <v>1.04125</v>
      </c>
      <c r="D1364" t="s">
        <v>8</v>
      </c>
      <c r="E1364">
        <v>76.77</v>
      </c>
      <c r="G1364" t="s">
        <v>1</v>
      </c>
    </row>
    <row r="1365" spans="1:7" x14ac:dyDescent="0.4">
      <c r="A1365" s="1">
        <v>45702</v>
      </c>
      <c r="B1365">
        <v>1</v>
      </c>
      <c r="C1365">
        <v>1.04125</v>
      </c>
      <c r="D1365" t="s">
        <v>8</v>
      </c>
      <c r="E1365">
        <v>75.84</v>
      </c>
      <c r="G1365" t="s">
        <v>1</v>
      </c>
    </row>
    <row r="1366" spans="1:7" x14ac:dyDescent="0.4">
      <c r="A1366" s="1">
        <v>45705</v>
      </c>
      <c r="B1366">
        <v>1</v>
      </c>
      <c r="C1366">
        <v>1.04125</v>
      </c>
      <c r="D1366" t="s">
        <v>8</v>
      </c>
      <c r="E1366">
        <v>77.02</v>
      </c>
      <c r="F1366">
        <v>74.709999999999994</v>
      </c>
      <c r="G1366" t="s">
        <v>1</v>
      </c>
    </row>
    <row r="1367" spans="1:7" x14ac:dyDescent="0.4">
      <c r="A1367" s="1">
        <v>45706</v>
      </c>
      <c r="B1367">
        <v>1</v>
      </c>
      <c r="C1367">
        <v>1.04125</v>
      </c>
      <c r="D1367" t="s">
        <v>8</v>
      </c>
      <c r="E1367">
        <v>74.53</v>
      </c>
      <c r="G1367" t="s">
        <v>1</v>
      </c>
    </row>
    <row r="1368" spans="1:7" x14ac:dyDescent="0.4">
      <c r="A1368" s="1">
        <v>45707</v>
      </c>
      <c r="B1368">
        <v>1</v>
      </c>
      <c r="C1368">
        <v>1.04125</v>
      </c>
      <c r="D1368" t="s">
        <v>8</v>
      </c>
      <c r="E1368">
        <v>72.900000000000006</v>
      </c>
      <c r="G1368" t="s">
        <v>1</v>
      </c>
    </row>
    <row r="1369" spans="1:7" x14ac:dyDescent="0.4">
      <c r="A1369" s="1">
        <v>45708</v>
      </c>
      <c r="B1369">
        <v>1</v>
      </c>
      <c r="C1369">
        <v>1.04125</v>
      </c>
      <c r="D1369" t="s">
        <v>8</v>
      </c>
      <c r="E1369">
        <v>71.209999999999994</v>
      </c>
      <c r="G1369" t="s">
        <v>1</v>
      </c>
    </row>
    <row r="1370" spans="1:7" x14ac:dyDescent="0.4">
      <c r="A1370" s="1">
        <v>45709</v>
      </c>
      <c r="B1370">
        <v>1</v>
      </c>
      <c r="C1370">
        <v>1.04125</v>
      </c>
      <c r="D1370" t="s">
        <v>8</v>
      </c>
      <c r="E1370">
        <v>73.010000000000005</v>
      </c>
      <c r="G1370" t="s">
        <v>1</v>
      </c>
    </row>
    <row r="1371" spans="1:7" x14ac:dyDescent="0.4">
      <c r="A1371" s="1">
        <v>45712</v>
      </c>
      <c r="B1371">
        <v>1</v>
      </c>
      <c r="C1371">
        <v>1.04125</v>
      </c>
      <c r="D1371" t="s">
        <v>8</v>
      </c>
      <c r="E1371">
        <v>70.8</v>
      </c>
      <c r="F1371">
        <v>72.040000000000006</v>
      </c>
      <c r="G1371" t="s">
        <v>1</v>
      </c>
    </row>
    <row r="1372" spans="1:7" x14ac:dyDescent="0.4">
      <c r="A1372" s="1">
        <v>45713</v>
      </c>
      <c r="B1372">
        <v>1</v>
      </c>
      <c r="C1372">
        <v>1.04125</v>
      </c>
      <c r="D1372" t="s">
        <v>8</v>
      </c>
      <c r="E1372">
        <v>71.150000000000006</v>
      </c>
      <c r="G1372" t="s">
        <v>1</v>
      </c>
    </row>
    <row r="1373" spans="1:7" x14ac:dyDescent="0.4">
      <c r="A1373" s="1">
        <v>45715</v>
      </c>
      <c r="B1373">
        <v>1</v>
      </c>
      <c r="C1373">
        <v>1.04125</v>
      </c>
      <c r="D1373" t="s">
        <v>8</v>
      </c>
      <c r="E1373">
        <v>69.959999999999994</v>
      </c>
      <c r="G1373" t="s">
        <v>1</v>
      </c>
    </row>
    <row r="1374" spans="1:7" x14ac:dyDescent="0.4">
      <c r="A1374" s="1">
        <v>45716</v>
      </c>
      <c r="B1374">
        <v>1</v>
      </c>
      <c r="C1374">
        <v>1.04125</v>
      </c>
      <c r="D1374" t="s">
        <v>8</v>
      </c>
      <c r="E1374">
        <v>70.650000000000006</v>
      </c>
      <c r="G1374" t="s">
        <v>1</v>
      </c>
    </row>
    <row r="1375" spans="1:7" x14ac:dyDescent="0.4">
      <c r="A1375" s="1">
        <v>45719</v>
      </c>
      <c r="B1375">
        <v>1</v>
      </c>
      <c r="C1375">
        <v>1.080680952</v>
      </c>
      <c r="D1375" t="s">
        <v>8</v>
      </c>
      <c r="E1375">
        <v>70.31</v>
      </c>
      <c r="F1375">
        <v>68.959999999999994</v>
      </c>
      <c r="G1375" t="s">
        <v>1</v>
      </c>
    </row>
    <row r="1376" spans="1:7" x14ac:dyDescent="0.4">
      <c r="A1376" s="1">
        <v>45720</v>
      </c>
      <c r="B1376">
        <v>1</v>
      </c>
      <c r="C1376">
        <v>1.080680952</v>
      </c>
      <c r="D1376" t="s">
        <v>8</v>
      </c>
      <c r="E1376">
        <v>68.099999999999994</v>
      </c>
      <c r="G1376" t="s">
        <v>1</v>
      </c>
    </row>
    <row r="1377" spans="1:7" x14ac:dyDescent="0.4">
      <c r="A1377" s="1">
        <v>45721</v>
      </c>
      <c r="B1377">
        <v>1</v>
      </c>
      <c r="C1377">
        <v>1.080680952</v>
      </c>
      <c r="D1377" t="s">
        <v>8</v>
      </c>
      <c r="E1377">
        <v>67.989999999999995</v>
      </c>
      <c r="G1377" t="s">
        <v>1</v>
      </c>
    </row>
    <row r="1378" spans="1:7" x14ac:dyDescent="0.4">
      <c r="A1378" s="1">
        <v>45722</v>
      </c>
      <c r="B1378">
        <v>1</v>
      </c>
      <c r="C1378">
        <v>1.080680952</v>
      </c>
      <c r="D1378" t="s">
        <v>8</v>
      </c>
      <c r="E1378">
        <v>66.58</v>
      </c>
      <c r="G1378" t="s">
        <v>1</v>
      </c>
    </row>
    <row r="1379" spans="1:7" x14ac:dyDescent="0.4">
      <c r="A1379" s="1">
        <v>45723</v>
      </c>
      <c r="B1379">
        <v>1</v>
      </c>
      <c r="C1379">
        <v>1.080680952</v>
      </c>
      <c r="D1379" t="s">
        <v>8</v>
      </c>
      <c r="E1379">
        <v>67.77</v>
      </c>
      <c r="G1379" t="s">
        <v>1</v>
      </c>
    </row>
    <row r="1380" spans="1:7" x14ac:dyDescent="0.4">
      <c r="A1380" s="1">
        <v>45726</v>
      </c>
      <c r="B1380">
        <v>1</v>
      </c>
      <c r="C1380">
        <v>1.080680952</v>
      </c>
      <c r="D1380" t="s">
        <v>8</v>
      </c>
      <c r="E1380">
        <v>68.180000000000007</v>
      </c>
      <c r="F1380">
        <v>69.69</v>
      </c>
      <c r="G1380" t="s">
        <v>1</v>
      </c>
    </row>
    <row r="1381" spans="1:7" x14ac:dyDescent="0.4">
      <c r="A1381" s="1">
        <v>45727</v>
      </c>
      <c r="B1381">
        <v>1</v>
      </c>
      <c r="C1381">
        <v>1.080680952</v>
      </c>
      <c r="D1381" t="s">
        <v>8</v>
      </c>
      <c r="E1381">
        <v>67.02</v>
      </c>
      <c r="G1381" t="s">
        <v>1</v>
      </c>
    </row>
    <row r="1382" spans="1:7" x14ac:dyDescent="0.4">
      <c r="A1382" s="1">
        <v>45729</v>
      </c>
      <c r="B1382">
        <v>1</v>
      </c>
      <c r="C1382">
        <v>1.080680952</v>
      </c>
      <c r="D1382" t="s">
        <v>8</v>
      </c>
      <c r="E1382">
        <v>68.2</v>
      </c>
      <c r="G1382" t="s">
        <v>1</v>
      </c>
    </row>
    <row r="1383" spans="1:7" x14ac:dyDescent="0.4">
      <c r="A1383" s="1">
        <v>45730</v>
      </c>
      <c r="B1383">
        <v>1</v>
      </c>
      <c r="C1383">
        <v>1.080680952</v>
      </c>
      <c r="D1383" t="s">
        <v>8</v>
      </c>
      <c r="E1383">
        <v>68.650000000000006</v>
      </c>
      <c r="G1383" t="s">
        <v>1</v>
      </c>
    </row>
    <row r="1384" spans="1:7" x14ac:dyDescent="0.4">
      <c r="A1384" s="1">
        <v>45733</v>
      </c>
      <c r="B1384">
        <v>1</v>
      </c>
      <c r="C1384">
        <v>1.080680952</v>
      </c>
      <c r="D1384" t="s">
        <v>8</v>
      </c>
      <c r="E1384">
        <v>68.53</v>
      </c>
      <c r="F1384">
        <v>71.86</v>
      </c>
      <c r="G1384" t="s">
        <v>1</v>
      </c>
    </row>
    <row r="1385" spans="1:7" x14ac:dyDescent="0.4">
      <c r="A1385" s="1">
        <v>45734</v>
      </c>
      <c r="B1385">
        <v>1</v>
      </c>
      <c r="C1385">
        <v>1.080680952</v>
      </c>
      <c r="D1385" t="s">
        <v>8</v>
      </c>
      <c r="E1385">
        <v>68.66</v>
      </c>
      <c r="G1385" t="s">
        <v>1</v>
      </c>
    </row>
    <row r="1386" spans="1:7" x14ac:dyDescent="0.4">
      <c r="A1386" s="1">
        <v>45735</v>
      </c>
      <c r="B1386">
        <v>1</v>
      </c>
      <c r="C1386">
        <v>1.080680952</v>
      </c>
      <c r="D1386" t="s">
        <v>8</v>
      </c>
      <c r="E1386">
        <v>71.349999999999994</v>
      </c>
      <c r="G1386" t="s">
        <v>1</v>
      </c>
    </row>
    <row r="1387" spans="1:7" x14ac:dyDescent="0.4">
      <c r="A1387" s="1">
        <v>45736</v>
      </c>
      <c r="B1387">
        <v>1</v>
      </c>
      <c r="C1387">
        <v>1.080680952</v>
      </c>
      <c r="D1387" t="s">
        <v>8</v>
      </c>
      <c r="E1387">
        <v>71.540000000000006</v>
      </c>
      <c r="G1387" t="s">
        <v>1</v>
      </c>
    </row>
    <row r="1388" spans="1:7" x14ac:dyDescent="0.4">
      <c r="A1388" s="1">
        <v>45737</v>
      </c>
      <c r="B1388">
        <v>1</v>
      </c>
      <c r="C1388">
        <v>1.080680952</v>
      </c>
      <c r="D1388" t="s">
        <v>8</v>
      </c>
      <c r="E1388">
        <v>71.56</v>
      </c>
      <c r="G1388" t="s">
        <v>1</v>
      </c>
    </row>
    <row r="1389" spans="1:7" x14ac:dyDescent="0.4">
      <c r="A1389" s="1">
        <v>45740</v>
      </c>
      <c r="B1389">
        <v>1</v>
      </c>
      <c r="C1389">
        <v>1.080680952</v>
      </c>
      <c r="D1389" t="s">
        <v>8</v>
      </c>
      <c r="E1389">
        <v>69.849999999999994</v>
      </c>
      <c r="F1389">
        <v>70.03</v>
      </c>
      <c r="G1389" t="s">
        <v>1</v>
      </c>
    </row>
    <row r="1390" spans="1:7" x14ac:dyDescent="0.4">
      <c r="A1390" s="1">
        <v>45741</v>
      </c>
      <c r="B1390">
        <v>1</v>
      </c>
      <c r="C1390">
        <v>1.080680952</v>
      </c>
      <c r="D1390" t="s">
        <v>8</v>
      </c>
      <c r="E1390">
        <v>69.61</v>
      </c>
      <c r="G1390" t="s">
        <v>1</v>
      </c>
    </row>
    <row r="1391" spans="1:7" x14ac:dyDescent="0.4">
      <c r="A1391" s="1">
        <v>45743</v>
      </c>
      <c r="B1391">
        <v>1</v>
      </c>
      <c r="C1391">
        <v>1.080680952</v>
      </c>
      <c r="D1391" t="s">
        <v>8</v>
      </c>
      <c r="E1391">
        <v>68.41</v>
      </c>
      <c r="G1391" t="s">
        <v>1</v>
      </c>
    </row>
    <row r="1392" spans="1:7" x14ac:dyDescent="0.4">
      <c r="A1392" s="1">
        <v>45744</v>
      </c>
      <c r="B1392">
        <v>1</v>
      </c>
      <c r="C1392">
        <v>1.080680952</v>
      </c>
      <c r="D1392" t="s">
        <v>8</v>
      </c>
      <c r="E1392">
        <v>67.36</v>
      </c>
      <c r="G1392" t="s">
        <v>1</v>
      </c>
    </row>
    <row r="1393" spans="1:7" x14ac:dyDescent="0.4">
      <c r="A1393" s="1">
        <v>45747</v>
      </c>
      <c r="B1393">
        <v>1</v>
      </c>
      <c r="C1393">
        <v>1.080680952</v>
      </c>
      <c r="D1393" t="s">
        <v>8</v>
      </c>
      <c r="E1393">
        <v>66.8</v>
      </c>
      <c r="F1393">
        <v>67.25</v>
      </c>
      <c r="G1393" t="s">
        <v>1</v>
      </c>
    </row>
    <row r="1394" spans="1:7" x14ac:dyDescent="0.4">
      <c r="A1394" s="1">
        <v>45748</v>
      </c>
      <c r="B1394">
        <v>1</v>
      </c>
      <c r="C1394">
        <v>1.1213949999999999</v>
      </c>
      <c r="D1394" t="s">
        <v>8</v>
      </c>
      <c r="E1394">
        <v>66.709999999999994</v>
      </c>
      <c r="G1394" t="s">
        <v>1</v>
      </c>
    </row>
    <row r="1395" spans="1:7" x14ac:dyDescent="0.4">
      <c r="A1395" s="1">
        <v>45749</v>
      </c>
      <c r="B1395">
        <v>1</v>
      </c>
      <c r="C1395">
        <v>1.1213949999999999</v>
      </c>
      <c r="D1395" t="s">
        <v>8</v>
      </c>
      <c r="E1395">
        <v>68.62</v>
      </c>
      <c r="G1395" t="s">
        <v>1</v>
      </c>
    </row>
    <row r="1396" spans="1:7" x14ac:dyDescent="0.4">
      <c r="A1396" s="1">
        <v>45750</v>
      </c>
      <c r="B1396">
        <v>1</v>
      </c>
      <c r="C1396">
        <v>1.1213949999999999</v>
      </c>
      <c r="D1396" t="s">
        <v>8</v>
      </c>
      <c r="E1396">
        <v>65.75</v>
      </c>
      <c r="G1396" t="s">
        <v>1</v>
      </c>
    </row>
    <row r="1397" spans="1:7" x14ac:dyDescent="0.4">
      <c r="A1397" s="1">
        <v>45751</v>
      </c>
      <c r="B1397">
        <v>1</v>
      </c>
      <c r="C1397">
        <v>1.1213949999999999</v>
      </c>
      <c r="D1397" t="s">
        <v>8</v>
      </c>
      <c r="E1397">
        <v>63.8</v>
      </c>
      <c r="G1397" t="s">
        <v>1</v>
      </c>
    </row>
    <row r="1398" spans="1:7" x14ac:dyDescent="0.4">
      <c r="A1398" s="1">
        <v>45754</v>
      </c>
      <c r="B1398">
        <v>1</v>
      </c>
      <c r="C1398">
        <v>1.1213949999999999</v>
      </c>
      <c r="D1398" t="s">
        <v>8</v>
      </c>
      <c r="E1398">
        <v>59.76</v>
      </c>
      <c r="F1398">
        <v>62.56</v>
      </c>
      <c r="G1398" t="s">
        <v>1</v>
      </c>
    </row>
    <row r="1399" spans="1:7" x14ac:dyDescent="0.4">
      <c r="A1399" s="1">
        <v>45755</v>
      </c>
      <c r="B1399">
        <v>1</v>
      </c>
      <c r="C1399">
        <v>1.1213949999999999</v>
      </c>
      <c r="D1399" t="s">
        <v>8</v>
      </c>
      <c r="E1399">
        <v>60.35</v>
      </c>
      <c r="G1399" t="s">
        <v>1</v>
      </c>
    </row>
    <row r="1400" spans="1:7" x14ac:dyDescent="0.4">
      <c r="A1400" s="1">
        <v>45757</v>
      </c>
      <c r="B1400">
        <v>1</v>
      </c>
      <c r="C1400">
        <v>1.1213949999999999</v>
      </c>
      <c r="D1400" t="s">
        <v>8</v>
      </c>
      <c r="E1400">
        <v>62.08</v>
      </c>
      <c r="G1400" t="s">
        <v>1</v>
      </c>
    </row>
    <row r="1401" spans="1:7" x14ac:dyDescent="0.4">
      <c r="A1401" s="1">
        <v>45656</v>
      </c>
      <c r="B1401">
        <v>1</v>
      </c>
      <c r="C1401">
        <v>1.0478749999999999</v>
      </c>
      <c r="D1401" t="s">
        <v>8</v>
      </c>
      <c r="F1401">
        <v>75.56</v>
      </c>
      <c r="G1401" t="s">
        <v>1</v>
      </c>
    </row>
    <row r="1402" spans="1:7" x14ac:dyDescent="0.4">
      <c r="A1402" s="1">
        <v>45758</v>
      </c>
      <c r="B1402">
        <v>1</v>
      </c>
      <c r="C1402">
        <v>1.1213949999999999</v>
      </c>
      <c r="D1402" t="s">
        <v>8</v>
      </c>
      <c r="E1402">
        <v>61.01</v>
      </c>
      <c r="G1402" t="s">
        <v>1</v>
      </c>
    </row>
    <row r="1403" spans="1:7" x14ac:dyDescent="0.4">
      <c r="A1403" s="1">
        <v>45761</v>
      </c>
      <c r="B1403">
        <v>1</v>
      </c>
      <c r="C1403">
        <v>1.1213949999999999</v>
      </c>
      <c r="D1403" t="s">
        <v>8</v>
      </c>
      <c r="E1403">
        <v>64.599999999999994</v>
      </c>
      <c r="F1403">
        <v>66.39</v>
      </c>
      <c r="G1403" t="s">
        <v>1</v>
      </c>
    </row>
    <row r="1404" spans="1:7" x14ac:dyDescent="0.4">
      <c r="A1404" s="1">
        <v>45762</v>
      </c>
      <c r="B1404">
        <v>1</v>
      </c>
      <c r="C1404">
        <v>1.1213949999999999</v>
      </c>
      <c r="D1404" t="s">
        <v>8</v>
      </c>
      <c r="E1404">
        <v>66.209999999999994</v>
      </c>
      <c r="G1404" t="s">
        <v>1</v>
      </c>
    </row>
    <row r="1405" spans="1:7" x14ac:dyDescent="0.4">
      <c r="A1405" s="1">
        <v>45763</v>
      </c>
      <c r="B1405">
        <v>1</v>
      </c>
      <c r="C1405">
        <v>1.1213949999999999</v>
      </c>
      <c r="D1405" t="s">
        <v>8</v>
      </c>
      <c r="E1405">
        <v>65.98</v>
      </c>
      <c r="G1405" t="s">
        <v>1</v>
      </c>
    </row>
    <row r="1406" spans="1:7" x14ac:dyDescent="0.4">
      <c r="A1406" s="1">
        <v>45764</v>
      </c>
      <c r="B1406">
        <v>1</v>
      </c>
      <c r="C1406">
        <v>1.1213949999999999</v>
      </c>
      <c r="D1406" t="s">
        <v>8</v>
      </c>
      <c r="E1406">
        <v>65.06</v>
      </c>
      <c r="G1406" t="s">
        <v>1</v>
      </c>
    </row>
    <row r="1407" spans="1:7" x14ac:dyDescent="0.4">
      <c r="A1407" s="1">
        <v>45769</v>
      </c>
      <c r="B1407">
        <v>1</v>
      </c>
      <c r="C1407">
        <v>1.1213949999999999</v>
      </c>
      <c r="D1407" t="s">
        <v>8</v>
      </c>
      <c r="E1407">
        <v>63.3</v>
      </c>
      <c r="G1407" t="s">
        <v>1</v>
      </c>
    </row>
    <row r="1408" spans="1:7" x14ac:dyDescent="0.4">
      <c r="A1408" s="1">
        <v>45771</v>
      </c>
      <c r="B1408">
        <v>1</v>
      </c>
      <c r="C1408">
        <v>1.1213949999999999</v>
      </c>
      <c r="D1408" t="s">
        <v>8</v>
      </c>
      <c r="E1408">
        <v>63.93</v>
      </c>
      <c r="G1408" t="s">
        <v>1</v>
      </c>
    </row>
    <row r="1409" spans="1:7" x14ac:dyDescent="0.4">
      <c r="A1409" s="1">
        <v>45772</v>
      </c>
      <c r="B1409">
        <v>1</v>
      </c>
      <c r="C1409">
        <v>1.1213949999999999</v>
      </c>
      <c r="D1409" t="s">
        <v>8</v>
      </c>
      <c r="E1409">
        <v>65.89</v>
      </c>
      <c r="G1409" t="s">
        <v>1</v>
      </c>
    </row>
    <row r="1410" spans="1:7" x14ac:dyDescent="0.4">
      <c r="A1410" s="1">
        <v>45775</v>
      </c>
      <c r="B1410">
        <v>1</v>
      </c>
      <c r="C1410">
        <v>1.1213949999999999</v>
      </c>
      <c r="D1410" t="s">
        <v>8</v>
      </c>
      <c r="E1410">
        <v>64.2</v>
      </c>
      <c r="F1410">
        <v>66.5</v>
      </c>
      <c r="G1410" t="s">
        <v>1</v>
      </c>
    </row>
    <row r="1411" spans="1:7" x14ac:dyDescent="0.4">
      <c r="A1411" s="1">
        <v>45776</v>
      </c>
      <c r="B1411">
        <v>1</v>
      </c>
      <c r="C1411">
        <v>1.1213949999999999</v>
      </c>
      <c r="D1411" t="s">
        <v>8</v>
      </c>
      <c r="E1411">
        <v>63.55</v>
      </c>
      <c r="G1411" t="s">
        <v>1</v>
      </c>
    </row>
    <row r="1412" spans="1:7" x14ac:dyDescent="0.4">
      <c r="A1412" s="1">
        <v>45777</v>
      </c>
      <c r="B1412">
        <v>1</v>
      </c>
      <c r="C1412">
        <v>1.1213949999999999</v>
      </c>
      <c r="D1412" t="s">
        <v>8</v>
      </c>
      <c r="E1412">
        <v>65.05</v>
      </c>
      <c r="G1412" t="s">
        <v>1</v>
      </c>
    </row>
    <row r="1413" spans="1:7" x14ac:dyDescent="0.4">
      <c r="A1413" s="1">
        <v>45782</v>
      </c>
      <c r="B1413">
        <v>1</v>
      </c>
      <c r="C1413">
        <v>1.127804762</v>
      </c>
      <c r="D1413" t="s">
        <v>8</v>
      </c>
      <c r="E1413">
        <v>66.64</v>
      </c>
      <c r="F1413">
        <v>69.78</v>
      </c>
      <c r="G1413" t="s">
        <v>1</v>
      </c>
    </row>
    <row r="1414" spans="1:7" x14ac:dyDescent="0.4">
      <c r="A1414" s="1">
        <v>45783</v>
      </c>
      <c r="B1414">
        <v>1</v>
      </c>
      <c r="C1414">
        <v>1.127804762</v>
      </c>
      <c r="D1414" t="s">
        <v>8</v>
      </c>
      <c r="E1414">
        <v>67.88</v>
      </c>
      <c r="G1414" t="s">
        <v>1</v>
      </c>
    </row>
    <row r="1415" spans="1:7" x14ac:dyDescent="0.4">
      <c r="A1415" s="1">
        <v>45785</v>
      </c>
      <c r="B1415">
        <v>1</v>
      </c>
      <c r="C1415">
        <v>1.127804762</v>
      </c>
      <c r="D1415" t="s">
        <v>8</v>
      </c>
      <c r="E1415">
        <v>70.3</v>
      </c>
      <c r="G1415" t="s">
        <v>1</v>
      </c>
    </row>
    <row r="1416" spans="1:7" x14ac:dyDescent="0.4">
      <c r="A1416" s="1">
        <v>45786</v>
      </c>
      <c r="B1416">
        <v>1</v>
      </c>
      <c r="C1416">
        <v>1.127804762</v>
      </c>
      <c r="D1416" t="s">
        <v>8</v>
      </c>
      <c r="E1416">
        <v>70.2</v>
      </c>
      <c r="G1416" t="s">
        <v>1</v>
      </c>
    </row>
    <row r="1417" spans="1:7" x14ac:dyDescent="0.4">
      <c r="A1417" s="1">
        <v>45789</v>
      </c>
      <c r="B1417">
        <v>1</v>
      </c>
      <c r="C1417">
        <v>1.127804762</v>
      </c>
      <c r="D1417" t="s">
        <v>8</v>
      </c>
      <c r="E1417">
        <v>71.010000000000005</v>
      </c>
      <c r="F1417">
        <v>72.61</v>
      </c>
      <c r="G1417" t="s">
        <v>1</v>
      </c>
    </row>
    <row r="1418" spans="1:7" x14ac:dyDescent="0.4">
      <c r="A1418" s="1">
        <v>45790</v>
      </c>
      <c r="B1418">
        <v>1</v>
      </c>
      <c r="C1418">
        <v>1.127804762</v>
      </c>
      <c r="D1418" t="s">
        <v>8</v>
      </c>
      <c r="E1418">
        <v>71.69</v>
      </c>
      <c r="G1418" t="s">
        <v>1</v>
      </c>
    </row>
    <row r="1419" spans="1:7" x14ac:dyDescent="0.4">
      <c r="A1419" s="1">
        <v>45791</v>
      </c>
      <c r="B1419">
        <v>1</v>
      </c>
      <c r="C1419">
        <v>1.127804762</v>
      </c>
      <c r="D1419" t="s">
        <v>8</v>
      </c>
      <c r="E1419">
        <v>71.849999999999994</v>
      </c>
      <c r="G1419" t="s">
        <v>1</v>
      </c>
    </row>
    <row r="1420" spans="1:7" x14ac:dyDescent="0.4">
      <c r="A1420" s="1">
        <v>45792</v>
      </c>
      <c r="B1420">
        <v>1</v>
      </c>
      <c r="C1420">
        <v>1.127804762</v>
      </c>
      <c r="D1420" t="s">
        <v>8</v>
      </c>
      <c r="E1420">
        <v>70.11</v>
      </c>
      <c r="G1420" t="s">
        <v>1</v>
      </c>
    </row>
    <row r="1421" spans="1:7" x14ac:dyDescent="0.4">
      <c r="A1421" s="1">
        <v>45793</v>
      </c>
      <c r="B1421">
        <v>1</v>
      </c>
      <c r="C1421">
        <v>1.127804762</v>
      </c>
      <c r="D1421" t="s">
        <v>8</v>
      </c>
      <c r="E1421">
        <v>72.94</v>
      </c>
      <c r="G1421" t="s">
        <v>1</v>
      </c>
    </row>
    <row r="1422" spans="1:7" x14ac:dyDescent="0.4">
      <c r="A1422" s="1">
        <v>45796</v>
      </c>
      <c r="B1422">
        <v>1</v>
      </c>
      <c r="C1422">
        <v>1.127804762</v>
      </c>
      <c r="D1422" t="s">
        <v>8</v>
      </c>
      <c r="E1422">
        <v>69.44</v>
      </c>
      <c r="F1422">
        <v>72.010000000000005</v>
      </c>
      <c r="G1422" t="s">
        <v>1</v>
      </c>
    </row>
    <row r="1423" spans="1:7" x14ac:dyDescent="0.4">
      <c r="A1423" s="1">
        <v>45797</v>
      </c>
      <c r="B1423">
        <v>1</v>
      </c>
      <c r="C1423">
        <v>1.127804762</v>
      </c>
      <c r="D1423" t="s">
        <v>8</v>
      </c>
      <c r="E1423">
        <v>70.69</v>
      </c>
      <c r="G1423" t="s">
        <v>1</v>
      </c>
    </row>
    <row r="1424" spans="1:7" x14ac:dyDescent="0.4">
      <c r="A1424" s="1">
        <v>45799</v>
      </c>
      <c r="B1424">
        <v>1</v>
      </c>
      <c r="C1424">
        <v>1.127804762</v>
      </c>
      <c r="D1424" t="s">
        <v>8</v>
      </c>
      <c r="E1424">
        <v>71.84</v>
      </c>
      <c r="G1424" t="s">
        <v>1</v>
      </c>
    </row>
    <row r="1425" spans="1:7" x14ac:dyDescent="0.4">
      <c r="A1425" s="1">
        <v>45800</v>
      </c>
      <c r="B1425">
        <v>1</v>
      </c>
      <c r="C1425">
        <v>1.127804762</v>
      </c>
      <c r="D1425" t="s">
        <v>8</v>
      </c>
      <c r="E1425">
        <v>71.11</v>
      </c>
      <c r="G1425" t="s">
        <v>1</v>
      </c>
    </row>
    <row r="1426" spans="1:7" x14ac:dyDescent="0.4">
      <c r="A1426" s="1">
        <v>45804</v>
      </c>
      <c r="B1426">
        <v>1</v>
      </c>
      <c r="C1426">
        <v>1.127804762</v>
      </c>
      <c r="D1426" t="s">
        <v>8</v>
      </c>
      <c r="E1426">
        <v>71.510000000000005</v>
      </c>
      <c r="G1426" t="s">
        <v>1</v>
      </c>
    </row>
    <row r="1427" spans="1:7" x14ac:dyDescent="0.4">
      <c r="A1427" s="1">
        <v>45805</v>
      </c>
      <c r="B1427">
        <v>1</v>
      </c>
      <c r="C1427">
        <v>1.127804762</v>
      </c>
      <c r="D1427" t="s">
        <v>8</v>
      </c>
      <c r="E1427">
        <v>70.540000000000006</v>
      </c>
      <c r="G1427" t="s">
        <v>1</v>
      </c>
    </row>
    <row r="1428" spans="1:7" x14ac:dyDescent="0.4">
      <c r="A1428" s="1">
        <v>45810</v>
      </c>
      <c r="B1428">
        <v>1</v>
      </c>
      <c r="C1428">
        <v>1.1516190479999999</v>
      </c>
      <c r="D1428" t="s">
        <v>8</v>
      </c>
      <c r="E1428">
        <v>70.58</v>
      </c>
      <c r="F1428">
        <v>72.47</v>
      </c>
      <c r="G1428" t="s">
        <v>1</v>
      </c>
    </row>
    <row r="1429" spans="1:7" x14ac:dyDescent="0.4">
      <c r="A1429" s="1">
        <v>45811</v>
      </c>
      <c r="B1429">
        <v>1</v>
      </c>
      <c r="C1429">
        <v>1.1516190479999999</v>
      </c>
      <c r="D1429" t="s">
        <v>8</v>
      </c>
      <c r="E1429">
        <v>70.61</v>
      </c>
      <c r="G1429" t="s">
        <v>1</v>
      </c>
    </row>
    <row r="1430" spans="1:7" x14ac:dyDescent="0.4">
      <c r="A1430" s="1">
        <v>45813</v>
      </c>
      <c r="B1430">
        <v>1</v>
      </c>
      <c r="C1430">
        <v>1.1516190479999999</v>
      </c>
      <c r="D1430" t="s">
        <v>8</v>
      </c>
      <c r="E1430">
        <v>72.540000000000006</v>
      </c>
      <c r="G1430" t="s">
        <v>1</v>
      </c>
    </row>
    <row r="1431" spans="1:7" x14ac:dyDescent="0.4">
      <c r="A1431" s="1">
        <v>45814</v>
      </c>
      <c r="B1431">
        <v>1</v>
      </c>
      <c r="C1431">
        <v>1.1516190479999999</v>
      </c>
      <c r="D1431" t="s">
        <v>8</v>
      </c>
      <c r="E1431">
        <v>72.3</v>
      </c>
      <c r="G1431" t="s">
        <v>1</v>
      </c>
    </row>
    <row r="1432" spans="1:7" x14ac:dyDescent="0.4">
      <c r="A1432" s="1">
        <v>45818</v>
      </c>
      <c r="B1432">
        <v>1</v>
      </c>
      <c r="C1432">
        <v>1.1516190479999999</v>
      </c>
      <c r="D1432" t="s">
        <v>8</v>
      </c>
      <c r="E1432">
        <v>72.16</v>
      </c>
      <c r="G1432" t="s">
        <v>1</v>
      </c>
    </row>
    <row r="1433" spans="1:7" x14ac:dyDescent="0.4">
      <c r="A1433" s="1">
        <v>45819</v>
      </c>
      <c r="B1433">
        <v>1</v>
      </c>
      <c r="C1433">
        <v>1.1516190479999999</v>
      </c>
      <c r="D1433" t="s">
        <v>8</v>
      </c>
      <c r="E1433">
        <v>73.5</v>
      </c>
      <c r="G1433" t="s">
        <v>1</v>
      </c>
    </row>
    <row r="1434" spans="1:7" x14ac:dyDescent="0.4">
      <c r="A1434" s="1">
        <v>45820</v>
      </c>
      <c r="B1434">
        <v>1</v>
      </c>
      <c r="C1434">
        <v>1.1516190479999999</v>
      </c>
      <c r="D1434" t="s">
        <v>8</v>
      </c>
      <c r="E1434">
        <v>72.709999999999994</v>
      </c>
      <c r="G1434" t="s">
        <v>1</v>
      </c>
    </row>
    <row r="1435" spans="1:7" x14ac:dyDescent="0.4">
      <c r="A1435" s="1">
        <v>45821</v>
      </c>
      <c r="B1435">
        <v>1</v>
      </c>
      <c r="C1435">
        <v>1.1516190479999999</v>
      </c>
      <c r="D1435" t="s">
        <v>8</v>
      </c>
      <c r="E1435">
        <v>75.36</v>
      </c>
      <c r="G1435" t="s">
        <v>1</v>
      </c>
    </row>
    <row r="1436" spans="1:7" x14ac:dyDescent="0.4">
      <c r="A1436" s="1">
        <v>45824</v>
      </c>
      <c r="B1436">
        <v>1</v>
      </c>
      <c r="C1436">
        <v>1.1516190479999999</v>
      </c>
      <c r="D1436" t="s">
        <v>8</v>
      </c>
      <c r="E1436">
        <v>74.510000000000005</v>
      </c>
      <c r="F1436">
        <v>74.06</v>
      </c>
      <c r="G1436" t="s">
        <v>1</v>
      </c>
    </row>
    <row r="1437" spans="1:7" x14ac:dyDescent="0.4">
      <c r="A1437" s="1">
        <v>45825</v>
      </c>
      <c r="B1437">
        <v>1</v>
      </c>
      <c r="C1437">
        <v>1.1516190479999999</v>
      </c>
      <c r="D1437" t="s">
        <v>8</v>
      </c>
      <c r="E1437">
        <v>74.05</v>
      </c>
      <c r="G1437" t="s">
        <v>1</v>
      </c>
    </row>
    <row r="1438" spans="1:7" x14ac:dyDescent="0.4">
      <c r="A1438" s="1">
        <v>45827</v>
      </c>
      <c r="B1438">
        <v>1</v>
      </c>
      <c r="C1438">
        <v>1.1516190479999999</v>
      </c>
      <c r="D1438" t="s">
        <v>8</v>
      </c>
      <c r="E1438">
        <v>73.48</v>
      </c>
      <c r="G1438" t="s">
        <v>1</v>
      </c>
    </row>
    <row r="1439" spans="1:7" x14ac:dyDescent="0.4">
      <c r="A1439" s="1">
        <v>45828</v>
      </c>
      <c r="B1439">
        <v>1</v>
      </c>
      <c r="C1439">
        <v>1.1516190479999999</v>
      </c>
      <c r="D1439" t="s">
        <v>8</v>
      </c>
      <c r="E1439">
        <v>71.97</v>
      </c>
      <c r="G1439" t="s">
        <v>1</v>
      </c>
    </row>
    <row r="1440" spans="1:7" x14ac:dyDescent="0.4">
      <c r="A1440" s="1">
        <v>45831</v>
      </c>
      <c r="B1440">
        <v>1</v>
      </c>
      <c r="C1440">
        <v>1.1516190479999999</v>
      </c>
      <c r="D1440" t="s">
        <v>8</v>
      </c>
      <c r="E1440">
        <v>72</v>
      </c>
      <c r="F1440">
        <v>71.86</v>
      </c>
      <c r="G1440" t="s">
        <v>1</v>
      </c>
    </row>
    <row r="1441" spans="1:7" x14ac:dyDescent="0.4">
      <c r="A1441" s="1">
        <v>45832</v>
      </c>
      <c r="B1441">
        <v>1</v>
      </c>
      <c r="C1441">
        <v>1.1516190479999999</v>
      </c>
      <c r="D1441" t="s">
        <v>8</v>
      </c>
      <c r="E1441">
        <v>72.91</v>
      </c>
      <c r="G1441" t="s">
        <v>1</v>
      </c>
    </row>
    <row r="1442" spans="1:7" x14ac:dyDescent="0.4">
      <c r="A1442" s="1">
        <v>45833</v>
      </c>
      <c r="B1442">
        <v>1</v>
      </c>
      <c r="C1442">
        <v>1.1516190479999999</v>
      </c>
      <c r="D1442" t="s">
        <v>8</v>
      </c>
      <c r="E1442">
        <v>71.72</v>
      </c>
      <c r="G1442" t="s">
        <v>1</v>
      </c>
    </row>
    <row r="1443" spans="1:7" x14ac:dyDescent="0.4">
      <c r="A1443" s="1">
        <v>45834</v>
      </c>
      <c r="B1443">
        <v>1</v>
      </c>
      <c r="C1443">
        <v>1.1516190479999999</v>
      </c>
      <c r="D1443" t="s">
        <v>8</v>
      </c>
      <c r="E1443">
        <v>69.459999999999994</v>
      </c>
      <c r="G1443" t="s">
        <v>1</v>
      </c>
    </row>
    <row r="1444" spans="1:7" x14ac:dyDescent="0.4">
      <c r="A1444" s="1">
        <v>45835</v>
      </c>
      <c r="B1444">
        <v>1</v>
      </c>
      <c r="C1444">
        <v>1.1516190479999999</v>
      </c>
      <c r="D1444" t="s">
        <v>8</v>
      </c>
      <c r="E1444">
        <v>69.400000000000006</v>
      </c>
      <c r="G1444" t="s">
        <v>1</v>
      </c>
    </row>
    <row r="1445" spans="1:7" x14ac:dyDescent="0.4">
      <c r="A1445" s="1">
        <v>45838</v>
      </c>
      <c r="B1445">
        <v>1</v>
      </c>
      <c r="C1445">
        <v>1.1516190479999999</v>
      </c>
      <c r="D1445" t="s">
        <v>8</v>
      </c>
      <c r="E1445">
        <v>68.95</v>
      </c>
      <c r="F1445">
        <v>71.040000000000006</v>
      </c>
      <c r="G1445" t="s">
        <v>1</v>
      </c>
    </row>
    <row r="1446" spans="1:7" x14ac:dyDescent="0.4">
      <c r="A1446" s="1">
        <v>45663</v>
      </c>
      <c r="B1446">
        <v>1</v>
      </c>
      <c r="C1446">
        <v>1.0353727269999999</v>
      </c>
      <c r="D1446" t="s">
        <v>8</v>
      </c>
      <c r="F1446">
        <v>73.78</v>
      </c>
      <c r="G1446" t="s">
        <v>1</v>
      </c>
    </row>
    <row r="1447" spans="1:7" x14ac:dyDescent="0.4">
      <c r="A1447" s="1">
        <v>45839</v>
      </c>
      <c r="B1447">
        <v>1</v>
      </c>
      <c r="C1447">
        <v>1.1676869569999999</v>
      </c>
      <c r="D1447" t="s">
        <v>8</v>
      </c>
      <c r="E1447">
        <v>69.010000000000005</v>
      </c>
      <c r="G1447" t="s">
        <v>1</v>
      </c>
    </row>
    <row r="1448" spans="1:7" x14ac:dyDescent="0.4">
      <c r="A1448" s="1">
        <v>45841</v>
      </c>
      <c r="B1448">
        <v>1</v>
      </c>
      <c r="C1448">
        <v>1.1676869569999999</v>
      </c>
      <c r="D1448" t="s">
        <v>8</v>
      </c>
      <c r="E1448">
        <v>70.52</v>
      </c>
      <c r="G1448" t="s">
        <v>1</v>
      </c>
    </row>
    <row r="1449" spans="1:7" x14ac:dyDescent="0.4">
      <c r="A1449" s="1">
        <v>45842</v>
      </c>
      <c r="B1449">
        <v>1</v>
      </c>
      <c r="C1449">
        <v>1.1676869569999999</v>
      </c>
      <c r="D1449" t="s">
        <v>8</v>
      </c>
      <c r="E1449">
        <v>70.849999999999994</v>
      </c>
      <c r="G1449" t="s">
        <v>1</v>
      </c>
    </row>
    <row r="1450" spans="1:7" x14ac:dyDescent="0.4">
      <c r="A1450" s="1">
        <v>45845</v>
      </c>
      <c r="B1450">
        <v>1</v>
      </c>
      <c r="C1450">
        <v>1.1676869569999999</v>
      </c>
      <c r="D1450" t="s">
        <v>8</v>
      </c>
      <c r="E1450">
        <v>70.34</v>
      </c>
      <c r="F1450">
        <v>70.66</v>
      </c>
      <c r="G1450" t="s">
        <v>1</v>
      </c>
    </row>
    <row r="1451" spans="1:7" x14ac:dyDescent="0.4">
      <c r="A1451" s="1">
        <v>45846</v>
      </c>
      <c r="B1451">
        <v>1</v>
      </c>
      <c r="C1451">
        <v>1.1676869569999999</v>
      </c>
      <c r="D1451" t="s">
        <v>8</v>
      </c>
      <c r="E1451">
        <v>69.959999999999994</v>
      </c>
      <c r="G1451" t="s">
        <v>1</v>
      </c>
    </row>
    <row r="1452" spans="1:7" x14ac:dyDescent="0.4">
      <c r="A1452" s="1">
        <v>45847</v>
      </c>
      <c r="B1452">
        <v>1</v>
      </c>
      <c r="C1452">
        <v>1.1676869569999999</v>
      </c>
      <c r="D1452" t="s">
        <v>8</v>
      </c>
      <c r="E1452">
        <v>69.88</v>
      </c>
      <c r="G1452" t="s">
        <v>1</v>
      </c>
    </row>
    <row r="1453" spans="1:7" x14ac:dyDescent="0.4">
      <c r="A1453" s="1">
        <v>45848</v>
      </c>
      <c r="B1453">
        <v>1</v>
      </c>
      <c r="C1453">
        <v>1.1676869569999999</v>
      </c>
      <c r="D1453" t="s">
        <v>8</v>
      </c>
      <c r="E1453">
        <v>70.44</v>
      </c>
      <c r="G1453" t="s">
        <v>1</v>
      </c>
    </row>
    <row r="1454" spans="1:7" x14ac:dyDescent="0.4">
      <c r="A1454" s="1">
        <v>45849</v>
      </c>
      <c r="B1454">
        <v>1</v>
      </c>
      <c r="C1454">
        <v>1.1676869569999999</v>
      </c>
      <c r="D1454" t="s">
        <v>8</v>
      </c>
      <c r="E1454">
        <v>69.3</v>
      </c>
      <c r="G1454" t="s">
        <v>1</v>
      </c>
    </row>
    <row r="1455" spans="1:7" x14ac:dyDescent="0.4">
      <c r="A1455" s="1">
        <v>45852</v>
      </c>
      <c r="B1455">
        <v>1</v>
      </c>
      <c r="C1455">
        <v>1.1676869569999999</v>
      </c>
      <c r="D1455" t="s">
        <v>8</v>
      </c>
      <c r="E1455">
        <v>70.42</v>
      </c>
      <c r="F1455">
        <v>70.739999999999995</v>
      </c>
      <c r="G1455" t="s">
        <v>1</v>
      </c>
    </row>
    <row r="1456" spans="1:7" x14ac:dyDescent="0.4">
      <c r="A1456" s="1">
        <v>45853</v>
      </c>
      <c r="B1456">
        <v>1</v>
      </c>
      <c r="C1456">
        <v>1.1676869569999999</v>
      </c>
      <c r="D1456" t="s">
        <v>8</v>
      </c>
      <c r="E1456">
        <v>69.760000000000005</v>
      </c>
      <c r="G1456" t="s">
        <v>1</v>
      </c>
    </row>
    <row r="1457" spans="1:7" x14ac:dyDescent="0.4">
      <c r="A1457" s="1">
        <v>45855</v>
      </c>
      <c r="B1457">
        <v>1</v>
      </c>
      <c r="C1457">
        <v>1.1676869569999999</v>
      </c>
      <c r="D1457" t="s">
        <v>8</v>
      </c>
      <c r="E1457">
        <v>70.05</v>
      </c>
      <c r="G1457" t="s">
        <v>1</v>
      </c>
    </row>
    <row r="1458" spans="1:7" x14ac:dyDescent="0.4">
      <c r="A1458" s="1">
        <v>45856</v>
      </c>
      <c r="B1458">
        <v>1</v>
      </c>
      <c r="C1458">
        <v>1.1676869569999999</v>
      </c>
      <c r="D1458" t="s">
        <v>8</v>
      </c>
      <c r="E1458">
        <v>69.680000000000007</v>
      </c>
      <c r="G1458" t="s">
        <v>1</v>
      </c>
    </row>
    <row r="1459" spans="1:7" x14ac:dyDescent="0.4">
      <c r="A1459" s="1">
        <v>45859</v>
      </c>
      <c r="B1459">
        <v>1</v>
      </c>
      <c r="C1459">
        <v>1.1676869569999999</v>
      </c>
      <c r="D1459" t="s">
        <v>8</v>
      </c>
      <c r="E1459">
        <v>69.53</v>
      </c>
      <c r="F1459">
        <v>70.099999999999994</v>
      </c>
      <c r="G1459" t="s">
        <v>1</v>
      </c>
    </row>
    <row r="1460" spans="1:7" x14ac:dyDescent="0.4">
      <c r="A1460" s="1">
        <v>45860</v>
      </c>
      <c r="B1460">
        <v>1</v>
      </c>
      <c r="C1460">
        <v>1.1676869569999999</v>
      </c>
      <c r="D1460" t="s">
        <v>8</v>
      </c>
      <c r="E1460">
        <v>68.73</v>
      </c>
      <c r="G1460" t="s">
        <v>1</v>
      </c>
    </row>
    <row r="1461" spans="1:7" x14ac:dyDescent="0.4">
      <c r="A1461" s="1">
        <v>45861</v>
      </c>
      <c r="B1461">
        <v>1</v>
      </c>
      <c r="C1461">
        <v>1.1676869569999999</v>
      </c>
      <c r="D1461" t="s">
        <v>8</v>
      </c>
      <c r="E1461">
        <v>69.099999999999994</v>
      </c>
      <c r="G1461" t="s">
        <v>1</v>
      </c>
    </row>
    <row r="1462" spans="1:7" x14ac:dyDescent="0.4">
      <c r="A1462" s="1">
        <v>45862</v>
      </c>
      <c r="B1462">
        <v>1</v>
      </c>
      <c r="C1462">
        <v>1.1676869569999999</v>
      </c>
      <c r="D1462" t="s">
        <v>8</v>
      </c>
      <c r="E1462">
        <v>68.89</v>
      </c>
      <c r="G1462" t="s">
        <v>1</v>
      </c>
    </row>
    <row r="1463" spans="1:7" x14ac:dyDescent="0.4">
      <c r="A1463" s="1">
        <v>45863</v>
      </c>
      <c r="B1463">
        <v>1</v>
      </c>
      <c r="C1463">
        <v>1.1676869569999999</v>
      </c>
      <c r="D1463" t="s">
        <v>8</v>
      </c>
      <c r="E1463">
        <v>70.22</v>
      </c>
      <c r="G1463" t="s">
        <v>1</v>
      </c>
    </row>
    <row r="1464" spans="1:7" x14ac:dyDescent="0.4">
      <c r="A1464" s="1">
        <v>45866</v>
      </c>
      <c r="B1464">
        <v>1</v>
      </c>
      <c r="C1464">
        <v>1.1676869569999999</v>
      </c>
      <c r="D1464" t="s">
        <v>8</v>
      </c>
      <c r="E1464">
        <v>70.63</v>
      </c>
      <c r="F1464">
        <v>72.06</v>
      </c>
      <c r="G1464" t="s">
        <v>1</v>
      </c>
    </row>
    <row r="1465" spans="1:7" x14ac:dyDescent="0.4">
      <c r="A1465" s="1">
        <v>45867</v>
      </c>
      <c r="B1465">
        <v>1</v>
      </c>
      <c r="C1465">
        <v>1.1676869569999999</v>
      </c>
      <c r="D1465" t="s">
        <v>8</v>
      </c>
      <c r="E1465">
        <v>70.53</v>
      </c>
      <c r="G1465" t="s">
        <v>1</v>
      </c>
    </row>
    <row r="1466" spans="1:7" x14ac:dyDescent="0.4">
      <c r="A1466" s="1">
        <v>45869</v>
      </c>
      <c r="B1466">
        <v>1</v>
      </c>
      <c r="C1466">
        <v>1.1676869569999999</v>
      </c>
      <c r="D1466" t="s">
        <v>8</v>
      </c>
      <c r="E1466">
        <v>72</v>
      </c>
      <c r="G1466" t="s">
        <v>1</v>
      </c>
    </row>
    <row r="1467" spans="1:7" x14ac:dyDescent="0.4">
      <c r="A1467" s="1">
        <v>45870</v>
      </c>
      <c r="B1467">
        <v>1</v>
      </c>
      <c r="C1467">
        <v>1.163142857</v>
      </c>
      <c r="D1467" t="s">
        <v>8</v>
      </c>
      <c r="E1467">
        <v>71.14</v>
      </c>
      <c r="G1467" t="s">
        <v>1</v>
      </c>
    </row>
    <row r="1468" spans="1:7" x14ac:dyDescent="0.4">
      <c r="A1468" s="1">
        <v>45873</v>
      </c>
      <c r="B1468">
        <v>1</v>
      </c>
      <c r="C1468">
        <v>1.163142857</v>
      </c>
      <c r="D1468" t="s">
        <v>8</v>
      </c>
      <c r="E1468">
        <v>69.52</v>
      </c>
      <c r="F1468">
        <v>71.680000000000007</v>
      </c>
      <c r="G1468" t="s">
        <v>1</v>
      </c>
    </row>
    <row r="1469" spans="1:7" x14ac:dyDescent="0.4">
      <c r="A1469" s="1">
        <v>45874</v>
      </c>
      <c r="B1469">
        <v>1</v>
      </c>
      <c r="C1469">
        <v>1.163142857</v>
      </c>
      <c r="D1469" t="s">
        <v>8</v>
      </c>
      <c r="E1469">
        <v>70.069999999999993</v>
      </c>
      <c r="G1469" t="s">
        <v>1</v>
      </c>
    </row>
    <row r="1470" spans="1:7" x14ac:dyDescent="0.4">
      <c r="A1470" s="1">
        <v>45875</v>
      </c>
      <c r="B1470">
        <v>1</v>
      </c>
      <c r="C1470">
        <v>1.163142857</v>
      </c>
      <c r="D1470" t="s">
        <v>8</v>
      </c>
      <c r="E1470">
        <v>70.739999999999995</v>
      </c>
      <c r="G1470" t="s">
        <v>1</v>
      </c>
    </row>
    <row r="1471" spans="1:7" x14ac:dyDescent="0.4">
      <c r="A1471" s="1">
        <v>45876</v>
      </c>
      <c r="B1471">
        <v>1</v>
      </c>
      <c r="C1471">
        <v>1.163142857</v>
      </c>
      <c r="D1471" t="s">
        <v>8</v>
      </c>
      <c r="E1471">
        <v>70.099999999999994</v>
      </c>
      <c r="G1471" t="s">
        <v>1</v>
      </c>
    </row>
    <row r="1472" spans="1:7" x14ac:dyDescent="0.4">
      <c r="A1472" s="1">
        <v>45877</v>
      </c>
      <c r="B1472">
        <v>1</v>
      </c>
      <c r="C1472">
        <v>1.163142857</v>
      </c>
      <c r="D1472" t="s">
        <v>8</v>
      </c>
      <c r="E1472">
        <v>72.14</v>
      </c>
      <c r="G1472" t="s">
        <v>1</v>
      </c>
    </row>
    <row r="1473" spans="1:7" x14ac:dyDescent="0.4">
      <c r="A1473" s="1">
        <v>45880</v>
      </c>
      <c r="B1473">
        <v>1</v>
      </c>
      <c r="C1473">
        <v>1.163142857</v>
      </c>
      <c r="D1473" t="s">
        <v>8</v>
      </c>
      <c r="E1473">
        <v>72.180000000000007</v>
      </c>
      <c r="F1473">
        <v>71.45</v>
      </c>
      <c r="G1473" t="s">
        <v>1</v>
      </c>
    </row>
    <row r="1474" spans="1:7" x14ac:dyDescent="0.4">
      <c r="A1474" s="1">
        <v>45881</v>
      </c>
      <c r="B1474">
        <v>1</v>
      </c>
      <c r="C1474">
        <v>1.163142857</v>
      </c>
      <c r="D1474" t="s">
        <v>8</v>
      </c>
      <c r="E1474">
        <v>71.3</v>
      </c>
      <c r="G1474" t="s">
        <v>1</v>
      </c>
    </row>
    <row r="1475" spans="1:7" x14ac:dyDescent="0.4">
      <c r="A1475" s="1">
        <v>45883</v>
      </c>
      <c r="B1475">
        <v>1</v>
      </c>
      <c r="C1475">
        <v>1.163142857</v>
      </c>
      <c r="D1475" t="s">
        <v>8</v>
      </c>
      <c r="E1475">
        <v>70.540000000000006</v>
      </c>
      <c r="G1475" t="s">
        <v>1</v>
      </c>
    </row>
    <row r="1476" spans="1:7" x14ac:dyDescent="0.4">
      <c r="A1476" s="1">
        <v>45884</v>
      </c>
      <c r="B1476">
        <v>1</v>
      </c>
      <c r="C1476">
        <v>1.163142857</v>
      </c>
      <c r="D1476" t="s">
        <v>8</v>
      </c>
      <c r="E1476">
        <v>70.13</v>
      </c>
      <c r="G1476" t="s">
        <v>1</v>
      </c>
    </row>
    <row r="1477" spans="1:7" x14ac:dyDescent="0.4">
      <c r="A1477" s="1">
        <v>45887</v>
      </c>
      <c r="B1477">
        <v>1</v>
      </c>
      <c r="C1477">
        <v>1.163142857</v>
      </c>
      <c r="D1477" t="s">
        <v>8</v>
      </c>
      <c r="E1477">
        <v>70.209999999999994</v>
      </c>
      <c r="F1477">
        <v>71.88</v>
      </c>
      <c r="G1477" t="s">
        <v>1</v>
      </c>
    </row>
    <row r="1478" spans="1:7" x14ac:dyDescent="0.4">
      <c r="A1478" s="1">
        <v>45888</v>
      </c>
      <c r="B1478">
        <v>1</v>
      </c>
      <c r="C1478">
        <v>1.163142857</v>
      </c>
      <c r="D1478" t="s">
        <v>8</v>
      </c>
      <c r="E1478">
        <v>71.37</v>
      </c>
      <c r="G1478" t="s">
        <v>1</v>
      </c>
    </row>
    <row r="1479" spans="1:7" x14ac:dyDescent="0.4">
      <c r="A1479" s="1">
        <v>45889</v>
      </c>
      <c r="B1479">
        <v>1</v>
      </c>
      <c r="C1479">
        <v>1.163142857</v>
      </c>
      <c r="D1479" t="s">
        <v>8</v>
      </c>
      <c r="E1479">
        <v>70.47</v>
      </c>
      <c r="G1479" t="s">
        <v>1</v>
      </c>
    </row>
    <row r="1480" spans="1:7" x14ac:dyDescent="0.4">
      <c r="A1480" s="1">
        <v>45890</v>
      </c>
      <c r="B1480">
        <v>1</v>
      </c>
      <c r="C1480">
        <v>1.163142857</v>
      </c>
      <c r="D1480" t="s">
        <v>8</v>
      </c>
      <c r="E1480">
        <v>71.19</v>
      </c>
      <c r="G1480" t="s">
        <v>1</v>
      </c>
    </row>
    <row r="1481" spans="1:7" x14ac:dyDescent="0.4">
      <c r="A1481" s="1">
        <v>45891</v>
      </c>
      <c r="B1481">
        <v>1</v>
      </c>
      <c r="C1481">
        <v>1.163142857</v>
      </c>
      <c r="D1481" t="s">
        <v>8</v>
      </c>
      <c r="E1481">
        <v>72.05</v>
      </c>
      <c r="G1481" t="s">
        <v>1</v>
      </c>
    </row>
    <row r="1482" spans="1:7" x14ac:dyDescent="0.4">
      <c r="A1482" s="1">
        <v>45894</v>
      </c>
      <c r="B1482">
        <v>1</v>
      </c>
      <c r="C1482">
        <v>1.163142857</v>
      </c>
      <c r="D1482" t="s">
        <v>8</v>
      </c>
      <c r="E1482">
        <v>71.36</v>
      </c>
      <c r="F1482">
        <v>72.38</v>
      </c>
      <c r="G1482" t="s">
        <v>1</v>
      </c>
    </row>
    <row r="1483" spans="1:7" x14ac:dyDescent="0.4">
      <c r="A1483" s="1">
        <v>45895</v>
      </c>
      <c r="B1483">
        <v>1</v>
      </c>
      <c r="C1483">
        <v>1.163142857</v>
      </c>
      <c r="D1483" t="s">
        <v>8</v>
      </c>
      <c r="E1483">
        <v>71.31</v>
      </c>
      <c r="G1483" t="s">
        <v>1</v>
      </c>
    </row>
    <row r="1484" spans="1:7" x14ac:dyDescent="0.4">
      <c r="A1484" s="1">
        <v>45897</v>
      </c>
      <c r="B1484">
        <v>1</v>
      </c>
      <c r="C1484">
        <v>1.163142857</v>
      </c>
      <c r="D1484" t="s">
        <v>8</v>
      </c>
      <c r="E1484">
        <v>71.180000000000007</v>
      </c>
      <c r="G1484" t="s">
        <v>1</v>
      </c>
    </row>
    <row r="1485" spans="1:7" x14ac:dyDescent="0.4">
      <c r="A1485" s="1">
        <v>45898</v>
      </c>
      <c r="B1485">
        <v>1</v>
      </c>
      <c r="C1485">
        <v>1.163142857</v>
      </c>
      <c r="D1485" t="s">
        <v>8</v>
      </c>
      <c r="E1485">
        <v>71.3</v>
      </c>
      <c r="G1485" t="s">
        <v>1</v>
      </c>
    </row>
    <row r="1486" spans="1:7" x14ac:dyDescent="0.4">
      <c r="A1486" s="1">
        <v>45901</v>
      </c>
      <c r="B1486">
        <v>1</v>
      </c>
      <c r="C1486">
        <v>1.173222727</v>
      </c>
      <c r="D1486" t="s">
        <v>8</v>
      </c>
      <c r="E1486">
        <v>73.14</v>
      </c>
      <c r="F1486">
        <v>74.8</v>
      </c>
      <c r="G1486" t="s">
        <v>1</v>
      </c>
    </row>
    <row r="1487" spans="1:7" x14ac:dyDescent="0.4">
      <c r="A1487" s="1">
        <v>45902</v>
      </c>
      <c r="B1487">
        <v>1</v>
      </c>
      <c r="C1487">
        <v>1.173222727</v>
      </c>
      <c r="D1487" t="s">
        <v>8</v>
      </c>
      <c r="E1487">
        <v>73.5</v>
      </c>
      <c r="G1487" t="s">
        <v>1</v>
      </c>
    </row>
    <row r="1488" spans="1:7" x14ac:dyDescent="0.4">
      <c r="A1488" s="1">
        <v>45903</v>
      </c>
      <c r="B1488">
        <v>1</v>
      </c>
      <c r="C1488">
        <v>1.173222727</v>
      </c>
      <c r="D1488" t="s">
        <v>8</v>
      </c>
      <c r="E1488">
        <v>73.27</v>
      </c>
      <c r="G1488" t="s">
        <v>1</v>
      </c>
    </row>
    <row r="1489" spans="1:7" x14ac:dyDescent="0.4">
      <c r="A1489" s="1">
        <v>45904</v>
      </c>
      <c r="B1489">
        <v>1</v>
      </c>
      <c r="C1489">
        <v>1.173222727</v>
      </c>
      <c r="D1489" t="s">
        <v>8</v>
      </c>
      <c r="E1489">
        <v>74.38</v>
      </c>
      <c r="G1489" t="s">
        <v>1</v>
      </c>
    </row>
    <row r="1490" spans="1:7" x14ac:dyDescent="0.4">
      <c r="A1490" s="1">
        <v>45905</v>
      </c>
      <c r="B1490">
        <v>1</v>
      </c>
      <c r="C1490">
        <v>1.173222727</v>
      </c>
      <c r="D1490" t="s">
        <v>8</v>
      </c>
      <c r="E1490">
        <v>75.44</v>
      </c>
      <c r="G1490" t="s">
        <v>1</v>
      </c>
    </row>
    <row r="1491" spans="1:7" x14ac:dyDescent="0.4">
      <c r="A1491" s="1">
        <v>45908</v>
      </c>
      <c r="B1491">
        <v>1</v>
      </c>
      <c r="C1491">
        <v>1.173222727</v>
      </c>
      <c r="D1491" t="s">
        <v>8</v>
      </c>
      <c r="E1491">
        <v>75.209999999999994</v>
      </c>
      <c r="F1491">
        <v>76.5</v>
      </c>
      <c r="G1491" t="s">
        <v>1</v>
      </c>
    </row>
    <row r="1492" spans="1:7" x14ac:dyDescent="0.4">
      <c r="A1492" s="1">
        <v>45909</v>
      </c>
      <c r="B1492">
        <v>1</v>
      </c>
      <c r="C1492">
        <v>1.173222727</v>
      </c>
      <c r="D1492" t="s">
        <v>8</v>
      </c>
      <c r="E1492">
        <v>76.400000000000006</v>
      </c>
      <c r="G1492" t="s">
        <v>1</v>
      </c>
    </row>
    <row r="1493" spans="1:7" x14ac:dyDescent="0.4">
      <c r="A1493" s="1">
        <v>45911</v>
      </c>
      <c r="B1493">
        <v>1</v>
      </c>
      <c r="C1493">
        <v>1.173222727</v>
      </c>
      <c r="D1493" t="s">
        <v>8</v>
      </c>
      <c r="E1493">
        <v>76.069999999999993</v>
      </c>
      <c r="G1493" t="s">
        <v>1</v>
      </c>
    </row>
    <row r="1494" spans="1:7" x14ac:dyDescent="0.4">
      <c r="A1494" s="1">
        <v>45912</v>
      </c>
      <c r="B1494">
        <v>1</v>
      </c>
      <c r="C1494">
        <v>1.173222727</v>
      </c>
      <c r="D1494" t="s">
        <v>8</v>
      </c>
      <c r="E1494">
        <v>75.02</v>
      </c>
      <c r="G1494" t="s">
        <v>1</v>
      </c>
    </row>
    <row r="1495" spans="1:7" x14ac:dyDescent="0.4">
      <c r="A1495" s="1">
        <v>45915</v>
      </c>
      <c r="B1495">
        <v>1</v>
      </c>
      <c r="C1495">
        <v>1.173222727</v>
      </c>
      <c r="D1495" t="s">
        <v>8</v>
      </c>
      <c r="E1495">
        <v>75.02</v>
      </c>
      <c r="F1495">
        <v>77.33</v>
      </c>
      <c r="G1495" t="s">
        <v>1</v>
      </c>
    </row>
    <row r="1496" spans="1:7" x14ac:dyDescent="0.4">
      <c r="A1496" s="1">
        <v>45916</v>
      </c>
      <c r="B1496">
        <v>1</v>
      </c>
      <c r="C1496">
        <v>1.173222727</v>
      </c>
      <c r="D1496" t="s">
        <v>8</v>
      </c>
      <c r="E1496">
        <v>76.17</v>
      </c>
      <c r="G1496" t="s">
        <v>1</v>
      </c>
    </row>
    <row r="1497" spans="1:7" x14ac:dyDescent="0.4">
      <c r="A1497" s="1">
        <v>45917</v>
      </c>
      <c r="B1497">
        <v>1</v>
      </c>
      <c r="C1497">
        <v>1.173222727</v>
      </c>
      <c r="D1497" t="s">
        <v>8</v>
      </c>
      <c r="E1497">
        <v>77.53</v>
      </c>
      <c r="G1497" t="s">
        <v>1</v>
      </c>
    </row>
    <row r="1498" spans="1:7" x14ac:dyDescent="0.4">
      <c r="A1498" s="1">
        <v>45918</v>
      </c>
      <c r="B1498">
        <v>1</v>
      </c>
      <c r="C1498">
        <v>1.173222727</v>
      </c>
      <c r="D1498" t="s">
        <v>8</v>
      </c>
      <c r="E1498">
        <v>77.22</v>
      </c>
      <c r="G1498" t="s">
        <v>1</v>
      </c>
    </row>
    <row r="1499" spans="1:7" x14ac:dyDescent="0.4">
      <c r="A1499" s="1">
        <v>45919</v>
      </c>
      <c r="B1499">
        <v>1</v>
      </c>
      <c r="C1499">
        <v>1.173222727</v>
      </c>
      <c r="D1499" t="s">
        <v>8</v>
      </c>
      <c r="E1499">
        <v>76.569999999999993</v>
      </c>
      <c r="G1499" t="s">
        <v>1</v>
      </c>
    </row>
    <row r="1500" spans="1:7" x14ac:dyDescent="0.4">
      <c r="A1500" s="1">
        <v>45922</v>
      </c>
      <c r="B1500">
        <v>1</v>
      </c>
      <c r="C1500">
        <v>1.173222727</v>
      </c>
      <c r="D1500" t="s">
        <v>8</v>
      </c>
      <c r="E1500">
        <v>76.8</v>
      </c>
      <c r="F1500">
        <v>76.150000000000006</v>
      </c>
      <c r="G1500" t="s">
        <v>1</v>
      </c>
    </row>
    <row r="1501" spans="1:7" x14ac:dyDescent="0.4">
      <c r="A1501" s="1">
        <v>45923</v>
      </c>
      <c r="B1501">
        <v>1</v>
      </c>
      <c r="C1501">
        <v>1.173222727</v>
      </c>
      <c r="D1501" t="s">
        <v>8</v>
      </c>
      <c r="E1501">
        <v>75.599999999999994</v>
      </c>
      <c r="G1501" t="s">
        <v>1</v>
      </c>
    </row>
    <row r="1502" spans="1:7" x14ac:dyDescent="0.4">
      <c r="A1502" s="1">
        <v>45925</v>
      </c>
      <c r="B1502">
        <v>1</v>
      </c>
      <c r="C1502">
        <v>1.173222727</v>
      </c>
      <c r="D1502" t="s">
        <v>8</v>
      </c>
      <c r="E1502">
        <v>75.56</v>
      </c>
      <c r="G1502" t="s">
        <v>1</v>
      </c>
    </row>
    <row r="1503" spans="1:7" x14ac:dyDescent="0.4">
      <c r="A1503" s="1">
        <v>45926</v>
      </c>
      <c r="B1503">
        <v>1</v>
      </c>
      <c r="C1503">
        <v>1.173222727</v>
      </c>
      <c r="D1503" t="s">
        <v>8</v>
      </c>
      <c r="E1503">
        <v>75.17</v>
      </c>
      <c r="G1503" t="s">
        <v>1</v>
      </c>
    </row>
    <row r="1504" spans="1:7" x14ac:dyDescent="0.4">
      <c r="A1504" s="1">
        <v>45929</v>
      </c>
      <c r="B1504">
        <v>1</v>
      </c>
      <c r="C1504">
        <v>1.173222727</v>
      </c>
      <c r="D1504" t="s">
        <v>8</v>
      </c>
      <c r="E1504">
        <v>75.2</v>
      </c>
      <c r="F1504">
        <v>77.09</v>
      </c>
      <c r="G1504" t="s">
        <v>1</v>
      </c>
    </row>
    <row r="1505" spans="1:7" x14ac:dyDescent="0.4">
      <c r="A1505" s="1">
        <v>45930</v>
      </c>
      <c r="B1505">
        <v>1</v>
      </c>
      <c r="C1505">
        <v>1.173222727</v>
      </c>
      <c r="D1505" t="s">
        <v>8</v>
      </c>
      <c r="E1505">
        <v>75.95</v>
      </c>
      <c r="G1505" t="s">
        <v>1</v>
      </c>
    </row>
    <row r="1506" spans="1:7" x14ac:dyDescent="0.4">
      <c r="A1506" s="1">
        <v>45768</v>
      </c>
      <c r="B1506">
        <v>1</v>
      </c>
      <c r="C1506">
        <v>1.1213949999999999</v>
      </c>
      <c r="D1506" t="s">
        <v>8</v>
      </c>
      <c r="F1506">
        <v>65.98</v>
      </c>
      <c r="G1506" t="s">
        <v>1</v>
      </c>
    </row>
    <row r="1507" spans="1:7" x14ac:dyDescent="0.4">
      <c r="A1507" s="1">
        <v>45803</v>
      </c>
      <c r="B1507">
        <v>1</v>
      </c>
      <c r="C1507">
        <v>1.127804762</v>
      </c>
      <c r="D1507" t="s">
        <v>8</v>
      </c>
      <c r="F1507">
        <v>71.64</v>
      </c>
      <c r="G1507" t="s">
        <v>1</v>
      </c>
    </row>
    <row r="1508" spans="1:7" x14ac:dyDescent="0.4">
      <c r="A1508" s="1">
        <v>45931</v>
      </c>
      <c r="B1508">
        <v>1</v>
      </c>
      <c r="C1508">
        <v>1.1630434780000001</v>
      </c>
      <c r="D1508" t="s">
        <v>8</v>
      </c>
      <c r="E1508">
        <v>74.3</v>
      </c>
      <c r="G1508" t="s">
        <v>1</v>
      </c>
    </row>
    <row r="1509" spans="1:7" x14ac:dyDescent="0.4">
      <c r="A1509" s="1">
        <v>45932</v>
      </c>
      <c r="B1509">
        <v>1</v>
      </c>
      <c r="C1509">
        <v>1.1630434780000001</v>
      </c>
      <c r="D1509" t="s">
        <v>8</v>
      </c>
      <c r="E1509">
        <v>76.05</v>
      </c>
      <c r="G1509" t="s">
        <v>1</v>
      </c>
    </row>
    <row r="1510" spans="1:7" x14ac:dyDescent="0.4">
      <c r="A1510" s="1">
        <v>45936</v>
      </c>
      <c r="B1510">
        <v>1</v>
      </c>
      <c r="C1510">
        <v>1.1630434780000001</v>
      </c>
      <c r="D1510" t="s">
        <v>8</v>
      </c>
      <c r="E1510">
        <v>79.19</v>
      </c>
      <c r="G1510" t="s">
        <v>1</v>
      </c>
    </row>
    <row r="1511" spans="1:7" x14ac:dyDescent="0.4">
      <c r="A1511" s="1">
        <v>45937</v>
      </c>
      <c r="B1511">
        <v>1</v>
      </c>
      <c r="C1511">
        <v>1.1630434780000001</v>
      </c>
      <c r="D1511" t="s">
        <v>8</v>
      </c>
      <c r="E1511">
        <v>78.3</v>
      </c>
      <c r="G1511" t="s">
        <v>1</v>
      </c>
    </row>
    <row r="1512" spans="1:7" x14ac:dyDescent="0.4">
      <c r="A1512" s="1">
        <v>45938</v>
      </c>
      <c r="B1512">
        <v>1</v>
      </c>
      <c r="C1512">
        <v>1.1630434780000001</v>
      </c>
      <c r="D1512" t="s">
        <v>8</v>
      </c>
      <c r="E1512">
        <v>77.39</v>
      </c>
      <c r="G1512" t="s">
        <v>1</v>
      </c>
    </row>
    <row r="1513" spans="1:7" x14ac:dyDescent="0.4">
      <c r="A1513" s="1">
        <v>45939</v>
      </c>
      <c r="B1513">
        <v>1</v>
      </c>
      <c r="C1513">
        <v>1.1630434780000001</v>
      </c>
      <c r="D1513" t="s">
        <v>8</v>
      </c>
      <c r="E1513">
        <v>77.95</v>
      </c>
      <c r="G1513" t="s">
        <v>1</v>
      </c>
    </row>
    <row r="1514" spans="1:7" x14ac:dyDescent="0.4">
      <c r="A1514" s="1">
        <v>45940</v>
      </c>
      <c r="B1514">
        <v>1</v>
      </c>
      <c r="C1514">
        <v>1.1630434780000001</v>
      </c>
      <c r="D1514" t="s">
        <v>8</v>
      </c>
      <c r="E1514">
        <v>79.22</v>
      </c>
      <c r="G1514" t="s">
        <v>1</v>
      </c>
    </row>
    <row r="1515" spans="1:7" x14ac:dyDescent="0.4">
      <c r="A1515" s="1">
        <v>45943</v>
      </c>
      <c r="B1515">
        <v>1</v>
      </c>
      <c r="C1515">
        <v>1.1630434780000001</v>
      </c>
      <c r="D1515" t="s">
        <v>8</v>
      </c>
      <c r="E1515">
        <v>78.66</v>
      </c>
      <c r="G1515" t="s">
        <v>1</v>
      </c>
    </row>
    <row r="1516" spans="1:7" x14ac:dyDescent="0.4">
      <c r="A1516" s="1">
        <v>45944</v>
      </c>
      <c r="B1516">
        <v>1</v>
      </c>
      <c r="C1516">
        <v>1.1630434780000001</v>
      </c>
      <c r="D1516" t="s">
        <v>8</v>
      </c>
      <c r="E1516">
        <v>76.91</v>
      </c>
      <c r="G1516" t="s">
        <v>1</v>
      </c>
    </row>
    <row r="1517" spans="1:7" x14ac:dyDescent="0.4">
      <c r="A1517" s="1">
        <v>45945</v>
      </c>
      <c r="B1517">
        <v>1</v>
      </c>
      <c r="C1517">
        <v>1.1630434780000001</v>
      </c>
      <c r="D1517" t="s">
        <v>8</v>
      </c>
      <c r="E1517">
        <v>76.58</v>
      </c>
      <c r="G1517" t="s">
        <v>1</v>
      </c>
    </row>
    <row r="1518" spans="1:7" x14ac:dyDescent="0.4">
      <c r="A1518" s="1">
        <v>45946</v>
      </c>
      <c r="B1518">
        <v>1</v>
      </c>
      <c r="C1518">
        <v>1.1630434780000001</v>
      </c>
      <c r="D1518" t="s">
        <v>8</v>
      </c>
      <c r="E1518">
        <v>77.819999999999993</v>
      </c>
      <c r="G1518" t="s">
        <v>1</v>
      </c>
    </row>
    <row r="1519" spans="1:7" x14ac:dyDescent="0.4">
      <c r="A1519" s="1">
        <v>45947</v>
      </c>
      <c r="B1519">
        <v>1</v>
      </c>
      <c r="C1519">
        <v>1.1630434780000001</v>
      </c>
      <c r="D1519" t="s">
        <v>8</v>
      </c>
      <c r="E1519">
        <v>77.989999999999995</v>
      </c>
      <c r="G1519" t="s">
        <v>1</v>
      </c>
    </row>
    <row r="1520" spans="1:7" x14ac:dyDescent="0.4">
      <c r="A1520" s="1">
        <v>45950</v>
      </c>
      <c r="B1520">
        <v>1</v>
      </c>
      <c r="C1520">
        <v>1.1630434780000001</v>
      </c>
      <c r="D1520" t="s">
        <v>8</v>
      </c>
      <c r="E1520">
        <v>78.75</v>
      </c>
      <c r="G1520" t="s">
        <v>1</v>
      </c>
    </row>
    <row r="1521" spans="1:7" x14ac:dyDescent="0.4">
      <c r="A1521" s="1">
        <v>45951</v>
      </c>
      <c r="B1521">
        <v>1</v>
      </c>
      <c r="C1521">
        <v>1.1630434780000001</v>
      </c>
      <c r="D1521" t="s">
        <v>8</v>
      </c>
      <c r="E1521">
        <v>78.94</v>
      </c>
      <c r="G1521" t="s">
        <v>1</v>
      </c>
    </row>
    <row r="1522" spans="1:7" x14ac:dyDescent="0.4">
      <c r="A1522" s="1">
        <v>45953</v>
      </c>
      <c r="B1522">
        <v>1</v>
      </c>
      <c r="C1522">
        <v>1.1630434780000001</v>
      </c>
      <c r="D1522" t="s">
        <v>8</v>
      </c>
      <c r="E1522">
        <v>78.540000000000006</v>
      </c>
      <c r="G1522" t="s">
        <v>1</v>
      </c>
    </row>
    <row r="1523" spans="1:7" x14ac:dyDescent="0.4">
      <c r="A1523" s="1">
        <v>45954</v>
      </c>
      <c r="B1523">
        <v>1</v>
      </c>
      <c r="C1523">
        <v>1.1630434780000001</v>
      </c>
      <c r="D1523" t="s">
        <v>8</v>
      </c>
      <c r="E1523">
        <v>78.47</v>
      </c>
      <c r="G1523" t="s">
        <v>1</v>
      </c>
    </row>
    <row r="1524" spans="1:7" x14ac:dyDescent="0.4">
      <c r="A1524" s="1">
        <v>45957</v>
      </c>
      <c r="B1524">
        <v>1</v>
      </c>
      <c r="C1524">
        <v>1.1630434780000001</v>
      </c>
      <c r="D1524" t="s">
        <v>8</v>
      </c>
      <c r="E1524">
        <v>77.56</v>
      </c>
      <c r="G1524" t="s">
        <v>1</v>
      </c>
    </row>
    <row r="1525" spans="1:7" x14ac:dyDescent="0.4">
      <c r="A1525" s="1">
        <v>45958</v>
      </c>
      <c r="B1525">
        <v>1</v>
      </c>
      <c r="C1525">
        <v>1.1630434780000001</v>
      </c>
      <c r="D1525" t="s">
        <v>8</v>
      </c>
      <c r="E1525">
        <v>77.849999999999994</v>
      </c>
      <c r="G1525" t="s">
        <v>1</v>
      </c>
    </row>
    <row r="1526" spans="1:7" x14ac:dyDescent="0.4">
      <c r="A1526" s="1">
        <v>45959</v>
      </c>
      <c r="B1526">
        <v>1</v>
      </c>
      <c r="C1526">
        <v>1.1630434780000001</v>
      </c>
      <c r="D1526" t="s">
        <v>8</v>
      </c>
      <c r="E1526">
        <v>78.55</v>
      </c>
      <c r="G1526" t="s">
        <v>1</v>
      </c>
    </row>
    <row r="1527" spans="1:7" x14ac:dyDescent="0.4">
      <c r="A1527" s="1">
        <v>45960</v>
      </c>
      <c r="B1527">
        <v>1</v>
      </c>
      <c r="C1527">
        <v>1.1630434780000001</v>
      </c>
      <c r="D1527" t="s">
        <v>8</v>
      </c>
      <c r="E1527">
        <v>78.709999999999994</v>
      </c>
      <c r="G1527" t="s">
        <v>1</v>
      </c>
    </row>
    <row r="1528" spans="1:7" x14ac:dyDescent="0.4">
      <c r="A1528" s="1">
        <v>45961</v>
      </c>
      <c r="B1528">
        <v>1</v>
      </c>
      <c r="C1528">
        <v>1.1630434780000001</v>
      </c>
      <c r="D1528" t="s">
        <v>8</v>
      </c>
      <c r="E1528">
        <v>78.66</v>
      </c>
      <c r="G1528" t="s">
        <v>1</v>
      </c>
    </row>
    <row r="1529" spans="1:7" x14ac:dyDescent="0.4">
      <c r="A1529" s="1">
        <v>45964</v>
      </c>
      <c r="B1529">
        <v>1</v>
      </c>
      <c r="C1529">
        <v>1.15602</v>
      </c>
      <c r="D1529" t="s">
        <v>8</v>
      </c>
      <c r="E1529">
        <v>79.3</v>
      </c>
      <c r="G1529" t="s">
        <v>1</v>
      </c>
    </row>
    <row r="1530" spans="1:7" x14ac:dyDescent="0.4">
      <c r="A1530" s="1">
        <v>45965</v>
      </c>
      <c r="B1530">
        <v>1</v>
      </c>
      <c r="C1530">
        <v>1.15602</v>
      </c>
      <c r="D1530" t="s">
        <v>8</v>
      </c>
      <c r="E1530">
        <v>81.260000000000005</v>
      </c>
      <c r="G1530" t="s">
        <v>1</v>
      </c>
    </row>
    <row r="1531" spans="1:7" x14ac:dyDescent="0.4">
      <c r="A1531" s="1">
        <v>45967</v>
      </c>
      <c r="B1531">
        <v>1</v>
      </c>
      <c r="C1531">
        <v>1.15602</v>
      </c>
      <c r="D1531" t="s">
        <v>8</v>
      </c>
      <c r="E1531">
        <v>80.069999999999993</v>
      </c>
      <c r="G1531" t="s">
        <v>1</v>
      </c>
    </row>
    <row r="1532" spans="1:7" x14ac:dyDescent="0.4">
      <c r="A1532" s="1">
        <v>45968</v>
      </c>
      <c r="B1532">
        <v>1</v>
      </c>
      <c r="C1532">
        <v>1.15602</v>
      </c>
      <c r="D1532" t="s">
        <v>8</v>
      </c>
      <c r="E1532">
        <v>79.760000000000005</v>
      </c>
      <c r="G1532" t="s">
        <v>1</v>
      </c>
    </row>
    <row r="1533" spans="1:7" x14ac:dyDescent="0.4">
      <c r="A1533" s="1">
        <v>45971</v>
      </c>
      <c r="B1533">
        <v>1</v>
      </c>
      <c r="C1533">
        <v>1.15602</v>
      </c>
      <c r="D1533" t="s">
        <v>8</v>
      </c>
      <c r="E1533">
        <v>79.97</v>
      </c>
      <c r="G1533" t="s">
        <v>1</v>
      </c>
    </row>
    <row r="1534" spans="1:7" x14ac:dyDescent="0.4">
      <c r="A1534" s="1">
        <v>45972</v>
      </c>
      <c r="B1534">
        <v>1</v>
      </c>
      <c r="C1534">
        <v>1.15602</v>
      </c>
      <c r="D1534" t="s">
        <v>8</v>
      </c>
      <c r="E1534">
        <v>79.91</v>
      </c>
      <c r="G1534" t="s">
        <v>1</v>
      </c>
    </row>
    <row r="1535" spans="1:7" x14ac:dyDescent="0.4">
      <c r="A1535" s="1">
        <v>45973</v>
      </c>
      <c r="B1535">
        <v>1</v>
      </c>
      <c r="C1535">
        <v>1.15602</v>
      </c>
      <c r="D1535" t="s">
        <v>8</v>
      </c>
      <c r="E1535">
        <v>81.510000000000005</v>
      </c>
      <c r="G1535" t="s">
        <v>1</v>
      </c>
    </row>
    <row r="1536" spans="1:7" x14ac:dyDescent="0.4">
      <c r="A1536" s="1">
        <v>45974</v>
      </c>
      <c r="B1536">
        <v>1</v>
      </c>
      <c r="C1536">
        <v>1.15602</v>
      </c>
      <c r="D1536" t="s">
        <v>8</v>
      </c>
      <c r="E1536">
        <v>81.31</v>
      </c>
      <c r="G1536" t="s">
        <v>1</v>
      </c>
    </row>
    <row r="1537" spans="1:7" x14ac:dyDescent="0.4">
      <c r="A1537" s="1">
        <v>45975</v>
      </c>
      <c r="B1537">
        <v>1</v>
      </c>
      <c r="C1537">
        <v>1.15602</v>
      </c>
      <c r="D1537" t="s">
        <v>8</v>
      </c>
      <c r="E1537">
        <v>80.849999999999994</v>
      </c>
      <c r="G1537" t="s">
        <v>1</v>
      </c>
    </row>
    <row r="1538" spans="1:7" x14ac:dyDescent="0.4">
      <c r="A1538" s="1">
        <v>45978</v>
      </c>
      <c r="B1538">
        <v>1</v>
      </c>
      <c r="C1538">
        <v>1.15602</v>
      </c>
      <c r="D1538" t="s">
        <v>8</v>
      </c>
      <c r="E1538">
        <v>80.25</v>
      </c>
      <c r="G1538" t="s">
        <v>1</v>
      </c>
    </row>
    <row r="1539" spans="1:7" x14ac:dyDescent="0.4">
      <c r="A1539" s="1">
        <v>45979</v>
      </c>
      <c r="B1539">
        <v>1</v>
      </c>
      <c r="C1539">
        <v>1.15602</v>
      </c>
      <c r="D1539" t="s">
        <v>8</v>
      </c>
      <c r="E1539">
        <v>80.41</v>
      </c>
      <c r="G1539" t="s">
        <v>1</v>
      </c>
    </row>
    <row r="1540" spans="1:7" x14ac:dyDescent="0.4">
      <c r="A1540" s="1">
        <v>45981</v>
      </c>
      <c r="B1540">
        <v>1</v>
      </c>
      <c r="C1540">
        <v>1.15602</v>
      </c>
      <c r="D1540" t="s">
        <v>8</v>
      </c>
      <c r="E1540">
        <v>81.16</v>
      </c>
      <c r="G1540" t="s">
        <v>1</v>
      </c>
    </row>
    <row r="1541" spans="1:7" x14ac:dyDescent="0.4">
      <c r="A1541" s="1">
        <v>45982</v>
      </c>
      <c r="B1541">
        <v>1</v>
      </c>
      <c r="C1541">
        <v>1.15602</v>
      </c>
      <c r="D1541" t="s">
        <v>8</v>
      </c>
      <c r="E1541">
        <v>80.47</v>
      </c>
      <c r="G1541" t="s">
        <v>1</v>
      </c>
    </row>
    <row r="1542" spans="1:7" x14ac:dyDescent="0.4">
      <c r="A1542" s="1">
        <v>45985</v>
      </c>
      <c r="B1542">
        <v>1</v>
      </c>
      <c r="C1542">
        <v>1.15602</v>
      </c>
      <c r="D1542" t="s">
        <v>8</v>
      </c>
      <c r="E1542">
        <v>80</v>
      </c>
      <c r="G1542" t="s">
        <v>1</v>
      </c>
    </row>
    <row r="1543" spans="1:7" x14ac:dyDescent="0.4">
      <c r="A1543" s="1">
        <v>45986</v>
      </c>
      <c r="B1543">
        <v>1</v>
      </c>
      <c r="C1543">
        <v>1.15602</v>
      </c>
      <c r="D1543" t="s">
        <v>8</v>
      </c>
      <c r="E1543">
        <v>81.19</v>
      </c>
      <c r="G1543" t="s">
        <v>1</v>
      </c>
    </row>
    <row r="1544" spans="1:7" x14ac:dyDescent="0.4">
      <c r="A1544" s="1">
        <v>45987</v>
      </c>
      <c r="B1544">
        <v>1</v>
      </c>
      <c r="C1544">
        <v>1.15602</v>
      </c>
      <c r="D1544" t="s">
        <v>8</v>
      </c>
      <c r="E1544">
        <v>81.510000000000005</v>
      </c>
      <c r="G1544" t="s">
        <v>1</v>
      </c>
    </row>
    <row r="1545" spans="1:7" x14ac:dyDescent="0.4">
      <c r="A1545" s="1">
        <v>45988</v>
      </c>
      <c r="B1545">
        <v>1</v>
      </c>
      <c r="C1545">
        <v>1.15602</v>
      </c>
      <c r="D1545" t="s">
        <v>8</v>
      </c>
      <c r="E1545">
        <v>81.069999999999993</v>
      </c>
      <c r="G1545" t="s">
        <v>1</v>
      </c>
    </row>
    <row r="1546" spans="1:7" x14ac:dyDescent="0.4">
      <c r="A1546" s="1">
        <v>45989</v>
      </c>
      <c r="B1546">
        <v>1</v>
      </c>
      <c r="C1546">
        <v>1.15602</v>
      </c>
      <c r="D1546" t="s">
        <v>8</v>
      </c>
      <c r="E1546">
        <v>82.6</v>
      </c>
      <c r="G1546" t="s">
        <v>1</v>
      </c>
    </row>
    <row r="1547" spans="1:7" x14ac:dyDescent="0.4">
      <c r="A1547" s="1">
        <v>45992</v>
      </c>
      <c r="B1547">
        <v>1</v>
      </c>
      <c r="C1547">
        <v>1.170871429</v>
      </c>
      <c r="D1547" t="s">
        <v>8</v>
      </c>
      <c r="E1547">
        <v>83.01</v>
      </c>
      <c r="G1547" t="s">
        <v>1</v>
      </c>
    </row>
    <row r="1548" spans="1:7" x14ac:dyDescent="0.4">
      <c r="A1548" s="1">
        <v>45993</v>
      </c>
      <c r="B1548">
        <v>1</v>
      </c>
      <c r="C1548">
        <v>1.170871429</v>
      </c>
      <c r="D1548" t="s">
        <v>8</v>
      </c>
      <c r="E1548">
        <v>82.19</v>
      </c>
      <c r="G1548" t="s">
        <v>1</v>
      </c>
    </row>
    <row r="1549" spans="1:7" x14ac:dyDescent="0.4">
      <c r="A1549" s="1">
        <v>45995</v>
      </c>
      <c r="B1549">
        <v>1</v>
      </c>
      <c r="C1549">
        <v>1.170871429</v>
      </c>
      <c r="D1549" t="s">
        <v>8</v>
      </c>
      <c r="E1549">
        <v>81.39</v>
      </c>
      <c r="G1549" t="s">
        <v>1</v>
      </c>
    </row>
    <row r="1550" spans="1:7" x14ac:dyDescent="0.4">
      <c r="A1550" s="1">
        <v>45996</v>
      </c>
      <c r="B1550">
        <v>1</v>
      </c>
      <c r="C1550">
        <v>1.170871429</v>
      </c>
      <c r="D1550" t="s">
        <v>8</v>
      </c>
      <c r="E1550">
        <v>82.25</v>
      </c>
      <c r="G1550" t="s">
        <v>1</v>
      </c>
    </row>
    <row r="1551" spans="1:7" x14ac:dyDescent="0.4">
      <c r="A1551" s="1">
        <v>45999</v>
      </c>
      <c r="B1551">
        <v>1</v>
      </c>
      <c r="C1551">
        <v>1.170871429</v>
      </c>
      <c r="D1551" t="s">
        <v>8</v>
      </c>
      <c r="E1551">
        <v>82.17</v>
      </c>
      <c r="G1551" t="s">
        <v>1</v>
      </c>
    </row>
    <row r="1552" spans="1:7" x14ac:dyDescent="0.4">
      <c r="A1552" s="1">
        <v>46000</v>
      </c>
      <c r="B1552">
        <v>1</v>
      </c>
      <c r="C1552">
        <v>1.170871429</v>
      </c>
      <c r="D1552" t="s">
        <v>8</v>
      </c>
      <c r="E1552">
        <v>82.22</v>
      </c>
      <c r="G1552" t="s">
        <v>1</v>
      </c>
    </row>
    <row r="1553" spans="1:7" x14ac:dyDescent="0.4">
      <c r="A1553" s="1">
        <v>46001</v>
      </c>
      <c r="B1553">
        <v>1</v>
      </c>
      <c r="C1553">
        <v>1.170871429</v>
      </c>
      <c r="D1553" t="s">
        <v>8</v>
      </c>
      <c r="E1553">
        <v>82.18</v>
      </c>
      <c r="G1553" t="s">
        <v>1</v>
      </c>
    </row>
    <row r="1554" spans="1:7" x14ac:dyDescent="0.4">
      <c r="A1554" s="1">
        <v>46002</v>
      </c>
      <c r="B1554">
        <v>1</v>
      </c>
      <c r="C1554">
        <v>1.170871429</v>
      </c>
      <c r="D1554" t="s">
        <v>8</v>
      </c>
      <c r="E1554">
        <v>83.77</v>
      </c>
      <c r="G1554" t="s">
        <v>1</v>
      </c>
    </row>
    <row r="1555" spans="1:7" x14ac:dyDescent="0.4">
      <c r="A1555" s="1">
        <v>46003</v>
      </c>
      <c r="B1555">
        <v>1</v>
      </c>
      <c r="C1555">
        <v>1.170871429</v>
      </c>
      <c r="D1555" t="s">
        <v>8</v>
      </c>
      <c r="E1555">
        <v>83.65</v>
      </c>
      <c r="G1555" t="s">
        <v>1</v>
      </c>
    </row>
    <row r="1556" spans="1:7" x14ac:dyDescent="0.4">
      <c r="A1556" s="1">
        <v>46006</v>
      </c>
      <c r="B1556">
        <v>1</v>
      </c>
      <c r="C1556">
        <v>1.170871429</v>
      </c>
      <c r="D1556" t="s">
        <v>8</v>
      </c>
      <c r="E1556">
        <v>84.6</v>
      </c>
      <c r="G1556" t="s">
        <v>1</v>
      </c>
    </row>
    <row r="1557" spans="1:7" x14ac:dyDescent="0.4">
      <c r="A1557" s="1">
        <v>45817</v>
      </c>
      <c r="B1557">
        <v>1</v>
      </c>
      <c r="C1557">
        <v>1.1516190479999999</v>
      </c>
      <c r="D1557" t="s">
        <v>8</v>
      </c>
      <c r="F1557">
        <v>74.52</v>
      </c>
      <c r="G1557" t="s">
        <v>1</v>
      </c>
    </row>
    <row r="1558" spans="1:7" x14ac:dyDescent="0.4">
      <c r="A1558" s="1">
        <v>46029</v>
      </c>
      <c r="B1558">
        <v>1</v>
      </c>
      <c r="C1558">
        <v>1.17382381</v>
      </c>
      <c r="D1558" t="s">
        <v>8</v>
      </c>
      <c r="E1558">
        <v>86.27</v>
      </c>
      <c r="G1558" t="s">
        <v>1</v>
      </c>
    </row>
    <row r="1559" spans="1:7" x14ac:dyDescent="0.4">
      <c r="A1559" s="1">
        <v>46030</v>
      </c>
      <c r="B1559">
        <v>1</v>
      </c>
      <c r="C1559">
        <v>1.17382381</v>
      </c>
      <c r="D1559" t="s">
        <v>8</v>
      </c>
      <c r="E1559">
        <v>85.47</v>
      </c>
      <c r="G1559" t="s">
        <v>1</v>
      </c>
    </row>
    <row r="1560" spans="1:7" x14ac:dyDescent="0.4">
      <c r="A1560" s="1">
        <v>46031</v>
      </c>
      <c r="B1560">
        <v>1</v>
      </c>
      <c r="C1560">
        <v>1.17382381</v>
      </c>
      <c r="D1560" t="s">
        <v>8</v>
      </c>
      <c r="E1560">
        <v>87</v>
      </c>
      <c r="G1560" t="s">
        <v>1</v>
      </c>
    </row>
    <row r="1561" spans="1:7" x14ac:dyDescent="0.4">
      <c r="A1561" s="1">
        <v>46034</v>
      </c>
      <c r="B1561">
        <v>1</v>
      </c>
      <c r="C1561">
        <v>1.17382381</v>
      </c>
      <c r="D1561" t="s">
        <v>8</v>
      </c>
      <c r="E1561">
        <v>87.87</v>
      </c>
      <c r="G1561" t="s">
        <v>1</v>
      </c>
    </row>
    <row r="1562" spans="1:7" x14ac:dyDescent="0.4">
      <c r="A1562" s="1">
        <v>46035</v>
      </c>
      <c r="B1562">
        <v>1</v>
      </c>
      <c r="C1562">
        <v>1.17382381</v>
      </c>
      <c r="D1562" t="s">
        <v>8</v>
      </c>
      <c r="E1562">
        <v>88.71</v>
      </c>
      <c r="G1562" t="s">
        <v>1</v>
      </c>
    </row>
    <row r="1563" spans="1:7" x14ac:dyDescent="0.4">
      <c r="A1563" s="1">
        <v>46037</v>
      </c>
      <c r="B1563">
        <v>1</v>
      </c>
      <c r="C1563">
        <v>1.17382381</v>
      </c>
      <c r="D1563" t="s">
        <v>8</v>
      </c>
      <c r="E1563">
        <v>91.32</v>
      </c>
      <c r="G1563" t="s">
        <v>1</v>
      </c>
    </row>
    <row r="1564" spans="1:7" x14ac:dyDescent="0.4">
      <c r="A1564" s="1">
        <v>46038</v>
      </c>
      <c r="B1564">
        <v>1</v>
      </c>
      <c r="C1564">
        <v>1.17382381</v>
      </c>
      <c r="D1564" t="s">
        <v>8</v>
      </c>
      <c r="E1564">
        <v>91.34</v>
      </c>
      <c r="G1564" t="s">
        <v>1</v>
      </c>
    </row>
    <row r="1565" spans="1:7" x14ac:dyDescent="0.4">
      <c r="A1565" s="1">
        <v>46041</v>
      </c>
      <c r="B1565">
        <v>1</v>
      </c>
      <c r="C1565">
        <v>1.17382381</v>
      </c>
      <c r="D1565" t="s">
        <v>8</v>
      </c>
      <c r="E1565">
        <v>87.34</v>
      </c>
      <c r="G1565" t="s">
        <v>1</v>
      </c>
    </row>
    <row r="1566" spans="1:7" x14ac:dyDescent="0.4">
      <c r="A1566" s="1">
        <v>46042</v>
      </c>
      <c r="B1566">
        <v>1</v>
      </c>
      <c r="C1566">
        <v>1.17382381</v>
      </c>
      <c r="D1566" t="s">
        <v>8</v>
      </c>
      <c r="E1566">
        <v>84.58</v>
      </c>
      <c r="G1566" t="s">
        <v>1</v>
      </c>
    </row>
    <row r="1567" spans="1:7" x14ac:dyDescent="0.4">
      <c r="A1567" s="1">
        <v>46043</v>
      </c>
      <c r="B1567">
        <v>1</v>
      </c>
      <c r="C1567">
        <v>1.17382381</v>
      </c>
      <c r="D1567" t="s">
        <v>8</v>
      </c>
      <c r="E1567">
        <v>83.55</v>
      </c>
      <c r="G1567" t="s">
        <v>1</v>
      </c>
    </row>
    <row r="1568" spans="1:7" x14ac:dyDescent="0.4">
      <c r="A1568" s="1">
        <v>46044</v>
      </c>
      <c r="B1568">
        <v>1</v>
      </c>
      <c r="C1568">
        <v>1.17382381</v>
      </c>
      <c r="D1568" t="s">
        <v>8</v>
      </c>
      <c r="E1568">
        <v>86.55</v>
      </c>
      <c r="G1568" t="s">
        <v>1</v>
      </c>
    </row>
    <row r="1569" spans="1:7" x14ac:dyDescent="0.4">
      <c r="A1569" s="1">
        <v>46045</v>
      </c>
      <c r="B1569">
        <v>1</v>
      </c>
      <c r="C1569">
        <v>1.17382381</v>
      </c>
      <c r="D1569" t="s">
        <v>8</v>
      </c>
      <c r="E1569">
        <v>87.51</v>
      </c>
      <c r="G1569" t="s">
        <v>1</v>
      </c>
    </row>
    <row r="1570" spans="1:7" x14ac:dyDescent="0.4">
      <c r="A1570" s="1">
        <v>46048</v>
      </c>
      <c r="B1570">
        <v>1</v>
      </c>
      <c r="C1570">
        <v>1.17382381</v>
      </c>
      <c r="D1570" t="s">
        <v>8</v>
      </c>
      <c r="E1570">
        <v>86.4</v>
      </c>
      <c r="G1570" t="s">
        <v>1</v>
      </c>
    </row>
    <row r="1571" spans="1:7" x14ac:dyDescent="0.4">
      <c r="A1571" s="1">
        <v>46049</v>
      </c>
      <c r="B1571">
        <v>1</v>
      </c>
      <c r="C1571">
        <v>1.17382381</v>
      </c>
      <c r="D1571" t="s">
        <v>8</v>
      </c>
      <c r="E1571">
        <v>85.93</v>
      </c>
      <c r="G1571" t="s">
        <v>1</v>
      </c>
    </row>
    <row r="1572" spans="1:7" x14ac:dyDescent="0.4">
      <c r="A1572" s="1">
        <v>46051</v>
      </c>
      <c r="B1572">
        <v>1</v>
      </c>
      <c r="C1572">
        <v>1.17382381</v>
      </c>
      <c r="D1572" t="s">
        <v>8</v>
      </c>
      <c r="E1572">
        <v>82.58</v>
      </c>
      <c r="G1572" t="s">
        <v>1</v>
      </c>
    </row>
    <row r="1573" spans="1:7" x14ac:dyDescent="0.4">
      <c r="A1573" s="1">
        <v>46052</v>
      </c>
      <c r="B1573">
        <v>1</v>
      </c>
      <c r="C1573">
        <v>1.17382381</v>
      </c>
      <c r="D1573" t="s">
        <v>8</v>
      </c>
      <c r="E1573">
        <v>81.680000000000007</v>
      </c>
      <c r="G1573" t="s">
        <v>1</v>
      </c>
    </row>
    <row r="1574" spans="1:7" x14ac:dyDescent="0.4">
      <c r="A1574" s="1">
        <v>46055</v>
      </c>
      <c r="B1574">
        <v>1</v>
      </c>
      <c r="C1574">
        <v>1.1823950000000001</v>
      </c>
      <c r="D1574" t="s">
        <v>8</v>
      </c>
      <c r="E1574">
        <v>80.569999999999993</v>
      </c>
      <c r="G1574" t="s">
        <v>1</v>
      </c>
    </row>
    <row r="1575" spans="1:7" x14ac:dyDescent="0.4">
      <c r="A1575" s="1">
        <v>46056</v>
      </c>
      <c r="B1575">
        <v>1</v>
      </c>
      <c r="C1575">
        <v>1.1823950000000001</v>
      </c>
      <c r="D1575" t="s">
        <v>8</v>
      </c>
      <c r="E1575">
        <v>81.7</v>
      </c>
      <c r="G1575" t="s">
        <v>1</v>
      </c>
    </row>
    <row r="1576" spans="1:7" x14ac:dyDescent="0.4">
      <c r="A1576" s="1">
        <v>46057</v>
      </c>
      <c r="B1576">
        <v>1</v>
      </c>
      <c r="C1576">
        <v>1.1823950000000001</v>
      </c>
      <c r="D1576" t="s">
        <v>8</v>
      </c>
      <c r="E1576">
        <v>80.8</v>
      </c>
      <c r="G1576" t="s">
        <v>1</v>
      </c>
    </row>
    <row r="1577" spans="1:7" x14ac:dyDescent="0.4">
      <c r="A1577" s="1">
        <v>46058</v>
      </c>
      <c r="B1577">
        <v>1</v>
      </c>
      <c r="C1577">
        <v>1.1823950000000001</v>
      </c>
      <c r="D1577" t="s">
        <v>8</v>
      </c>
      <c r="E1577">
        <v>80.55</v>
      </c>
      <c r="G1577" t="s">
        <v>1</v>
      </c>
    </row>
    <row r="1578" spans="1:7" x14ac:dyDescent="0.4">
      <c r="A1578" s="1">
        <v>46059</v>
      </c>
      <c r="B1578">
        <v>1</v>
      </c>
      <c r="C1578">
        <v>1.1823950000000001</v>
      </c>
      <c r="D1578" t="s">
        <v>8</v>
      </c>
      <c r="E1578">
        <v>77.23</v>
      </c>
      <c r="G1578" t="s">
        <v>1</v>
      </c>
    </row>
    <row r="1579" spans="1:7" x14ac:dyDescent="0.4">
      <c r="A1579" s="1">
        <v>46062</v>
      </c>
      <c r="B1579">
        <v>1</v>
      </c>
      <c r="C1579">
        <v>1.1823950000000001</v>
      </c>
      <c r="D1579" t="s">
        <v>8</v>
      </c>
      <c r="E1579">
        <v>78.53</v>
      </c>
      <c r="G1579" t="s">
        <v>1</v>
      </c>
    </row>
    <row r="1580" spans="1:7" x14ac:dyDescent="0.4">
      <c r="A1580" s="1">
        <v>46063</v>
      </c>
      <c r="B1580">
        <v>1</v>
      </c>
      <c r="C1580">
        <v>1.1823950000000001</v>
      </c>
      <c r="D1580" t="s">
        <v>8</v>
      </c>
      <c r="E1580">
        <v>79.2</v>
      </c>
      <c r="G1580" t="s">
        <v>1</v>
      </c>
    </row>
    <row r="1581" spans="1:7" x14ac:dyDescent="0.4">
      <c r="A1581" s="1">
        <v>46065</v>
      </c>
      <c r="B1581">
        <v>1</v>
      </c>
      <c r="C1581">
        <v>1.1823950000000001</v>
      </c>
      <c r="D1581" t="s">
        <v>8</v>
      </c>
      <c r="E1581">
        <v>70.89</v>
      </c>
      <c r="G1581" t="s">
        <v>1</v>
      </c>
    </row>
    <row r="1582" spans="1:7" x14ac:dyDescent="0.4">
      <c r="A1582" s="1">
        <v>46066</v>
      </c>
      <c r="B1582">
        <v>1</v>
      </c>
      <c r="C1582">
        <v>1.1823950000000001</v>
      </c>
      <c r="D1582" t="s">
        <v>8</v>
      </c>
      <c r="E1582">
        <v>71.5</v>
      </c>
      <c r="G1582" t="s">
        <v>1</v>
      </c>
    </row>
    <row r="1583" spans="1:7" x14ac:dyDescent="0.4">
      <c r="A1583" s="1">
        <v>46069</v>
      </c>
      <c r="B1583">
        <v>1</v>
      </c>
      <c r="C1583">
        <v>1.1823950000000001</v>
      </c>
      <c r="D1583" t="s">
        <v>8</v>
      </c>
      <c r="E1583">
        <v>69.8</v>
      </c>
      <c r="G1583" t="s">
        <v>1</v>
      </c>
    </row>
    <row r="1584" spans="1:7" x14ac:dyDescent="0.4">
      <c r="A1584" s="1">
        <v>46070</v>
      </c>
      <c r="B1584">
        <v>1</v>
      </c>
      <c r="C1584">
        <v>1.1823950000000001</v>
      </c>
      <c r="D1584" t="s">
        <v>8</v>
      </c>
      <c r="E1584">
        <v>67.819999999999993</v>
      </c>
      <c r="G1584" t="s">
        <v>1</v>
      </c>
    </row>
    <row r="1585" spans="1:7" x14ac:dyDescent="0.4">
      <c r="A1585" s="1">
        <v>46071</v>
      </c>
      <c r="B1585">
        <v>1</v>
      </c>
      <c r="C1585">
        <v>1.1823950000000001</v>
      </c>
      <c r="D1585" t="s">
        <v>8</v>
      </c>
      <c r="E1585">
        <v>69.22</v>
      </c>
      <c r="G1585" t="s">
        <v>1</v>
      </c>
    </row>
    <row r="1586" spans="1:7" x14ac:dyDescent="0.4">
      <c r="A1586" s="1">
        <v>46072</v>
      </c>
      <c r="B1586">
        <v>1</v>
      </c>
      <c r="C1586">
        <v>1.1823950000000001</v>
      </c>
      <c r="D1586" t="s">
        <v>8</v>
      </c>
      <c r="E1586">
        <v>70.510000000000005</v>
      </c>
      <c r="G1586" t="s">
        <v>1</v>
      </c>
    </row>
    <row r="1587" spans="1:7" x14ac:dyDescent="0.4">
      <c r="A1587" s="1">
        <v>46073</v>
      </c>
      <c r="B1587">
        <v>1</v>
      </c>
      <c r="C1587">
        <v>1.1823950000000001</v>
      </c>
      <c r="D1587" t="s">
        <v>8</v>
      </c>
      <c r="E1587">
        <v>70.87</v>
      </c>
      <c r="G1587" t="s">
        <v>1</v>
      </c>
    </row>
    <row r="1588" spans="1:7" x14ac:dyDescent="0.4">
      <c r="A1588" s="1">
        <v>46076</v>
      </c>
      <c r="B1588">
        <v>1</v>
      </c>
      <c r="C1588">
        <v>1.1823950000000001</v>
      </c>
      <c r="D1588" t="s">
        <v>8</v>
      </c>
      <c r="E1588">
        <v>70.400000000000006</v>
      </c>
      <c r="G1588" t="s">
        <v>1</v>
      </c>
    </row>
    <row r="1589" spans="1:7" x14ac:dyDescent="0.4">
      <c r="A1589" s="1">
        <v>46077</v>
      </c>
      <c r="B1589">
        <v>1</v>
      </c>
      <c r="C1589">
        <v>1.1823950000000001</v>
      </c>
      <c r="D1589" t="s">
        <v>8</v>
      </c>
      <c r="E1589">
        <v>69.7</v>
      </c>
      <c r="G1589" t="s">
        <v>1</v>
      </c>
    </row>
    <row r="1590" spans="1:7" x14ac:dyDescent="0.4">
      <c r="A1590" s="1">
        <v>46079</v>
      </c>
      <c r="B1590">
        <v>1</v>
      </c>
      <c r="C1590">
        <v>1.1823950000000001</v>
      </c>
      <c r="D1590" t="s">
        <v>8</v>
      </c>
      <c r="E1590">
        <v>68.37</v>
      </c>
      <c r="G1590" t="s">
        <v>1</v>
      </c>
    </row>
    <row r="1591" spans="1:7" x14ac:dyDescent="0.4">
      <c r="A1591" s="1">
        <v>46080</v>
      </c>
      <c r="B1591">
        <v>1</v>
      </c>
      <c r="C1591">
        <v>1.1823950000000001</v>
      </c>
      <c r="D1591" t="s">
        <v>8</v>
      </c>
      <c r="E1591">
        <v>70.260000000000005</v>
      </c>
      <c r="G1591" t="s">
        <v>1</v>
      </c>
    </row>
    <row r="1592" spans="1:7" x14ac:dyDescent="0.4">
      <c r="A1592" s="1">
        <v>46083</v>
      </c>
      <c r="B1592">
        <v>1</v>
      </c>
      <c r="C1592">
        <v>1.1823950000000001</v>
      </c>
      <c r="D1592" t="s">
        <v>8</v>
      </c>
      <c r="E1592">
        <v>68.42</v>
      </c>
      <c r="G1592" t="s">
        <v>1</v>
      </c>
    </row>
    <row r="1593" spans="1:7" x14ac:dyDescent="0.4">
      <c r="A1593" s="1">
        <v>46084</v>
      </c>
      <c r="B1593">
        <v>1</v>
      </c>
      <c r="C1593">
        <v>1.1823950000000001</v>
      </c>
      <c r="D1593" t="s">
        <v>8</v>
      </c>
      <c r="E1593">
        <v>68.77</v>
      </c>
      <c r="G1593" t="s">
        <v>1</v>
      </c>
    </row>
    <row r="1594" spans="1:7" x14ac:dyDescent="0.4">
      <c r="A1594" s="1">
        <v>46085</v>
      </c>
      <c r="B1594">
        <v>1</v>
      </c>
      <c r="C1594">
        <v>1.1823950000000001</v>
      </c>
      <c r="D1594" t="s">
        <v>8</v>
      </c>
      <c r="E1594">
        <v>70.75</v>
      </c>
      <c r="G1594" t="s">
        <v>1</v>
      </c>
    </row>
    <row r="1595" spans="1:7" x14ac:dyDescent="0.4">
      <c r="A1595" s="1">
        <v>46086</v>
      </c>
      <c r="B1595">
        <v>1</v>
      </c>
      <c r="C1595">
        <v>1.1823950000000001</v>
      </c>
      <c r="D1595" t="s">
        <v>8</v>
      </c>
      <c r="E1595">
        <v>68.989999999999995</v>
      </c>
      <c r="G1595" t="s">
        <v>1</v>
      </c>
    </row>
    <row r="1596" spans="1:7" x14ac:dyDescent="0.4">
      <c r="A1596" s="1">
        <v>46087</v>
      </c>
      <c r="B1596">
        <v>1</v>
      </c>
      <c r="C1596">
        <v>1.1823950000000001</v>
      </c>
      <c r="D1596" t="s">
        <v>8</v>
      </c>
      <c r="E1596">
        <v>69.66</v>
      </c>
      <c r="G1596" t="s">
        <v>1</v>
      </c>
    </row>
    <row r="1597" spans="1:7" x14ac:dyDescent="0.4">
      <c r="A1597" s="1">
        <v>46090</v>
      </c>
      <c r="B1597">
        <v>1</v>
      </c>
      <c r="C1597">
        <v>1.1823950000000001</v>
      </c>
      <c r="D1597" t="s">
        <v>8</v>
      </c>
      <c r="E1597">
        <v>68.53</v>
      </c>
      <c r="G1597" t="s">
        <v>1</v>
      </c>
    </row>
    <row r="1598" spans="1:7" x14ac:dyDescent="0.4">
      <c r="A1598" s="1">
        <v>46091</v>
      </c>
      <c r="B1598">
        <v>1</v>
      </c>
      <c r="C1598">
        <v>1.1823950000000001</v>
      </c>
      <c r="D1598" t="s">
        <v>8</v>
      </c>
      <c r="E1598">
        <v>71.099999999999994</v>
      </c>
      <c r="G1598" t="s">
        <v>1</v>
      </c>
    </row>
    <row r="1599" spans="1:7" x14ac:dyDescent="0.4">
      <c r="A1599" s="1">
        <v>46093</v>
      </c>
      <c r="B1599">
        <v>1</v>
      </c>
      <c r="C1599">
        <v>1.1823950000000001</v>
      </c>
      <c r="D1599" t="s">
        <v>8</v>
      </c>
      <c r="E1599">
        <v>70.58</v>
      </c>
      <c r="G1599" t="s">
        <v>1</v>
      </c>
    </row>
    <row r="1600" spans="1:7" x14ac:dyDescent="0.4">
      <c r="A1600" s="1">
        <v>46094</v>
      </c>
      <c r="B1600">
        <v>1</v>
      </c>
      <c r="C1600">
        <v>1.1823950000000001</v>
      </c>
      <c r="D1600" t="s">
        <v>8</v>
      </c>
      <c r="E1600">
        <v>67.069999999999993</v>
      </c>
      <c r="G1600" t="s">
        <v>1</v>
      </c>
    </row>
    <row r="1601" spans="1:7" x14ac:dyDescent="0.4">
      <c r="A1601" s="1">
        <v>46097</v>
      </c>
      <c r="B1601">
        <v>1</v>
      </c>
      <c r="C1601">
        <v>1.1823950000000001</v>
      </c>
      <c r="D1601" t="s">
        <v>8</v>
      </c>
      <c r="E1601">
        <v>68.41</v>
      </c>
      <c r="G1601" t="s">
        <v>1</v>
      </c>
    </row>
    <row r="1602" spans="1:7" x14ac:dyDescent="0.4">
      <c r="A1602" s="1">
        <v>46098</v>
      </c>
      <c r="B1602">
        <v>1</v>
      </c>
      <c r="C1602">
        <v>1.1823950000000001</v>
      </c>
      <c r="D1602" t="s">
        <v>8</v>
      </c>
      <c r="E1602">
        <v>64.52</v>
      </c>
      <c r="G1602" t="s">
        <v>1</v>
      </c>
    </row>
    <row r="1603" spans="1:7" x14ac:dyDescent="0.4">
      <c r="A1603" s="1">
        <v>46099</v>
      </c>
      <c r="B1603">
        <v>1</v>
      </c>
      <c r="C1603">
        <v>1.1823950000000001</v>
      </c>
      <c r="D1603" t="s">
        <v>8</v>
      </c>
      <c r="E1603">
        <v>65.16</v>
      </c>
      <c r="G1603" t="s">
        <v>1</v>
      </c>
    </row>
    <row r="1604" spans="1:7" x14ac:dyDescent="0.4">
      <c r="A1604" s="1">
        <v>46100</v>
      </c>
      <c r="B1604">
        <v>1</v>
      </c>
      <c r="C1604">
        <v>1.1823950000000001</v>
      </c>
      <c r="D1604" t="s">
        <v>8</v>
      </c>
      <c r="E1604">
        <v>62.19</v>
      </c>
      <c r="G1604" t="s">
        <v>1</v>
      </c>
    </row>
    <row r="1605" spans="1:7" x14ac:dyDescent="0.4">
      <c r="A1605" s="1">
        <v>46101</v>
      </c>
      <c r="B1605">
        <v>1</v>
      </c>
      <c r="C1605">
        <v>1.1823950000000001</v>
      </c>
      <c r="D1605" t="s">
        <v>8</v>
      </c>
      <c r="E1605">
        <v>66.69</v>
      </c>
      <c r="G1605" t="s">
        <v>1</v>
      </c>
    </row>
    <row r="1606" spans="1:7" x14ac:dyDescent="0.4">
      <c r="A1606" s="1">
        <v>46104</v>
      </c>
      <c r="B1606">
        <v>1</v>
      </c>
      <c r="C1606">
        <v>1.1823950000000001</v>
      </c>
      <c r="D1606" t="s">
        <v>8</v>
      </c>
      <c r="E1606">
        <v>64.7</v>
      </c>
      <c r="G1606" t="s">
        <v>1</v>
      </c>
    </row>
    <row r="1607" spans="1:7" x14ac:dyDescent="0.4">
      <c r="A1607" s="1">
        <v>46105</v>
      </c>
      <c r="B1607">
        <v>1</v>
      </c>
      <c r="C1607">
        <v>1.1823950000000001</v>
      </c>
      <c r="D1607" t="s">
        <v>8</v>
      </c>
      <c r="E1607">
        <v>67.06</v>
      </c>
      <c r="G1607" t="s">
        <v>1</v>
      </c>
    </row>
    <row r="1608" spans="1:7" x14ac:dyDescent="0.4">
      <c r="A1608" s="1">
        <v>46107</v>
      </c>
      <c r="B1608">
        <v>1</v>
      </c>
      <c r="C1608">
        <v>1.1823950000000001</v>
      </c>
      <c r="D1608" t="s">
        <v>8</v>
      </c>
      <c r="E1608">
        <v>69.12</v>
      </c>
      <c r="G1608" t="s">
        <v>1</v>
      </c>
    </row>
    <row r="1609" spans="1:7" x14ac:dyDescent="0.4">
      <c r="A1609" s="1">
        <v>46108</v>
      </c>
      <c r="B1609">
        <v>1</v>
      </c>
      <c r="C1609">
        <v>1.1823950000000001</v>
      </c>
      <c r="D1609" t="s">
        <v>8</v>
      </c>
      <c r="E1609">
        <v>70.55</v>
      </c>
      <c r="G1609" t="s">
        <v>1</v>
      </c>
    </row>
    <row r="1610" spans="1:7" x14ac:dyDescent="0.4">
      <c r="A1610" s="1">
        <v>46111</v>
      </c>
      <c r="B1610">
        <v>1</v>
      </c>
      <c r="C1610">
        <v>1.1823950000000001</v>
      </c>
      <c r="D1610" t="s">
        <v>8</v>
      </c>
      <c r="E1610">
        <v>70</v>
      </c>
      <c r="G1610" t="s">
        <v>1</v>
      </c>
    </row>
    <row r="1611" spans="1:7" x14ac:dyDescent="0.4">
      <c r="A1611" s="1">
        <v>46112</v>
      </c>
      <c r="B1611">
        <v>1</v>
      </c>
      <c r="C1611">
        <v>1.1823950000000001</v>
      </c>
      <c r="D1611" t="s">
        <v>8</v>
      </c>
      <c r="E1611">
        <v>71.13</v>
      </c>
      <c r="G1611" t="s">
        <v>1</v>
      </c>
    </row>
    <row r="1612" spans="1:7" x14ac:dyDescent="0.4">
      <c r="A1612" s="1">
        <v>46113</v>
      </c>
      <c r="B1612">
        <v>1</v>
      </c>
      <c r="C1612">
        <v>1.1823950000000001</v>
      </c>
      <c r="D1612" t="s">
        <v>8</v>
      </c>
      <c r="E1612">
        <v>71.56</v>
      </c>
      <c r="G1612" t="s">
        <v>1</v>
      </c>
    </row>
    <row r="1613" spans="1:7" x14ac:dyDescent="0.4">
      <c r="A1613" s="1">
        <v>46114</v>
      </c>
      <c r="B1613">
        <v>1</v>
      </c>
      <c r="C1613">
        <v>1.1823950000000001</v>
      </c>
      <c r="D1613" t="s">
        <v>8</v>
      </c>
      <c r="E1613">
        <v>71.709999999999994</v>
      </c>
      <c r="G1613" t="s">
        <v>1</v>
      </c>
    </row>
    <row r="1614" spans="1:7" x14ac:dyDescent="0.4">
      <c r="A1614" s="1">
        <v>46119</v>
      </c>
      <c r="B1614">
        <v>1</v>
      </c>
      <c r="C1614">
        <v>1.1823950000000001</v>
      </c>
      <c r="D1614" t="s">
        <v>8</v>
      </c>
      <c r="E1614">
        <v>70.599999999999994</v>
      </c>
      <c r="G1614" t="s">
        <v>1</v>
      </c>
    </row>
    <row r="1615" spans="1:7" x14ac:dyDescent="0.4">
      <c r="A1615" s="1">
        <v>46121</v>
      </c>
      <c r="B1615">
        <v>1</v>
      </c>
      <c r="C1615">
        <v>1.1823950000000001</v>
      </c>
      <c r="D1615" t="s">
        <v>8</v>
      </c>
      <c r="E1615">
        <v>70.67</v>
      </c>
      <c r="G1615" t="s">
        <v>1</v>
      </c>
    </row>
    <row r="1616" spans="1:7" x14ac:dyDescent="0.4">
      <c r="A1616" s="1">
        <v>46122</v>
      </c>
      <c r="B1616">
        <v>1</v>
      </c>
      <c r="C1616">
        <v>1.1823950000000001</v>
      </c>
      <c r="D1616" t="s">
        <v>8</v>
      </c>
      <c r="E1616">
        <v>72</v>
      </c>
      <c r="G1616" t="s">
        <v>1</v>
      </c>
    </row>
    <row r="1617" spans="1:7" x14ac:dyDescent="0.4">
      <c r="A1617" s="1">
        <v>46125</v>
      </c>
      <c r="B1617">
        <v>1</v>
      </c>
      <c r="C1617">
        <v>1.1823950000000001</v>
      </c>
      <c r="D1617" t="s">
        <v>8</v>
      </c>
      <c r="E1617">
        <v>70.62</v>
      </c>
      <c r="G1617" t="s">
        <v>1</v>
      </c>
    </row>
    <row r="1618" spans="1:7" x14ac:dyDescent="0.4">
      <c r="A1618" s="1">
        <v>46126</v>
      </c>
      <c r="B1618">
        <v>1</v>
      </c>
      <c r="C1618">
        <v>1.1823950000000001</v>
      </c>
      <c r="D1618" t="s">
        <v>8</v>
      </c>
      <c r="E1618">
        <v>72.099999999999994</v>
      </c>
      <c r="G1618" t="s">
        <v>1</v>
      </c>
    </row>
    <row r="1619" spans="1:7" x14ac:dyDescent="0.4">
      <c r="A1619" s="1">
        <v>46127</v>
      </c>
      <c r="B1619">
        <v>1</v>
      </c>
      <c r="C1619">
        <v>1.1823950000000001</v>
      </c>
      <c r="D1619" t="s">
        <v>8</v>
      </c>
      <c r="E1619">
        <v>73.569999999999993</v>
      </c>
      <c r="G1619" t="s">
        <v>1</v>
      </c>
    </row>
    <row r="1620" spans="1:7" x14ac:dyDescent="0.4">
      <c r="A1620" s="1">
        <v>46128</v>
      </c>
      <c r="B1620">
        <v>1</v>
      </c>
      <c r="C1620">
        <v>1.1823950000000001</v>
      </c>
      <c r="D1620" t="s">
        <v>8</v>
      </c>
      <c r="E1620">
        <v>72.400000000000006</v>
      </c>
      <c r="G1620" t="s">
        <v>1</v>
      </c>
    </row>
    <row r="1621" spans="1:7" x14ac:dyDescent="0.4">
      <c r="A1621" s="1">
        <v>46129</v>
      </c>
      <c r="B1621">
        <v>1</v>
      </c>
      <c r="C1621">
        <v>1.1823950000000001</v>
      </c>
      <c r="D1621" t="s">
        <v>8</v>
      </c>
      <c r="E1621">
        <v>75.900000000000006</v>
      </c>
      <c r="G1621" t="s">
        <v>1</v>
      </c>
    </row>
    <row r="1622" spans="1:7" x14ac:dyDescent="0.4">
      <c r="A1622" s="1">
        <v>46132</v>
      </c>
      <c r="B1622">
        <v>1</v>
      </c>
      <c r="C1622">
        <v>1.1823950000000001</v>
      </c>
      <c r="D1622" t="s">
        <v>8</v>
      </c>
      <c r="E1622">
        <v>74.84</v>
      </c>
      <c r="G1622" t="s">
        <v>1</v>
      </c>
    </row>
    <row r="1623" spans="1:7" x14ac:dyDescent="0.4">
      <c r="A1623" s="1">
        <v>46133</v>
      </c>
      <c r="B1623">
        <v>1</v>
      </c>
      <c r="C1623">
        <v>1.1823950000000001</v>
      </c>
      <c r="D1623" t="s">
        <v>8</v>
      </c>
      <c r="E1623">
        <v>73.900000000000006</v>
      </c>
      <c r="G162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3611-D413-4789-9AC4-5A0AA07943F5}">
  <dimension ref="A1:BC220"/>
  <sheetViews>
    <sheetView workbookViewId="0">
      <selection activeCell="E5" sqref="E5"/>
    </sheetView>
  </sheetViews>
  <sheetFormatPr defaultRowHeight="14.6" x14ac:dyDescent="0.4"/>
  <cols>
    <col min="1" max="1" width="9.765625" bestFit="1" customWidth="1"/>
    <col min="3" max="3" width="21.15234375" bestFit="1" customWidth="1"/>
  </cols>
  <sheetData>
    <row r="1" spans="1:55" x14ac:dyDescent="0.4">
      <c r="A1" s="97" t="s">
        <v>11</v>
      </c>
      <c r="B1" s="97"/>
      <c r="C1" s="96" t="s">
        <v>12</v>
      </c>
      <c r="D1" s="96"/>
      <c r="E1" s="96"/>
      <c r="F1" s="96"/>
      <c r="G1" s="96"/>
      <c r="H1" s="96"/>
      <c r="I1" s="9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 ht="23.15" x14ac:dyDescent="0.4">
      <c r="A2" s="95"/>
      <c r="B2" s="95"/>
      <c r="C2" s="95"/>
      <c r="D2" s="95"/>
      <c r="E2" s="95"/>
      <c r="F2" s="95"/>
      <c r="G2" s="95"/>
      <c r="H2" s="95"/>
      <c r="I2" s="95"/>
      <c r="J2" s="95" t="s">
        <v>13</v>
      </c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</row>
    <row r="3" spans="1:55" x14ac:dyDescent="0.4">
      <c r="A3" s="94" t="s">
        <v>14</v>
      </c>
      <c r="B3" s="94"/>
      <c r="C3" s="94"/>
      <c r="D3" s="94"/>
      <c r="E3" s="94" t="s">
        <v>15</v>
      </c>
      <c r="F3" s="94"/>
      <c r="G3" s="94"/>
      <c r="H3" s="94"/>
      <c r="I3" s="94"/>
      <c r="J3" s="94" t="s">
        <v>16</v>
      </c>
      <c r="K3" s="94"/>
      <c r="L3" s="94"/>
      <c r="M3" s="94"/>
      <c r="N3" s="94"/>
      <c r="O3" s="94"/>
      <c r="P3" s="94"/>
      <c r="Q3" s="94"/>
      <c r="R3" s="94"/>
      <c r="S3" s="94"/>
      <c r="T3" s="94"/>
      <c r="U3" s="94" t="s">
        <v>17</v>
      </c>
      <c r="V3" s="94"/>
      <c r="W3" s="94" t="s">
        <v>18</v>
      </c>
      <c r="X3" s="94"/>
      <c r="Y3" s="94" t="s">
        <v>18</v>
      </c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</row>
    <row r="4" spans="1:55" ht="64.75" thickBot="1" x14ac:dyDescent="0.45">
      <c r="A4" s="3" t="s">
        <v>2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  <c r="S4" s="3" t="s">
        <v>36</v>
      </c>
      <c r="T4" s="3" t="s">
        <v>37</v>
      </c>
      <c r="U4" s="3" t="s">
        <v>38</v>
      </c>
      <c r="V4" s="3" t="s">
        <v>39</v>
      </c>
      <c r="W4" s="3" t="s">
        <v>40</v>
      </c>
      <c r="X4" s="3" t="s">
        <v>41</v>
      </c>
      <c r="Y4" s="3" t="s">
        <v>42</v>
      </c>
      <c r="Z4" s="3" t="s">
        <v>43</v>
      </c>
      <c r="AA4" s="3" t="s">
        <v>44</v>
      </c>
      <c r="AB4" s="3" t="s">
        <v>45</v>
      </c>
      <c r="AC4" s="3" t="s">
        <v>46</v>
      </c>
      <c r="AD4" s="3" t="s">
        <v>47</v>
      </c>
      <c r="AE4" s="3" t="s">
        <v>48</v>
      </c>
      <c r="AF4" s="3" t="s">
        <v>49</v>
      </c>
      <c r="AG4" s="3" t="s">
        <v>50</v>
      </c>
      <c r="AH4" s="3" t="s">
        <v>51</v>
      </c>
      <c r="AI4" s="3" t="s">
        <v>52</v>
      </c>
      <c r="AJ4" s="3" t="s">
        <v>53</v>
      </c>
      <c r="AK4" s="3" t="s">
        <v>54</v>
      </c>
      <c r="AL4" s="3" t="s">
        <v>55</v>
      </c>
      <c r="AM4" s="3" t="s">
        <v>56</v>
      </c>
      <c r="AN4" s="3" t="s">
        <v>57</v>
      </c>
      <c r="AO4" s="3" t="s">
        <v>58</v>
      </c>
      <c r="AP4" s="3" t="s">
        <v>59</v>
      </c>
      <c r="AQ4" s="3" t="s">
        <v>60</v>
      </c>
      <c r="AR4" s="3" t="s">
        <v>61</v>
      </c>
      <c r="AS4" s="3" t="s">
        <v>62</v>
      </c>
      <c r="AT4" s="3" t="s">
        <v>63</v>
      </c>
      <c r="AU4" s="3" t="s">
        <v>64</v>
      </c>
      <c r="AV4" s="3" t="s">
        <v>65</v>
      </c>
      <c r="AW4" s="3" t="s">
        <v>66</v>
      </c>
      <c r="AX4" s="3" t="s">
        <v>67</v>
      </c>
      <c r="AY4" s="3" t="s">
        <v>68</v>
      </c>
      <c r="AZ4" s="3" t="s">
        <v>69</v>
      </c>
      <c r="BA4" s="3" t="s">
        <v>70</v>
      </c>
      <c r="BB4" s="3" t="s">
        <v>71</v>
      </c>
      <c r="BC4" s="3" t="s">
        <v>72</v>
      </c>
    </row>
    <row r="5" spans="1:55" ht="15" thickTop="1" x14ac:dyDescent="0.4">
      <c r="A5" s="4">
        <v>43815</v>
      </c>
      <c r="B5" s="5">
        <v>43815.458564814813</v>
      </c>
      <c r="C5" s="6" t="s">
        <v>73</v>
      </c>
      <c r="D5" s="7" t="s">
        <v>74</v>
      </c>
      <c r="E5" s="8">
        <v>24.21</v>
      </c>
      <c r="F5" s="9">
        <v>21</v>
      </c>
      <c r="G5" s="9">
        <v>26</v>
      </c>
      <c r="H5" s="9">
        <v>24.09</v>
      </c>
      <c r="I5" s="9">
        <v>24.05</v>
      </c>
      <c r="J5" s="10">
        <v>3013000</v>
      </c>
      <c r="K5" s="11">
        <v>5333000</v>
      </c>
      <c r="L5" s="12">
        <v>92</v>
      </c>
      <c r="M5" s="12">
        <v>19</v>
      </c>
      <c r="N5" s="13">
        <v>4.5999999999999996</v>
      </c>
      <c r="O5" s="11">
        <v>57967</v>
      </c>
      <c r="P5" s="11">
        <v>266650</v>
      </c>
      <c r="Q5" s="11">
        <v>391858</v>
      </c>
      <c r="R5" s="11">
        <v>273909</v>
      </c>
      <c r="S5" s="11">
        <v>289081</v>
      </c>
      <c r="T5" s="14">
        <v>1.77</v>
      </c>
      <c r="U5" s="15">
        <v>20</v>
      </c>
      <c r="V5" s="12">
        <v>11</v>
      </c>
      <c r="W5" s="16">
        <v>72944730</v>
      </c>
      <c r="X5" s="7" t="s">
        <v>75</v>
      </c>
      <c r="Y5" s="17">
        <v>1658385</v>
      </c>
      <c r="Z5" s="18">
        <v>2590470</v>
      </c>
      <c r="AA5" s="18">
        <v>3716235</v>
      </c>
      <c r="AB5" s="18">
        <v>387360</v>
      </c>
      <c r="AC5" s="18">
        <v>4866210</v>
      </c>
      <c r="AD5" s="18"/>
      <c r="AE5" s="18">
        <v>1319445</v>
      </c>
      <c r="AF5" s="18">
        <v>1416285</v>
      </c>
      <c r="AG5" s="18">
        <v>4188330</v>
      </c>
      <c r="AH5" s="18">
        <v>9163485</v>
      </c>
      <c r="AI5" s="18">
        <v>1973115</v>
      </c>
      <c r="AJ5" s="18">
        <v>5616720</v>
      </c>
      <c r="AK5" s="18">
        <v>883665</v>
      </c>
      <c r="AL5" s="18">
        <v>1718910</v>
      </c>
      <c r="AM5" s="18">
        <v>1392075</v>
      </c>
      <c r="AN5" s="18">
        <v>508410</v>
      </c>
      <c r="AO5" s="18">
        <v>9357165</v>
      </c>
      <c r="AP5" s="18">
        <v>0</v>
      </c>
      <c r="AQ5" s="18">
        <v>798930</v>
      </c>
      <c r="AR5" s="18">
        <v>169470</v>
      </c>
      <c r="AS5" s="18">
        <v>484200</v>
      </c>
      <c r="AT5" s="18">
        <v>133155</v>
      </c>
      <c r="AU5" s="18">
        <v>3280455</v>
      </c>
      <c r="AV5" s="18">
        <v>5761980</v>
      </c>
      <c r="AW5" s="18"/>
      <c r="AX5" s="18">
        <v>2336265</v>
      </c>
      <c r="AY5" s="18">
        <v>5519880</v>
      </c>
      <c r="AZ5" s="18">
        <v>1125765</v>
      </c>
      <c r="BA5" s="18">
        <v>714195</v>
      </c>
      <c r="BB5" s="18">
        <v>1864170</v>
      </c>
      <c r="BC5" s="19"/>
    </row>
    <row r="6" spans="1:55" x14ac:dyDescent="0.4">
      <c r="A6" s="20">
        <v>43812</v>
      </c>
      <c r="B6" s="21">
        <v>43812.458657407406</v>
      </c>
      <c r="C6" s="22" t="s">
        <v>76</v>
      </c>
      <c r="D6" s="23" t="s">
        <v>74</v>
      </c>
      <c r="E6" s="24">
        <v>25.33</v>
      </c>
      <c r="F6" s="25">
        <v>24.76</v>
      </c>
      <c r="G6" s="25">
        <v>30</v>
      </c>
      <c r="H6" s="25">
        <v>25.34</v>
      </c>
      <c r="I6" s="25">
        <v>25.28</v>
      </c>
      <c r="J6" s="26">
        <v>2840000</v>
      </c>
      <c r="K6" s="27">
        <v>4827000</v>
      </c>
      <c r="L6" s="28">
        <v>83</v>
      </c>
      <c r="M6" s="28">
        <v>27</v>
      </c>
      <c r="N6" s="29">
        <v>4.37</v>
      </c>
      <c r="O6" s="27">
        <v>58157</v>
      </c>
      <c r="P6" s="27">
        <v>254053</v>
      </c>
      <c r="Q6" s="27">
        <v>331093</v>
      </c>
      <c r="R6" s="27">
        <v>202857</v>
      </c>
      <c r="S6" s="27">
        <v>276386</v>
      </c>
      <c r="T6" s="30">
        <v>1.7</v>
      </c>
      <c r="U6" s="31">
        <v>19</v>
      </c>
      <c r="V6" s="28">
        <v>14</v>
      </c>
      <c r="W6" s="32">
        <v>71937200</v>
      </c>
      <c r="X6" s="23" t="s">
        <v>77</v>
      </c>
      <c r="Y6" s="33"/>
      <c r="Z6" s="34"/>
      <c r="AA6" s="34"/>
      <c r="AB6" s="34"/>
      <c r="AC6" s="34"/>
      <c r="AD6" s="34">
        <v>71937200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5"/>
    </row>
    <row r="7" spans="1:55" x14ac:dyDescent="0.4">
      <c r="A7" s="20">
        <v>43811</v>
      </c>
      <c r="B7" s="21">
        <v>43811.458761574075</v>
      </c>
      <c r="C7" s="22" t="s">
        <v>73</v>
      </c>
      <c r="D7" s="23" t="s">
        <v>74</v>
      </c>
      <c r="E7" s="24">
        <v>24.62</v>
      </c>
      <c r="F7" s="25">
        <v>21</v>
      </c>
      <c r="G7" s="25">
        <v>26</v>
      </c>
      <c r="H7" s="25">
        <v>24.48</v>
      </c>
      <c r="I7" s="25">
        <v>24.42</v>
      </c>
      <c r="J7" s="26">
        <v>2744000</v>
      </c>
      <c r="K7" s="27">
        <v>6226500</v>
      </c>
      <c r="L7" s="28">
        <v>97</v>
      </c>
      <c r="M7" s="28">
        <v>18</v>
      </c>
      <c r="N7" s="29">
        <v>4.41</v>
      </c>
      <c r="O7" s="27">
        <v>64191</v>
      </c>
      <c r="P7" s="27">
        <v>283023</v>
      </c>
      <c r="Q7" s="27">
        <v>413993</v>
      </c>
      <c r="R7" s="27">
        <v>274400</v>
      </c>
      <c r="S7" s="27">
        <v>240189</v>
      </c>
      <c r="T7" s="30">
        <v>2.27</v>
      </c>
      <c r="U7" s="31">
        <v>22</v>
      </c>
      <c r="V7" s="28">
        <v>10</v>
      </c>
      <c r="W7" s="32">
        <v>67557280</v>
      </c>
      <c r="X7" s="23" t="s">
        <v>75</v>
      </c>
      <c r="Y7" s="33">
        <v>1354100</v>
      </c>
      <c r="Z7" s="34">
        <v>2634340</v>
      </c>
      <c r="AA7" s="34">
        <v>3249840</v>
      </c>
      <c r="AB7" s="34">
        <v>184650</v>
      </c>
      <c r="AC7" s="34">
        <v>4653180</v>
      </c>
      <c r="AD7" s="34"/>
      <c r="AE7" s="34">
        <v>1231000</v>
      </c>
      <c r="AF7" s="34">
        <v>1070970</v>
      </c>
      <c r="AG7" s="34">
        <v>3717620</v>
      </c>
      <c r="AH7" s="34">
        <v>9072470</v>
      </c>
      <c r="AI7" s="34">
        <v>1612610</v>
      </c>
      <c r="AJ7" s="34">
        <v>5268680</v>
      </c>
      <c r="AK7" s="34">
        <v>529330</v>
      </c>
      <c r="AL7" s="34">
        <v>1686470</v>
      </c>
      <c r="AM7" s="34">
        <v>898630</v>
      </c>
      <c r="AN7" s="34">
        <v>283130</v>
      </c>
      <c r="AO7" s="34">
        <v>9454080</v>
      </c>
      <c r="AP7" s="34">
        <v>0</v>
      </c>
      <c r="AQ7" s="34">
        <v>615500</v>
      </c>
      <c r="AR7" s="34">
        <v>123100</v>
      </c>
      <c r="AS7" s="34">
        <v>307750</v>
      </c>
      <c r="AT7" s="34">
        <v>123100</v>
      </c>
      <c r="AU7" s="34">
        <v>3225220</v>
      </c>
      <c r="AV7" s="34">
        <v>5601050</v>
      </c>
      <c r="AW7" s="34"/>
      <c r="AX7" s="34">
        <v>1883430</v>
      </c>
      <c r="AY7" s="34">
        <v>5539500</v>
      </c>
      <c r="AZ7" s="34">
        <v>935560</v>
      </c>
      <c r="BA7" s="34">
        <v>492400</v>
      </c>
      <c r="BB7" s="34">
        <v>1809570</v>
      </c>
      <c r="BC7" s="35"/>
    </row>
    <row r="8" spans="1:55" x14ac:dyDescent="0.4">
      <c r="A8" s="20">
        <v>43809</v>
      </c>
      <c r="B8" s="21">
        <v>43809.458692129629</v>
      </c>
      <c r="C8" s="22" t="s">
        <v>73</v>
      </c>
      <c r="D8" s="23" t="s">
        <v>74</v>
      </c>
      <c r="E8" s="24">
        <v>24.98</v>
      </c>
      <c r="F8" s="25">
        <v>23.99</v>
      </c>
      <c r="G8" s="25">
        <v>27</v>
      </c>
      <c r="H8" s="25">
        <v>25.08</v>
      </c>
      <c r="I8" s="25">
        <v>24.96</v>
      </c>
      <c r="J8" s="26">
        <v>2744000</v>
      </c>
      <c r="K8" s="27">
        <v>5103000</v>
      </c>
      <c r="L8" s="28">
        <v>102</v>
      </c>
      <c r="M8" s="28">
        <v>43</v>
      </c>
      <c r="N8" s="29">
        <v>4.25</v>
      </c>
      <c r="O8" s="27">
        <v>50029</v>
      </c>
      <c r="P8" s="27">
        <v>212625</v>
      </c>
      <c r="Q8" s="27">
        <v>401348</v>
      </c>
      <c r="R8" s="27">
        <v>137200</v>
      </c>
      <c r="S8" s="27">
        <v>253407</v>
      </c>
      <c r="T8" s="30">
        <v>1.86</v>
      </c>
      <c r="U8" s="31">
        <v>24</v>
      </c>
      <c r="V8" s="28">
        <v>20</v>
      </c>
      <c r="W8" s="32">
        <v>68545120</v>
      </c>
      <c r="X8" s="23" t="s">
        <v>75</v>
      </c>
      <c r="Y8" s="33">
        <v>1373900</v>
      </c>
      <c r="Z8" s="34">
        <v>2672860</v>
      </c>
      <c r="AA8" s="34">
        <v>3297360</v>
      </c>
      <c r="AB8" s="34">
        <v>187350</v>
      </c>
      <c r="AC8" s="34">
        <v>4721220</v>
      </c>
      <c r="AD8" s="34"/>
      <c r="AE8" s="34">
        <v>1249000</v>
      </c>
      <c r="AF8" s="34">
        <v>1086630</v>
      </c>
      <c r="AG8" s="34">
        <v>3771980</v>
      </c>
      <c r="AH8" s="34">
        <v>9205130</v>
      </c>
      <c r="AI8" s="34">
        <v>1636190</v>
      </c>
      <c r="AJ8" s="34">
        <v>5345720</v>
      </c>
      <c r="AK8" s="34">
        <v>537070</v>
      </c>
      <c r="AL8" s="34">
        <v>1711130</v>
      </c>
      <c r="AM8" s="34">
        <v>911770</v>
      </c>
      <c r="AN8" s="34">
        <v>287270</v>
      </c>
      <c r="AO8" s="34">
        <v>9592320</v>
      </c>
      <c r="AP8" s="34">
        <v>0</v>
      </c>
      <c r="AQ8" s="34">
        <v>624500</v>
      </c>
      <c r="AR8" s="34">
        <v>124900</v>
      </c>
      <c r="AS8" s="34">
        <v>312250</v>
      </c>
      <c r="AT8" s="34">
        <v>124900</v>
      </c>
      <c r="AU8" s="34">
        <v>3272380</v>
      </c>
      <c r="AV8" s="34">
        <v>5682950</v>
      </c>
      <c r="AW8" s="34"/>
      <c r="AX8" s="34">
        <v>1910970</v>
      </c>
      <c r="AY8" s="34">
        <v>5620500</v>
      </c>
      <c r="AZ8" s="34">
        <v>949240</v>
      </c>
      <c r="BA8" s="34">
        <v>499600</v>
      </c>
      <c r="BB8" s="34">
        <v>1836030</v>
      </c>
      <c r="BC8" s="35"/>
    </row>
    <row r="9" spans="1:55" x14ac:dyDescent="0.4">
      <c r="A9" s="20">
        <v>43808</v>
      </c>
      <c r="B9" s="21">
        <v>43808.458553240744</v>
      </c>
      <c r="C9" s="22" t="s">
        <v>73</v>
      </c>
      <c r="D9" s="23" t="s">
        <v>74</v>
      </c>
      <c r="E9" s="24">
        <v>24.4</v>
      </c>
      <c r="F9" s="25">
        <v>21</v>
      </c>
      <c r="G9" s="25">
        <v>26</v>
      </c>
      <c r="H9" s="25">
        <v>24.3</v>
      </c>
      <c r="I9" s="25">
        <v>24.37</v>
      </c>
      <c r="J9" s="26">
        <v>2744000</v>
      </c>
      <c r="K9" s="27">
        <v>5004000</v>
      </c>
      <c r="L9" s="28">
        <v>72</v>
      </c>
      <c r="M9" s="28">
        <v>31</v>
      </c>
      <c r="N9" s="29">
        <v>4.24</v>
      </c>
      <c r="O9" s="27">
        <v>69500</v>
      </c>
      <c r="P9" s="27">
        <v>294353</v>
      </c>
      <c r="Q9" s="27">
        <v>489700</v>
      </c>
      <c r="R9" s="27">
        <v>182933</v>
      </c>
      <c r="S9" s="27">
        <v>270365</v>
      </c>
      <c r="T9" s="30">
        <v>1.82</v>
      </c>
      <c r="U9" s="31">
        <v>17</v>
      </c>
      <c r="V9" s="28">
        <v>15</v>
      </c>
      <c r="W9" s="32">
        <v>66953600</v>
      </c>
      <c r="X9" s="23" t="s">
        <v>75</v>
      </c>
      <c r="Y9" s="33">
        <v>1342000</v>
      </c>
      <c r="Z9" s="34">
        <v>2610800</v>
      </c>
      <c r="AA9" s="34">
        <v>3220800</v>
      </c>
      <c r="AB9" s="34">
        <v>183000</v>
      </c>
      <c r="AC9" s="34">
        <v>4611600</v>
      </c>
      <c r="AD9" s="34"/>
      <c r="AE9" s="34">
        <v>1220000</v>
      </c>
      <c r="AF9" s="34">
        <v>1061400</v>
      </c>
      <c r="AG9" s="34">
        <v>3684400</v>
      </c>
      <c r="AH9" s="34">
        <v>8991400</v>
      </c>
      <c r="AI9" s="34">
        <v>1598200</v>
      </c>
      <c r="AJ9" s="34">
        <v>5221600</v>
      </c>
      <c r="AK9" s="34">
        <v>524600</v>
      </c>
      <c r="AL9" s="34">
        <v>1671400</v>
      </c>
      <c r="AM9" s="34">
        <v>890600</v>
      </c>
      <c r="AN9" s="34">
        <v>280600</v>
      </c>
      <c r="AO9" s="34">
        <v>9369600</v>
      </c>
      <c r="AP9" s="34">
        <v>0</v>
      </c>
      <c r="AQ9" s="34">
        <v>610000</v>
      </c>
      <c r="AR9" s="34">
        <v>122000</v>
      </c>
      <c r="AS9" s="34">
        <v>305000</v>
      </c>
      <c r="AT9" s="34">
        <v>122000</v>
      </c>
      <c r="AU9" s="34">
        <v>3196400</v>
      </c>
      <c r="AV9" s="34">
        <v>5551000</v>
      </c>
      <c r="AW9" s="34"/>
      <c r="AX9" s="34">
        <v>1866600</v>
      </c>
      <c r="AY9" s="34">
        <v>5490000</v>
      </c>
      <c r="AZ9" s="34">
        <v>927200</v>
      </c>
      <c r="BA9" s="34">
        <v>488000</v>
      </c>
      <c r="BB9" s="34">
        <v>1793400</v>
      </c>
      <c r="BC9" s="35"/>
    </row>
    <row r="10" spans="1:55" x14ac:dyDescent="0.4">
      <c r="A10" s="20">
        <v>43805</v>
      </c>
      <c r="B10" s="21">
        <v>43805.458715277775</v>
      </c>
      <c r="C10" s="22" t="s">
        <v>76</v>
      </c>
      <c r="D10" s="23" t="s">
        <v>74</v>
      </c>
      <c r="E10" s="24">
        <v>24.7</v>
      </c>
      <c r="F10" s="25">
        <v>21</v>
      </c>
      <c r="G10" s="25">
        <v>26</v>
      </c>
      <c r="H10" s="25">
        <v>24.62</v>
      </c>
      <c r="I10" s="25">
        <v>24.66</v>
      </c>
      <c r="J10" s="26">
        <v>2834500</v>
      </c>
      <c r="K10" s="27">
        <v>4825000</v>
      </c>
      <c r="L10" s="28">
        <v>84</v>
      </c>
      <c r="M10" s="28">
        <v>27</v>
      </c>
      <c r="N10" s="29">
        <v>4.2</v>
      </c>
      <c r="O10" s="27">
        <v>57440</v>
      </c>
      <c r="P10" s="27">
        <v>241250</v>
      </c>
      <c r="Q10" s="27">
        <v>322738</v>
      </c>
      <c r="R10" s="27">
        <v>188967</v>
      </c>
      <c r="S10" s="27">
        <v>203612</v>
      </c>
      <c r="T10" s="30">
        <v>1.7</v>
      </c>
      <c r="U10" s="31">
        <v>20</v>
      </c>
      <c r="V10" s="28">
        <v>15</v>
      </c>
      <c r="W10" s="32">
        <v>70012150</v>
      </c>
      <c r="X10" s="23" t="s">
        <v>77</v>
      </c>
      <c r="Y10" s="33"/>
      <c r="Z10" s="34"/>
      <c r="AA10" s="34"/>
      <c r="AB10" s="34"/>
      <c r="AC10" s="34"/>
      <c r="AD10" s="34">
        <v>70012150</v>
      </c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5"/>
    </row>
    <row r="11" spans="1:55" x14ac:dyDescent="0.4">
      <c r="A11" s="20">
        <v>43804</v>
      </c>
      <c r="B11" s="21">
        <v>43804.458749999998</v>
      </c>
      <c r="C11" s="22" t="s">
        <v>73</v>
      </c>
      <c r="D11" s="23" t="s">
        <v>74</v>
      </c>
      <c r="E11" s="24">
        <v>24.5</v>
      </c>
      <c r="F11" s="25">
        <v>21</v>
      </c>
      <c r="G11" s="25">
        <v>26</v>
      </c>
      <c r="H11" s="25">
        <v>24.47</v>
      </c>
      <c r="I11" s="25">
        <v>24.43</v>
      </c>
      <c r="J11" s="26">
        <v>2744000</v>
      </c>
      <c r="K11" s="27">
        <v>5354000</v>
      </c>
      <c r="L11" s="28">
        <v>92</v>
      </c>
      <c r="M11" s="28">
        <v>29</v>
      </c>
      <c r="N11" s="29">
        <v>4.38</v>
      </c>
      <c r="O11" s="27">
        <v>58196</v>
      </c>
      <c r="P11" s="27">
        <v>254952</v>
      </c>
      <c r="Q11" s="27">
        <v>396446</v>
      </c>
      <c r="R11" s="27">
        <v>182933</v>
      </c>
      <c r="S11" s="27">
        <v>230405</v>
      </c>
      <c r="T11" s="30">
        <v>1.95</v>
      </c>
      <c r="U11" s="31">
        <v>21</v>
      </c>
      <c r="V11" s="28">
        <v>15</v>
      </c>
      <c r="W11" s="32">
        <v>67228000</v>
      </c>
      <c r="X11" s="23" t="s">
        <v>75</v>
      </c>
      <c r="Y11" s="33">
        <v>1347500</v>
      </c>
      <c r="Z11" s="34">
        <v>2621500</v>
      </c>
      <c r="AA11" s="34">
        <v>3234000</v>
      </c>
      <c r="AB11" s="34">
        <v>183750</v>
      </c>
      <c r="AC11" s="34">
        <v>4630500</v>
      </c>
      <c r="AD11" s="34"/>
      <c r="AE11" s="34">
        <v>1225000</v>
      </c>
      <c r="AF11" s="34">
        <v>1065750</v>
      </c>
      <c r="AG11" s="34">
        <v>3699500</v>
      </c>
      <c r="AH11" s="34">
        <v>9028250</v>
      </c>
      <c r="AI11" s="34">
        <v>1604750</v>
      </c>
      <c r="AJ11" s="34">
        <v>5243000</v>
      </c>
      <c r="AK11" s="34">
        <v>526750</v>
      </c>
      <c r="AL11" s="34">
        <v>1678250</v>
      </c>
      <c r="AM11" s="34">
        <v>894250</v>
      </c>
      <c r="AN11" s="34">
        <v>281750</v>
      </c>
      <c r="AO11" s="34">
        <v>9408000</v>
      </c>
      <c r="AP11" s="34">
        <v>0</v>
      </c>
      <c r="AQ11" s="34">
        <v>612500</v>
      </c>
      <c r="AR11" s="34">
        <v>122500</v>
      </c>
      <c r="AS11" s="34">
        <v>306250</v>
      </c>
      <c r="AT11" s="34">
        <v>122500</v>
      </c>
      <c r="AU11" s="34">
        <v>3209500</v>
      </c>
      <c r="AV11" s="34">
        <v>5573750</v>
      </c>
      <c r="AW11" s="34"/>
      <c r="AX11" s="34">
        <v>1874250</v>
      </c>
      <c r="AY11" s="34">
        <v>5512500</v>
      </c>
      <c r="AZ11" s="34">
        <v>931000</v>
      </c>
      <c r="BA11" s="34">
        <v>490000</v>
      </c>
      <c r="BB11" s="34">
        <v>1800750</v>
      </c>
      <c r="BC11" s="35"/>
    </row>
    <row r="12" spans="1:55" x14ac:dyDescent="0.4">
      <c r="A12" s="20">
        <v>43803</v>
      </c>
      <c r="B12" s="21">
        <v>43803.45857638889</v>
      </c>
      <c r="C12" s="22" t="s">
        <v>78</v>
      </c>
      <c r="D12" s="23" t="s">
        <v>74</v>
      </c>
      <c r="E12" s="24">
        <v>24.1</v>
      </c>
      <c r="F12" s="25">
        <v>21</v>
      </c>
      <c r="G12" s="25">
        <v>26</v>
      </c>
      <c r="H12" s="25">
        <v>23.98</v>
      </c>
      <c r="I12" s="25">
        <v>23.93</v>
      </c>
      <c r="J12" s="26">
        <v>4717500</v>
      </c>
      <c r="K12" s="27">
        <v>9654000</v>
      </c>
      <c r="L12" s="28">
        <v>102</v>
      </c>
      <c r="M12" s="28">
        <v>23</v>
      </c>
      <c r="N12" s="29">
        <v>5.0999999999999996</v>
      </c>
      <c r="O12" s="27">
        <v>94647</v>
      </c>
      <c r="P12" s="27">
        <v>482700</v>
      </c>
      <c r="Q12" s="27">
        <v>711585</v>
      </c>
      <c r="R12" s="27">
        <v>524167</v>
      </c>
      <c r="S12" s="27">
        <v>495642</v>
      </c>
      <c r="T12" s="30">
        <v>2.0499999999999998</v>
      </c>
      <c r="U12" s="31">
        <v>20</v>
      </c>
      <c r="V12" s="28">
        <v>9</v>
      </c>
      <c r="W12" s="32">
        <v>113691750</v>
      </c>
      <c r="X12" s="23" t="s">
        <v>79</v>
      </c>
      <c r="Y12" s="33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>
        <v>113691750</v>
      </c>
      <c r="AX12" s="34"/>
      <c r="AY12" s="34"/>
      <c r="AZ12" s="34"/>
      <c r="BA12" s="34"/>
      <c r="BB12" s="34"/>
      <c r="BC12" s="35"/>
    </row>
    <row r="13" spans="1:55" x14ac:dyDescent="0.4">
      <c r="A13" s="20">
        <v>43802</v>
      </c>
      <c r="B13" s="21">
        <v>43802.458726851852</v>
      </c>
      <c r="C13" s="22" t="s">
        <v>73</v>
      </c>
      <c r="D13" s="23" t="s">
        <v>74</v>
      </c>
      <c r="E13" s="24">
        <v>24.41</v>
      </c>
      <c r="F13" s="25">
        <v>21</v>
      </c>
      <c r="G13" s="25">
        <v>30.01</v>
      </c>
      <c r="H13" s="25">
        <v>24.5</v>
      </c>
      <c r="I13" s="25">
        <v>24.37</v>
      </c>
      <c r="J13" s="26">
        <v>2744000</v>
      </c>
      <c r="K13" s="27">
        <v>4858000</v>
      </c>
      <c r="L13" s="28">
        <v>92</v>
      </c>
      <c r="M13" s="28">
        <v>32</v>
      </c>
      <c r="N13" s="29">
        <v>3.83</v>
      </c>
      <c r="O13" s="27">
        <v>52804</v>
      </c>
      <c r="P13" s="27">
        <v>202417</v>
      </c>
      <c r="Q13" s="27">
        <v>295921</v>
      </c>
      <c r="R13" s="27">
        <v>137200</v>
      </c>
      <c r="S13" s="27">
        <v>191560</v>
      </c>
      <c r="T13" s="30">
        <v>1.77</v>
      </c>
      <c r="U13" s="31">
        <v>24</v>
      </c>
      <c r="V13" s="28">
        <v>20</v>
      </c>
      <c r="W13" s="32">
        <v>66981040</v>
      </c>
      <c r="X13" s="23" t="s">
        <v>75</v>
      </c>
      <c r="Y13" s="33">
        <v>1342550</v>
      </c>
      <c r="Z13" s="34">
        <v>2611870</v>
      </c>
      <c r="AA13" s="34">
        <v>3222120</v>
      </c>
      <c r="AB13" s="34">
        <v>183075</v>
      </c>
      <c r="AC13" s="34">
        <v>4613490</v>
      </c>
      <c r="AD13" s="34"/>
      <c r="AE13" s="34">
        <v>1220500</v>
      </c>
      <c r="AF13" s="34">
        <v>1061835</v>
      </c>
      <c r="AG13" s="34">
        <v>3685910</v>
      </c>
      <c r="AH13" s="34">
        <v>8995085</v>
      </c>
      <c r="AI13" s="34">
        <v>1598855</v>
      </c>
      <c r="AJ13" s="34">
        <v>5223740</v>
      </c>
      <c r="AK13" s="34">
        <v>524815</v>
      </c>
      <c r="AL13" s="34">
        <v>1672085</v>
      </c>
      <c r="AM13" s="34">
        <v>890965</v>
      </c>
      <c r="AN13" s="34">
        <v>280715</v>
      </c>
      <c r="AO13" s="34">
        <v>9373440</v>
      </c>
      <c r="AP13" s="34">
        <v>0</v>
      </c>
      <c r="AQ13" s="34">
        <v>610250</v>
      </c>
      <c r="AR13" s="34">
        <v>122050</v>
      </c>
      <c r="AS13" s="34">
        <v>305125</v>
      </c>
      <c r="AT13" s="34">
        <v>122050</v>
      </c>
      <c r="AU13" s="34">
        <v>3197710</v>
      </c>
      <c r="AV13" s="34">
        <v>5553275</v>
      </c>
      <c r="AW13" s="34"/>
      <c r="AX13" s="34">
        <v>1867365</v>
      </c>
      <c r="AY13" s="34">
        <v>5492250</v>
      </c>
      <c r="AZ13" s="34">
        <v>927580</v>
      </c>
      <c r="BA13" s="34">
        <v>488200</v>
      </c>
      <c r="BB13" s="34">
        <v>1794135</v>
      </c>
      <c r="BC13" s="35"/>
    </row>
    <row r="14" spans="1:55" x14ac:dyDescent="0.4">
      <c r="A14" s="20">
        <v>43801</v>
      </c>
      <c r="B14" s="21">
        <v>43801.458703703705</v>
      </c>
      <c r="C14" s="22" t="s">
        <v>73</v>
      </c>
      <c r="D14" s="23" t="s">
        <v>74</v>
      </c>
      <c r="E14" s="24">
        <v>24.62</v>
      </c>
      <c r="F14" s="25">
        <v>21</v>
      </c>
      <c r="G14" s="25">
        <v>27</v>
      </c>
      <c r="H14" s="25">
        <v>24.63</v>
      </c>
      <c r="I14" s="25">
        <v>24.62</v>
      </c>
      <c r="J14" s="26">
        <v>2744000</v>
      </c>
      <c r="K14" s="27">
        <v>4298500</v>
      </c>
      <c r="L14" s="28">
        <v>95</v>
      </c>
      <c r="M14" s="28">
        <v>43</v>
      </c>
      <c r="N14" s="29">
        <v>3.96</v>
      </c>
      <c r="O14" s="27">
        <v>45247</v>
      </c>
      <c r="P14" s="27">
        <v>179104</v>
      </c>
      <c r="Q14" s="27">
        <v>301607</v>
      </c>
      <c r="R14" s="27">
        <v>144421</v>
      </c>
      <c r="S14" s="27">
        <v>259953</v>
      </c>
      <c r="T14" s="30">
        <v>1.57</v>
      </c>
      <c r="U14" s="31">
        <v>24</v>
      </c>
      <c r="V14" s="28">
        <v>19</v>
      </c>
      <c r="W14" s="32">
        <v>67557280</v>
      </c>
      <c r="X14" s="23" t="s">
        <v>75</v>
      </c>
      <c r="Y14" s="33">
        <v>1354100</v>
      </c>
      <c r="Z14" s="34">
        <v>2634340</v>
      </c>
      <c r="AA14" s="34">
        <v>3249840</v>
      </c>
      <c r="AB14" s="34">
        <v>184650</v>
      </c>
      <c r="AC14" s="34">
        <v>4653180</v>
      </c>
      <c r="AD14" s="34"/>
      <c r="AE14" s="34">
        <v>1231000</v>
      </c>
      <c r="AF14" s="34">
        <v>1070970</v>
      </c>
      <c r="AG14" s="34">
        <v>3717620</v>
      </c>
      <c r="AH14" s="34">
        <v>9072470</v>
      </c>
      <c r="AI14" s="34">
        <v>1612610</v>
      </c>
      <c r="AJ14" s="34">
        <v>5268680</v>
      </c>
      <c r="AK14" s="34">
        <v>529330</v>
      </c>
      <c r="AL14" s="34">
        <v>1686470</v>
      </c>
      <c r="AM14" s="34">
        <v>898630</v>
      </c>
      <c r="AN14" s="34">
        <v>283130</v>
      </c>
      <c r="AO14" s="34">
        <v>9454080</v>
      </c>
      <c r="AP14" s="34">
        <v>0</v>
      </c>
      <c r="AQ14" s="34">
        <v>615500</v>
      </c>
      <c r="AR14" s="34">
        <v>123100</v>
      </c>
      <c r="AS14" s="34">
        <v>307750</v>
      </c>
      <c r="AT14" s="34">
        <v>123100</v>
      </c>
      <c r="AU14" s="34">
        <v>3225220</v>
      </c>
      <c r="AV14" s="34">
        <v>5601050</v>
      </c>
      <c r="AW14" s="34"/>
      <c r="AX14" s="34">
        <v>1883430</v>
      </c>
      <c r="AY14" s="34">
        <v>5539500</v>
      </c>
      <c r="AZ14" s="34">
        <v>935560</v>
      </c>
      <c r="BA14" s="34">
        <v>492400</v>
      </c>
      <c r="BB14" s="34">
        <v>1809570</v>
      </c>
      <c r="BC14" s="35"/>
    </row>
    <row r="15" spans="1:55" x14ac:dyDescent="0.4">
      <c r="A15" s="20">
        <v>43798</v>
      </c>
      <c r="B15" s="21">
        <v>43798.45857638889</v>
      </c>
      <c r="C15" s="22" t="s">
        <v>76</v>
      </c>
      <c r="D15" s="23" t="s">
        <v>74</v>
      </c>
      <c r="E15" s="24">
        <v>25.03</v>
      </c>
      <c r="F15" s="25">
        <v>21</v>
      </c>
      <c r="G15" s="25">
        <v>30</v>
      </c>
      <c r="H15" s="25">
        <v>24.94</v>
      </c>
      <c r="I15" s="25">
        <v>24.95</v>
      </c>
      <c r="J15" s="26">
        <v>2834500</v>
      </c>
      <c r="K15" s="27">
        <v>4833500</v>
      </c>
      <c r="L15" s="28">
        <v>75</v>
      </c>
      <c r="M15" s="28">
        <v>17</v>
      </c>
      <c r="N15" s="29">
        <v>3.75</v>
      </c>
      <c r="O15" s="27">
        <v>64447</v>
      </c>
      <c r="P15" s="27">
        <v>241675</v>
      </c>
      <c r="Q15" s="27">
        <v>363959</v>
      </c>
      <c r="R15" s="27">
        <v>257682</v>
      </c>
      <c r="S15" s="27">
        <v>365284</v>
      </c>
      <c r="T15" s="30">
        <v>1.71</v>
      </c>
      <c r="U15" s="31">
        <v>20</v>
      </c>
      <c r="V15" s="28">
        <v>11</v>
      </c>
      <c r="W15" s="32">
        <v>70947535</v>
      </c>
      <c r="X15" s="23" t="s">
        <v>77</v>
      </c>
      <c r="Y15" s="33"/>
      <c r="Z15" s="34"/>
      <c r="AA15" s="34"/>
      <c r="AB15" s="34"/>
      <c r="AC15" s="34"/>
      <c r="AD15" s="34">
        <v>70947535</v>
      </c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5"/>
    </row>
    <row r="16" spans="1:55" x14ac:dyDescent="0.4">
      <c r="A16" s="20">
        <v>43797</v>
      </c>
      <c r="B16" s="21">
        <v>43797.458923611113</v>
      </c>
      <c r="C16" s="22" t="s">
        <v>73</v>
      </c>
      <c r="D16" s="23" t="s">
        <v>74</v>
      </c>
      <c r="E16" s="24">
        <v>24.91</v>
      </c>
      <c r="F16" s="25">
        <v>21</v>
      </c>
      <c r="G16" s="25">
        <v>30</v>
      </c>
      <c r="H16" s="25">
        <v>24.96</v>
      </c>
      <c r="I16" s="25">
        <v>24.95</v>
      </c>
      <c r="J16" s="26">
        <v>2744000</v>
      </c>
      <c r="K16" s="27">
        <v>3432000</v>
      </c>
      <c r="L16" s="28">
        <v>66</v>
      </c>
      <c r="M16" s="28">
        <v>47</v>
      </c>
      <c r="N16" s="29">
        <v>3.67</v>
      </c>
      <c r="O16" s="27">
        <v>52000</v>
      </c>
      <c r="P16" s="27">
        <v>190667</v>
      </c>
      <c r="Q16" s="27">
        <v>267948</v>
      </c>
      <c r="R16" s="27">
        <v>161412</v>
      </c>
      <c r="S16" s="27">
        <v>218847</v>
      </c>
      <c r="T16" s="30">
        <v>1.25</v>
      </c>
      <c r="U16" s="31">
        <v>18</v>
      </c>
      <c r="V16" s="28">
        <v>17</v>
      </c>
      <c r="W16" s="32">
        <v>68353040</v>
      </c>
      <c r="X16" s="23" t="s">
        <v>75</v>
      </c>
      <c r="Y16" s="33">
        <v>1370050</v>
      </c>
      <c r="Z16" s="34">
        <v>2665370</v>
      </c>
      <c r="AA16" s="34">
        <v>3288120</v>
      </c>
      <c r="AB16" s="34">
        <v>186825</v>
      </c>
      <c r="AC16" s="34">
        <v>4707990</v>
      </c>
      <c r="AD16" s="34"/>
      <c r="AE16" s="34">
        <v>1245500</v>
      </c>
      <c r="AF16" s="34">
        <v>1083585</v>
      </c>
      <c r="AG16" s="34">
        <v>3761410</v>
      </c>
      <c r="AH16" s="34">
        <v>9179335</v>
      </c>
      <c r="AI16" s="34">
        <v>1631605</v>
      </c>
      <c r="AJ16" s="34">
        <v>5330740</v>
      </c>
      <c r="AK16" s="34">
        <v>535565</v>
      </c>
      <c r="AL16" s="34">
        <v>1706335</v>
      </c>
      <c r="AM16" s="34">
        <v>909215</v>
      </c>
      <c r="AN16" s="34">
        <v>286465</v>
      </c>
      <c r="AO16" s="34">
        <v>9565440</v>
      </c>
      <c r="AP16" s="34">
        <v>0</v>
      </c>
      <c r="AQ16" s="34">
        <v>622750</v>
      </c>
      <c r="AR16" s="34">
        <v>124550</v>
      </c>
      <c r="AS16" s="34">
        <v>311375</v>
      </c>
      <c r="AT16" s="34">
        <v>124550</v>
      </c>
      <c r="AU16" s="34">
        <v>3263210</v>
      </c>
      <c r="AV16" s="34">
        <v>5667025</v>
      </c>
      <c r="AW16" s="34"/>
      <c r="AX16" s="34">
        <v>1905615</v>
      </c>
      <c r="AY16" s="34">
        <v>5604750</v>
      </c>
      <c r="AZ16" s="34">
        <v>946580</v>
      </c>
      <c r="BA16" s="34">
        <v>498200</v>
      </c>
      <c r="BB16" s="34">
        <v>1830885</v>
      </c>
      <c r="BC16" s="35"/>
    </row>
    <row r="17" spans="1:55" x14ac:dyDescent="0.4">
      <c r="A17" s="20">
        <v>43795</v>
      </c>
      <c r="B17" s="21">
        <v>43795.458611111113</v>
      </c>
      <c r="C17" s="22" t="s">
        <v>73</v>
      </c>
      <c r="D17" s="23" t="s">
        <v>74</v>
      </c>
      <c r="E17" s="24">
        <v>24.29</v>
      </c>
      <c r="F17" s="25">
        <v>21</v>
      </c>
      <c r="G17" s="25">
        <v>28</v>
      </c>
      <c r="H17" s="25">
        <v>24.44</v>
      </c>
      <c r="I17" s="25">
        <v>24.28</v>
      </c>
      <c r="J17" s="26">
        <v>2744000</v>
      </c>
      <c r="K17" s="27">
        <v>4322000</v>
      </c>
      <c r="L17" s="28">
        <v>70</v>
      </c>
      <c r="M17" s="28">
        <v>33</v>
      </c>
      <c r="N17" s="29">
        <v>3.89</v>
      </c>
      <c r="O17" s="27">
        <v>61743</v>
      </c>
      <c r="P17" s="27">
        <v>240111</v>
      </c>
      <c r="Q17" s="27">
        <v>394392</v>
      </c>
      <c r="R17" s="27">
        <v>171500</v>
      </c>
      <c r="S17" s="27">
        <v>260578</v>
      </c>
      <c r="T17" s="30">
        <v>1.58</v>
      </c>
      <c r="U17" s="31">
        <v>18</v>
      </c>
      <c r="V17" s="28">
        <v>16</v>
      </c>
      <c r="W17" s="32">
        <v>66651760</v>
      </c>
      <c r="X17" s="23" t="s">
        <v>75</v>
      </c>
      <c r="Y17" s="33">
        <v>1335950</v>
      </c>
      <c r="Z17" s="34">
        <v>2599030</v>
      </c>
      <c r="AA17" s="34">
        <v>3206280</v>
      </c>
      <c r="AB17" s="34">
        <v>182175</v>
      </c>
      <c r="AC17" s="34">
        <v>4590810</v>
      </c>
      <c r="AD17" s="34"/>
      <c r="AE17" s="34">
        <v>1214500</v>
      </c>
      <c r="AF17" s="34">
        <v>1056615</v>
      </c>
      <c r="AG17" s="34">
        <v>3667790</v>
      </c>
      <c r="AH17" s="34">
        <v>8950865</v>
      </c>
      <c r="AI17" s="34">
        <v>1590995</v>
      </c>
      <c r="AJ17" s="34">
        <v>5198060</v>
      </c>
      <c r="AK17" s="34">
        <v>522235</v>
      </c>
      <c r="AL17" s="34">
        <v>1663865</v>
      </c>
      <c r="AM17" s="34">
        <v>886585</v>
      </c>
      <c r="AN17" s="34">
        <v>279335</v>
      </c>
      <c r="AO17" s="34">
        <v>9327360</v>
      </c>
      <c r="AP17" s="34">
        <v>0</v>
      </c>
      <c r="AQ17" s="34">
        <v>607250</v>
      </c>
      <c r="AR17" s="34">
        <v>121450</v>
      </c>
      <c r="AS17" s="34">
        <v>303625</v>
      </c>
      <c r="AT17" s="34">
        <v>121450</v>
      </c>
      <c r="AU17" s="34">
        <v>3181990</v>
      </c>
      <c r="AV17" s="34">
        <v>5525975</v>
      </c>
      <c r="AW17" s="34"/>
      <c r="AX17" s="34">
        <v>1858185</v>
      </c>
      <c r="AY17" s="34">
        <v>5465250</v>
      </c>
      <c r="AZ17" s="34">
        <v>923020</v>
      </c>
      <c r="BA17" s="34">
        <v>485800</v>
      </c>
      <c r="BB17" s="34">
        <v>1785315</v>
      </c>
      <c r="BC17" s="35"/>
    </row>
    <row r="18" spans="1:55" x14ac:dyDescent="0.4">
      <c r="A18" s="20">
        <v>43794</v>
      </c>
      <c r="B18" s="21">
        <v>43794.458692129629</v>
      </c>
      <c r="C18" s="22" t="s">
        <v>73</v>
      </c>
      <c r="D18" s="23" t="s">
        <v>74</v>
      </c>
      <c r="E18" s="24">
        <v>24.52</v>
      </c>
      <c r="F18" s="25">
        <v>21</v>
      </c>
      <c r="G18" s="25">
        <v>29</v>
      </c>
      <c r="H18" s="25">
        <v>24.72</v>
      </c>
      <c r="I18" s="25">
        <v>24.49</v>
      </c>
      <c r="J18" s="26">
        <v>2744000</v>
      </c>
      <c r="K18" s="27">
        <v>4337500</v>
      </c>
      <c r="L18" s="28">
        <v>86</v>
      </c>
      <c r="M18" s="28">
        <v>32</v>
      </c>
      <c r="N18" s="29">
        <v>4.0999999999999996</v>
      </c>
      <c r="O18" s="27">
        <v>50436</v>
      </c>
      <c r="P18" s="27">
        <v>206548</v>
      </c>
      <c r="Q18" s="27">
        <v>364494</v>
      </c>
      <c r="R18" s="27">
        <v>211077</v>
      </c>
      <c r="S18" s="27">
        <v>304430</v>
      </c>
      <c r="T18" s="30">
        <v>1.58</v>
      </c>
      <c r="U18" s="31">
        <v>21</v>
      </c>
      <c r="V18" s="28">
        <v>13</v>
      </c>
      <c r="W18" s="32">
        <v>67282880</v>
      </c>
      <c r="X18" s="23" t="s">
        <v>75</v>
      </c>
      <c r="Y18" s="33">
        <v>1348600</v>
      </c>
      <c r="Z18" s="34">
        <v>2623640</v>
      </c>
      <c r="AA18" s="34">
        <v>3236640</v>
      </c>
      <c r="AB18" s="34">
        <v>183900</v>
      </c>
      <c r="AC18" s="34">
        <v>4634280</v>
      </c>
      <c r="AD18" s="34"/>
      <c r="AE18" s="34">
        <v>1226000</v>
      </c>
      <c r="AF18" s="34">
        <v>1066620</v>
      </c>
      <c r="AG18" s="34">
        <v>3702520</v>
      </c>
      <c r="AH18" s="34">
        <v>9035620</v>
      </c>
      <c r="AI18" s="34">
        <v>1606060</v>
      </c>
      <c r="AJ18" s="34">
        <v>5247280</v>
      </c>
      <c r="AK18" s="34">
        <v>527180</v>
      </c>
      <c r="AL18" s="34">
        <v>1679620</v>
      </c>
      <c r="AM18" s="34">
        <v>894980</v>
      </c>
      <c r="AN18" s="34">
        <v>281980</v>
      </c>
      <c r="AO18" s="34">
        <v>9415680</v>
      </c>
      <c r="AP18" s="34">
        <v>0</v>
      </c>
      <c r="AQ18" s="34">
        <v>613000</v>
      </c>
      <c r="AR18" s="34">
        <v>122600</v>
      </c>
      <c r="AS18" s="34">
        <v>306500</v>
      </c>
      <c r="AT18" s="34">
        <v>122600</v>
      </c>
      <c r="AU18" s="34">
        <v>3212120</v>
      </c>
      <c r="AV18" s="34">
        <v>5578300</v>
      </c>
      <c r="AW18" s="34"/>
      <c r="AX18" s="34">
        <v>1875780</v>
      </c>
      <c r="AY18" s="34">
        <v>5517000</v>
      </c>
      <c r="AZ18" s="34">
        <v>931760</v>
      </c>
      <c r="BA18" s="34">
        <v>490400</v>
      </c>
      <c r="BB18" s="34">
        <v>1802220</v>
      </c>
      <c r="BC18" s="35"/>
    </row>
    <row r="19" spans="1:55" x14ac:dyDescent="0.4">
      <c r="A19" s="20">
        <v>43791</v>
      </c>
      <c r="B19" s="21">
        <v>43791.458657407406</v>
      </c>
      <c r="C19" s="22" t="s">
        <v>76</v>
      </c>
      <c r="D19" s="23" t="s">
        <v>74</v>
      </c>
      <c r="E19" s="24">
        <v>24.32</v>
      </c>
      <c r="F19" s="25">
        <v>21</v>
      </c>
      <c r="G19" s="25">
        <v>30.01</v>
      </c>
      <c r="H19" s="25">
        <v>24.38</v>
      </c>
      <c r="I19" s="25">
        <v>24.29</v>
      </c>
      <c r="J19" s="26">
        <v>2834500</v>
      </c>
      <c r="K19" s="27">
        <v>4141500</v>
      </c>
      <c r="L19" s="28">
        <v>84</v>
      </c>
      <c r="M19" s="28">
        <v>31</v>
      </c>
      <c r="N19" s="29">
        <v>4.2</v>
      </c>
      <c r="O19" s="27">
        <v>49304</v>
      </c>
      <c r="P19" s="27">
        <v>207075</v>
      </c>
      <c r="Q19" s="27">
        <v>334700</v>
      </c>
      <c r="R19" s="27">
        <v>166735</v>
      </c>
      <c r="S19" s="27">
        <v>290548</v>
      </c>
      <c r="T19" s="30">
        <v>1.46</v>
      </c>
      <c r="U19" s="31">
        <v>20</v>
      </c>
      <c r="V19" s="28">
        <v>17</v>
      </c>
      <c r="W19" s="32">
        <v>68935040</v>
      </c>
      <c r="X19" s="23" t="s">
        <v>77</v>
      </c>
      <c r="Y19" s="33"/>
      <c r="Z19" s="34"/>
      <c r="AA19" s="34"/>
      <c r="AB19" s="34"/>
      <c r="AC19" s="34"/>
      <c r="AD19" s="34">
        <v>68935040</v>
      </c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5"/>
    </row>
    <row r="20" spans="1:55" x14ac:dyDescent="0.4">
      <c r="A20" s="20">
        <v>43790</v>
      </c>
      <c r="B20" s="21">
        <v>43790.458668981482</v>
      </c>
      <c r="C20" s="22" t="s">
        <v>73</v>
      </c>
      <c r="D20" s="23" t="s">
        <v>74</v>
      </c>
      <c r="E20" s="24">
        <v>23.96</v>
      </c>
      <c r="F20" s="25">
        <v>21</v>
      </c>
      <c r="G20" s="25">
        <v>30</v>
      </c>
      <c r="H20" s="25">
        <v>23.99</v>
      </c>
      <c r="I20" s="25">
        <v>23.95</v>
      </c>
      <c r="J20" s="26">
        <v>2744000</v>
      </c>
      <c r="K20" s="27">
        <v>4156500</v>
      </c>
      <c r="L20" s="28">
        <v>93</v>
      </c>
      <c r="M20" s="28">
        <v>41</v>
      </c>
      <c r="N20" s="29">
        <v>4.04</v>
      </c>
      <c r="O20" s="27">
        <v>44694</v>
      </c>
      <c r="P20" s="27">
        <v>180717</v>
      </c>
      <c r="Q20" s="27">
        <v>226243</v>
      </c>
      <c r="R20" s="27">
        <v>137200</v>
      </c>
      <c r="S20" s="27">
        <v>175491</v>
      </c>
      <c r="T20" s="30">
        <v>1.51</v>
      </c>
      <c r="U20" s="31">
        <v>23</v>
      </c>
      <c r="V20" s="28">
        <v>20</v>
      </c>
      <c r="W20" s="32">
        <v>65746240</v>
      </c>
      <c r="X20" s="23" t="s">
        <v>75</v>
      </c>
      <c r="Y20" s="33">
        <v>1317800</v>
      </c>
      <c r="Z20" s="34">
        <v>2563720</v>
      </c>
      <c r="AA20" s="34">
        <v>3162720</v>
      </c>
      <c r="AB20" s="34">
        <v>179700</v>
      </c>
      <c r="AC20" s="34">
        <v>4528440</v>
      </c>
      <c r="AD20" s="34"/>
      <c r="AE20" s="34">
        <v>1198000</v>
      </c>
      <c r="AF20" s="34">
        <v>1042260</v>
      </c>
      <c r="AG20" s="34">
        <v>3617960</v>
      </c>
      <c r="AH20" s="34">
        <v>8829260</v>
      </c>
      <c r="AI20" s="34">
        <v>1569380</v>
      </c>
      <c r="AJ20" s="34">
        <v>5127440</v>
      </c>
      <c r="AK20" s="34">
        <v>515140</v>
      </c>
      <c r="AL20" s="34">
        <v>1641260</v>
      </c>
      <c r="AM20" s="34">
        <v>874540</v>
      </c>
      <c r="AN20" s="34">
        <v>275540</v>
      </c>
      <c r="AO20" s="34">
        <v>9200640</v>
      </c>
      <c r="AP20" s="34">
        <v>0</v>
      </c>
      <c r="AQ20" s="34">
        <v>599000</v>
      </c>
      <c r="AR20" s="34">
        <v>119800</v>
      </c>
      <c r="AS20" s="34">
        <v>299500</v>
      </c>
      <c r="AT20" s="34">
        <v>119800</v>
      </c>
      <c r="AU20" s="34">
        <v>3138760</v>
      </c>
      <c r="AV20" s="34">
        <v>5450900</v>
      </c>
      <c r="AW20" s="34"/>
      <c r="AX20" s="34">
        <v>1832940</v>
      </c>
      <c r="AY20" s="34">
        <v>5391000</v>
      </c>
      <c r="AZ20" s="34">
        <v>910480</v>
      </c>
      <c r="BA20" s="34">
        <v>479200</v>
      </c>
      <c r="BB20" s="34">
        <v>1761060</v>
      </c>
      <c r="BC20" s="35"/>
    </row>
    <row r="21" spans="1:55" x14ac:dyDescent="0.4">
      <c r="A21" s="20">
        <v>43789</v>
      </c>
      <c r="B21" s="21">
        <v>43789.458506944444</v>
      </c>
      <c r="C21" s="22" t="s">
        <v>78</v>
      </c>
      <c r="D21" s="23" t="s">
        <v>74</v>
      </c>
      <c r="E21" s="24">
        <v>23.34</v>
      </c>
      <c r="F21" s="25">
        <v>21</v>
      </c>
      <c r="G21" s="25">
        <v>30</v>
      </c>
      <c r="H21" s="25">
        <v>23.32</v>
      </c>
      <c r="I21" s="25">
        <v>23.22</v>
      </c>
      <c r="J21" s="26">
        <v>4714500</v>
      </c>
      <c r="K21" s="27">
        <v>8406000</v>
      </c>
      <c r="L21" s="28">
        <v>106</v>
      </c>
      <c r="M21" s="28">
        <v>25</v>
      </c>
      <c r="N21" s="29">
        <v>5.05</v>
      </c>
      <c r="O21" s="27">
        <v>79302</v>
      </c>
      <c r="P21" s="27">
        <v>400286</v>
      </c>
      <c r="Q21" s="27">
        <v>475960</v>
      </c>
      <c r="R21" s="27">
        <v>362654</v>
      </c>
      <c r="S21" s="27">
        <v>325295</v>
      </c>
      <c r="T21" s="30">
        <v>1.78</v>
      </c>
      <c r="U21" s="31">
        <v>21</v>
      </c>
      <c r="V21" s="28">
        <v>13</v>
      </c>
      <c r="W21" s="32">
        <v>110036430</v>
      </c>
      <c r="X21" s="23" t="s">
        <v>79</v>
      </c>
      <c r="Y21" s="33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>
        <v>110036430</v>
      </c>
      <c r="AX21" s="34"/>
      <c r="AY21" s="34"/>
      <c r="AZ21" s="34"/>
      <c r="BA21" s="34"/>
      <c r="BB21" s="34"/>
      <c r="BC21" s="35"/>
    </row>
    <row r="22" spans="1:55" x14ac:dyDescent="0.4">
      <c r="A22" s="20">
        <v>43788</v>
      </c>
      <c r="B22" s="21">
        <v>43788.458622685182</v>
      </c>
      <c r="C22" s="22" t="s">
        <v>73</v>
      </c>
      <c r="D22" s="23" t="s">
        <v>74</v>
      </c>
      <c r="E22" s="24">
        <v>23.62</v>
      </c>
      <c r="F22" s="25">
        <v>23.21</v>
      </c>
      <c r="G22" s="25">
        <v>30</v>
      </c>
      <c r="H22" s="25">
        <v>23.67</v>
      </c>
      <c r="I22" s="25">
        <v>23.45</v>
      </c>
      <c r="J22" s="26">
        <v>2744000</v>
      </c>
      <c r="K22" s="27">
        <v>5216000</v>
      </c>
      <c r="L22" s="28">
        <v>96</v>
      </c>
      <c r="M22" s="28">
        <v>15</v>
      </c>
      <c r="N22" s="29">
        <v>4.3600000000000003</v>
      </c>
      <c r="O22" s="27">
        <v>54333</v>
      </c>
      <c r="P22" s="27">
        <v>237091</v>
      </c>
      <c r="Q22" s="27">
        <v>308603</v>
      </c>
      <c r="R22" s="27">
        <v>228667</v>
      </c>
      <c r="S22" s="27">
        <v>274099</v>
      </c>
      <c r="T22" s="30">
        <v>1.9</v>
      </c>
      <c r="U22" s="31">
        <v>22</v>
      </c>
      <c r="V22" s="28">
        <v>12</v>
      </c>
      <c r="W22" s="32">
        <v>64813280</v>
      </c>
      <c r="X22" s="23" t="s">
        <v>75</v>
      </c>
      <c r="Y22" s="33">
        <v>1299100</v>
      </c>
      <c r="Z22" s="34">
        <v>2527340</v>
      </c>
      <c r="AA22" s="34">
        <v>3117840</v>
      </c>
      <c r="AB22" s="34">
        <v>177150</v>
      </c>
      <c r="AC22" s="34">
        <v>4464180</v>
      </c>
      <c r="AD22" s="34"/>
      <c r="AE22" s="34">
        <v>1181000</v>
      </c>
      <c r="AF22" s="34">
        <v>1027470</v>
      </c>
      <c r="AG22" s="34">
        <v>3566620</v>
      </c>
      <c r="AH22" s="34">
        <v>8703970</v>
      </c>
      <c r="AI22" s="34">
        <v>1547110</v>
      </c>
      <c r="AJ22" s="34">
        <v>5054680</v>
      </c>
      <c r="AK22" s="34">
        <v>507830</v>
      </c>
      <c r="AL22" s="34">
        <v>1617970</v>
      </c>
      <c r="AM22" s="34">
        <v>862130</v>
      </c>
      <c r="AN22" s="34">
        <v>271630</v>
      </c>
      <c r="AO22" s="34">
        <v>9070080</v>
      </c>
      <c r="AP22" s="34">
        <v>0</v>
      </c>
      <c r="AQ22" s="34">
        <v>590500</v>
      </c>
      <c r="AR22" s="34">
        <v>118100</v>
      </c>
      <c r="AS22" s="34">
        <v>295250</v>
      </c>
      <c r="AT22" s="34">
        <v>118100</v>
      </c>
      <c r="AU22" s="34">
        <v>3094220</v>
      </c>
      <c r="AV22" s="34">
        <v>5373550</v>
      </c>
      <c r="AW22" s="34"/>
      <c r="AX22" s="34">
        <v>1806930</v>
      </c>
      <c r="AY22" s="34">
        <v>5314500</v>
      </c>
      <c r="AZ22" s="34">
        <v>897560</v>
      </c>
      <c r="BA22" s="34">
        <v>472400</v>
      </c>
      <c r="BB22" s="34">
        <v>1736070</v>
      </c>
      <c r="BC22" s="35"/>
    </row>
    <row r="23" spans="1:55" x14ac:dyDescent="0.4">
      <c r="A23" s="20">
        <v>43787</v>
      </c>
      <c r="B23" s="21">
        <v>43787.458599537036</v>
      </c>
      <c r="C23" s="22" t="s">
        <v>73</v>
      </c>
      <c r="D23" s="23" t="s">
        <v>74</v>
      </c>
      <c r="E23" s="24">
        <v>23.41</v>
      </c>
      <c r="F23" s="25">
        <v>21</v>
      </c>
      <c r="G23" s="25">
        <v>28</v>
      </c>
      <c r="H23" s="25">
        <v>23.39</v>
      </c>
      <c r="I23" s="25">
        <v>23.32</v>
      </c>
      <c r="J23" s="26">
        <v>2744000</v>
      </c>
      <c r="K23" s="27">
        <v>5689000</v>
      </c>
      <c r="L23" s="28">
        <v>107</v>
      </c>
      <c r="M23" s="28">
        <v>29</v>
      </c>
      <c r="N23" s="29">
        <v>4.12</v>
      </c>
      <c r="O23" s="27">
        <v>53168</v>
      </c>
      <c r="P23" s="27">
        <v>218808</v>
      </c>
      <c r="Q23" s="27">
        <v>336040</v>
      </c>
      <c r="R23" s="27">
        <v>182933</v>
      </c>
      <c r="S23" s="27">
        <v>219753</v>
      </c>
      <c r="T23" s="30">
        <v>2.0699999999999998</v>
      </c>
      <c r="U23" s="31">
        <v>26</v>
      </c>
      <c r="V23" s="28">
        <v>15</v>
      </c>
      <c r="W23" s="32">
        <v>64237040</v>
      </c>
      <c r="X23" s="23" t="s">
        <v>75</v>
      </c>
      <c r="Y23" s="33">
        <v>1287550</v>
      </c>
      <c r="Z23" s="34">
        <v>2504870</v>
      </c>
      <c r="AA23" s="34">
        <v>3090120</v>
      </c>
      <c r="AB23" s="34">
        <v>175575</v>
      </c>
      <c r="AC23" s="34">
        <v>4424490</v>
      </c>
      <c r="AD23" s="34"/>
      <c r="AE23" s="34">
        <v>1170500</v>
      </c>
      <c r="AF23" s="34">
        <v>1018335</v>
      </c>
      <c r="AG23" s="34">
        <v>3534910</v>
      </c>
      <c r="AH23" s="34">
        <v>8626585</v>
      </c>
      <c r="AI23" s="34">
        <v>1533355</v>
      </c>
      <c r="AJ23" s="34">
        <v>5009740</v>
      </c>
      <c r="AK23" s="34">
        <v>503315</v>
      </c>
      <c r="AL23" s="34">
        <v>1603585</v>
      </c>
      <c r="AM23" s="34">
        <v>854465</v>
      </c>
      <c r="AN23" s="34">
        <v>269215</v>
      </c>
      <c r="AO23" s="34">
        <v>8989440</v>
      </c>
      <c r="AP23" s="34">
        <v>0</v>
      </c>
      <c r="AQ23" s="34">
        <v>585250</v>
      </c>
      <c r="AR23" s="34">
        <v>117050</v>
      </c>
      <c r="AS23" s="34">
        <v>292625</v>
      </c>
      <c r="AT23" s="34">
        <v>117050</v>
      </c>
      <c r="AU23" s="34">
        <v>3066710</v>
      </c>
      <c r="AV23" s="34">
        <v>5325775</v>
      </c>
      <c r="AW23" s="34"/>
      <c r="AX23" s="34">
        <v>1790865</v>
      </c>
      <c r="AY23" s="34">
        <v>5267250</v>
      </c>
      <c r="AZ23" s="34">
        <v>889580</v>
      </c>
      <c r="BA23" s="34">
        <v>468200</v>
      </c>
      <c r="BB23" s="34">
        <v>1720635</v>
      </c>
      <c r="BC23" s="35"/>
    </row>
    <row r="24" spans="1:55" x14ac:dyDescent="0.4">
      <c r="A24" s="20">
        <v>43784</v>
      </c>
      <c r="B24" s="21">
        <v>43784.459143518521</v>
      </c>
      <c r="C24" s="22" t="s">
        <v>76</v>
      </c>
      <c r="D24" s="23" t="s">
        <v>74</v>
      </c>
      <c r="E24" s="24">
        <v>23.41</v>
      </c>
      <c r="F24" s="25">
        <v>21</v>
      </c>
      <c r="G24" s="25">
        <v>30</v>
      </c>
      <c r="H24" s="25">
        <v>23.51</v>
      </c>
      <c r="I24" s="25">
        <v>23.38</v>
      </c>
      <c r="J24" s="26">
        <v>2834500</v>
      </c>
      <c r="K24" s="27">
        <v>4691000</v>
      </c>
      <c r="L24" s="28">
        <v>101</v>
      </c>
      <c r="M24" s="28">
        <v>40</v>
      </c>
      <c r="N24" s="29">
        <v>4.59</v>
      </c>
      <c r="O24" s="27">
        <v>46446</v>
      </c>
      <c r="P24" s="27">
        <v>213227</v>
      </c>
      <c r="Q24" s="27">
        <v>217251</v>
      </c>
      <c r="R24" s="27">
        <v>166735</v>
      </c>
      <c r="S24" s="27">
        <v>187014</v>
      </c>
      <c r="T24" s="30">
        <v>1.65</v>
      </c>
      <c r="U24" s="31">
        <v>22</v>
      </c>
      <c r="V24" s="28">
        <v>17</v>
      </c>
      <c r="W24" s="32">
        <v>66355645</v>
      </c>
      <c r="X24" s="23" t="s">
        <v>77</v>
      </c>
      <c r="Y24" s="33"/>
      <c r="Z24" s="34"/>
      <c r="AA24" s="34"/>
      <c r="AB24" s="34"/>
      <c r="AC24" s="34"/>
      <c r="AD24" s="34">
        <v>66355645</v>
      </c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5"/>
    </row>
    <row r="25" spans="1:55" x14ac:dyDescent="0.4">
      <c r="A25" s="20">
        <v>43783</v>
      </c>
      <c r="B25" s="21">
        <v>43783.458761574075</v>
      </c>
      <c r="C25" s="22" t="s">
        <v>73</v>
      </c>
      <c r="D25" s="23" t="s">
        <v>74</v>
      </c>
      <c r="E25" s="24">
        <v>24.28</v>
      </c>
      <c r="F25" s="25">
        <v>21</v>
      </c>
      <c r="G25" s="25">
        <v>30</v>
      </c>
      <c r="H25" s="25">
        <v>24.45</v>
      </c>
      <c r="I25" s="25">
        <v>24.22</v>
      </c>
      <c r="J25" s="26">
        <v>2744000</v>
      </c>
      <c r="K25" s="27">
        <v>5342500</v>
      </c>
      <c r="L25" s="28">
        <v>97</v>
      </c>
      <c r="M25" s="28">
        <v>33</v>
      </c>
      <c r="N25" s="29">
        <v>4.04</v>
      </c>
      <c r="O25" s="27">
        <v>55077</v>
      </c>
      <c r="P25" s="27">
        <v>222604</v>
      </c>
      <c r="Q25" s="27">
        <v>348420</v>
      </c>
      <c r="R25" s="27">
        <v>130667</v>
      </c>
      <c r="S25" s="27">
        <v>156295</v>
      </c>
      <c r="T25" s="30">
        <v>1.95</v>
      </c>
      <c r="U25" s="31">
        <v>24</v>
      </c>
      <c r="V25" s="28">
        <v>21</v>
      </c>
      <c r="W25" s="32">
        <v>66624320</v>
      </c>
      <c r="X25" s="23" t="s">
        <v>75</v>
      </c>
      <c r="Y25" s="33">
        <v>1335400</v>
      </c>
      <c r="Z25" s="34">
        <v>2597960</v>
      </c>
      <c r="AA25" s="34">
        <v>3204960</v>
      </c>
      <c r="AB25" s="34">
        <v>182100</v>
      </c>
      <c r="AC25" s="34">
        <v>4588920</v>
      </c>
      <c r="AD25" s="34"/>
      <c r="AE25" s="34">
        <v>1214000</v>
      </c>
      <c r="AF25" s="34">
        <v>1056180</v>
      </c>
      <c r="AG25" s="34">
        <v>3666280</v>
      </c>
      <c r="AH25" s="34">
        <v>8947180</v>
      </c>
      <c r="AI25" s="34">
        <v>1590340</v>
      </c>
      <c r="AJ25" s="34">
        <v>5195920</v>
      </c>
      <c r="AK25" s="34">
        <v>522020</v>
      </c>
      <c r="AL25" s="34">
        <v>1663180</v>
      </c>
      <c r="AM25" s="34">
        <v>886220</v>
      </c>
      <c r="AN25" s="34">
        <v>279220</v>
      </c>
      <c r="AO25" s="34">
        <v>9323520</v>
      </c>
      <c r="AP25" s="34">
        <v>0</v>
      </c>
      <c r="AQ25" s="34">
        <v>607000</v>
      </c>
      <c r="AR25" s="34">
        <v>121400</v>
      </c>
      <c r="AS25" s="34">
        <v>303500</v>
      </c>
      <c r="AT25" s="34">
        <v>121400</v>
      </c>
      <c r="AU25" s="34">
        <v>3180680</v>
      </c>
      <c r="AV25" s="34">
        <v>5523700</v>
      </c>
      <c r="AW25" s="34"/>
      <c r="AX25" s="34">
        <v>1857420</v>
      </c>
      <c r="AY25" s="34">
        <v>5463000</v>
      </c>
      <c r="AZ25" s="34">
        <v>922640</v>
      </c>
      <c r="BA25" s="34">
        <v>485600</v>
      </c>
      <c r="BB25" s="34">
        <v>1784580</v>
      </c>
      <c r="BC25" s="35"/>
    </row>
    <row r="26" spans="1:55" x14ac:dyDescent="0.4">
      <c r="A26" s="20">
        <v>43781</v>
      </c>
      <c r="B26" s="21">
        <v>43781.458680555559</v>
      </c>
      <c r="C26" s="22" t="s">
        <v>73</v>
      </c>
      <c r="D26" s="23" t="s">
        <v>74</v>
      </c>
      <c r="E26" s="24">
        <v>24.95</v>
      </c>
      <c r="F26" s="25">
        <v>21</v>
      </c>
      <c r="G26" s="25">
        <v>30</v>
      </c>
      <c r="H26" s="25">
        <v>25.02</v>
      </c>
      <c r="I26" s="25">
        <v>24.9</v>
      </c>
      <c r="J26" s="26">
        <v>2744000</v>
      </c>
      <c r="K26" s="27">
        <v>4525000</v>
      </c>
      <c r="L26" s="28">
        <v>93</v>
      </c>
      <c r="M26" s="28">
        <v>33</v>
      </c>
      <c r="N26" s="29">
        <v>4.43</v>
      </c>
      <c r="O26" s="27">
        <v>48656</v>
      </c>
      <c r="P26" s="27">
        <v>215476</v>
      </c>
      <c r="Q26" s="27">
        <v>258397</v>
      </c>
      <c r="R26" s="27">
        <v>161412</v>
      </c>
      <c r="S26" s="27">
        <v>195897</v>
      </c>
      <c r="T26" s="30">
        <v>1.65</v>
      </c>
      <c r="U26" s="31">
        <v>21</v>
      </c>
      <c r="V26" s="28">
        <v>17</v>
      </c>
      <c r="W26" s="32">
        <v>68462800</v>
      </c>
      <c r="X26" s="23" t="s">
        <v>75</v>
      </c>
      <c r="Y26" s="33">
        <v>1372250</v>
      </c>
      <c r="Z26" s="34">
        <v>2669650</v>
      </c>
      <c r="AA26" s="34">
        <v>3293400</v>
      </c>
      <c r="AB26" s="34">
        <v>187125</v>
      </c>
      <c r="AC26" s="34">
        <v>4715550</v>
      </c>
      <c r="AD26" s="34"/>
      <c r="AE26" s="34">
        <v>1247500</v>
      </c>
      <c r="AF26" s="34">
        <v>1085325</v>
      </c>
      <c r="AG26" s="34">
        <v>3767450</v>
      </c>
      <c r="AH26" s="34">
        <v>9194075</v>
      </c>
      <c r="AI26" s="34">
        <v>1634225</v>
      </c>
      <c r="AJ26" s="34">
        <v>5339300</v>
      </c>
      <c r="AK26" s="34">
        <v>536425</v>
      </c>
      <c r="AL26" s="34">
        <v>1709075</v>
      </c>
      <c r="AM26" s="34">
        <v>910675</v>
      </c>
      <c r="AN26" s="34">
        <v>286925</v>
      </c>
      <c r="AO26" s="34">
        <v>9580800</v>
      </c>
      <c r="AP26" s="34">
        <v>0</v>
      </c>
      <c r="AQ26" s="34">
        <v>623750</v>
      </c>
      <c r="AR26" s="34">
        <v>124750</v>
      </c>
      <c r="AS26" s="34">
        <v>311875</v>
      </c>
      <c r="AT26" s="34">
        <v>124750</v>
      </c>
      <c r="AU26" s="34">
        <v>3268450</v>
      </c>
      <c r="AV26" s="34">
        <v>5676125</v>
      </c>
      <c r="AW26" s="34"/>
      <c r="AX26" s="34">
        <v>1908675</v>
      </c>
      <c r="AY26" s="34">
        <v>5613750</v>
      </c>
      <c r="AZ26" s="34">
        <v>948100</v>
      </c>
      <c r="BA26" s="34">
        <v>499000</v>
      </c>
      <c r="BB26" s="34">
        <v>1833825</v>
      </c>
      <c r="BC26" s="35"/>
    </row>
    <row r="27" spans="1:55" x14ac:dyDescent="0.4">
      <c r="A27" s="20">
        <v>43780</v>
      </c>
      <c r="B27" s="21">
        <v>43780.458553240744</v>
      </c>
      <c r="C27" s="22" t="s">
        <v>73</v>
      </c>
      <c r="D27" s="23" t="s">
        <v>74</v>
      </c>
      <c r="E27" s="24">
        <v>25.21</v>
      </c>
      <c r="F27" s="25">
        <v>21</v>
      </c>
      <c r="G27" s="25">
        <v>29</v>
      </c>
      <c r="H27" s="25">
        <v>25.37</v>
      </c>
      <c r="I27" s="25">
        <v>25.17</v>
      </c>
      <c r="J27" s="26">
        <v>2744000</v>
      </c>
      <c r="K27" s="27">
        <v>4884500</v>
      </c>
      <c r="L27" s="28">
        <v>88</v>
      </c>
      <c r="M27" s="28">
        <v>28</v>
      </c>
      <c r="N27" s="29">
        <v>4</v>
      </c>
      <c r="O27" s="27">
        <v>55506</v>
      </c>
      <c r="P27" s="27">
        <v>222023</v>
      </c>
      <c r="Q27" s="27">
        <v>351515</v>
      </c>
      <c r="R27" s="27">
        <v>196000</v>
      </c>
      <c r="S27" s="27">
        <v>259584</v>
      </c>
      <c r="T27" s="30">
        <v>1.78</v>
      </c>
      <c r="U27" s="31">
        <v>22</v>
      </c>
      <c r="V27" s="28">
        <v>14</v>
      </c>
      <c r="W27" s="32">
        <v>69176240</v>
      </c>
      <c r="X27" s="23" t="s">
        <v>75</v>
      </c>
      <c r="Y27" s="33">
        <v>1386550</v>
      </c>
      <c r="Z27" s="34">
        <v>2697470</v>
      </c>
      <c r="AA27" s="34">
        <v>3327720</v>
      </c>
      <c r="AB27" s="34">
        <v>189075</v>
      </c>
      <c r="AC27" s="34">
        <v>4764690</v>
      </c>
      <c r="AD27" s="34"/>
      <c r="AE27" s="34">
        <v>1260500</v>
      </c>
      <c r="AF27" s="34">
        <v>1096635</v>
      </c>
      <c r="AG27" s="34">
        <v>3806710</v>
      </c>
      <c r="AH27" s="34">
        <v>9289885</v>
      </c>
      <c r="AI27" s="34">
        <v>1651255</v>
      </c>
      <c r="AJ27" s="34">
        <v>5394940</v>
      </c>
      <c r="AK27" s="34">
        <v>542015</v>
      </c>
      <c r="AL27" s="34">
        <v>1726885</v>
      </c>
      <c r="AM27" s="34">
        <v>920165</v>
      </c>
      <c r="AN27" s="34">
        <v>289915</v>
      </c>
      <c r="AO27" s="34">
        <v>9680640</v>
      </c>
      <c r="AP27" s="34">
        <v>0</v>
      </c>
      <c r="AQ27" s="34">
        <v>630250</v>
      </c>
      <c r="AR27" s="34">
        <v>126050</v>
      </c>
      <c r="AS27" s="34">
        <v>315125</v>
      </c>
      <c r="AT27" s="34">
        <v>126050</v>
      </c>
      <c r="AU27" s="34">
        <v>3302510</v>
      </c>
      <c r="AV27" s="34">
        <v>5735275</v>
      </c>
      <c r="AW27" s="34"/>
      <c r="AX27" s="34">
        <v>1928565</v>
      </c>
      <c r="AY27" s="34">
        <v>5672250</v>
      </c>
      <c r="AZ27" s="34">
        <v>957980</v>
      </c>
      <c r="BA27" s="34">
        <v>504200</v>
      </c>
      <c r="BB27" s="34">
        <v>1852935</v>
      </c>
      <c r="BC27" s="35"/>
    </row>
    <row r="28" spans="1:55" x14ac:dyDescent="0.4">
      <c r="A28" s="20">
        <v>43777</v>
      </c>
      <c r="B28" s="21">
        <v>43777.458668981482</v>
      </c>
      <c r="C28" s="22" t="s">
        <v>76</v>
      </c>
      <c r="D28" s="23" t="s">
        <v>74</v>
      </c>
      <c r="E28" s="24">
        <v>24.62</v>
      </c>
      <c r="F28" s="25">
        <v>20.51</v>
      </c>
      <c r="G28" s="25">
        <v>30.01</v>
      </c>
      <c r="H28" s="25">
        <v>24.42</v>
      </c>
      <c r="I28" s="25">
        <v>24.55</v>
      </c>
      <c r="J28" s="26">
        <v>2834500</v>
      </c>
      <c r="K28" s="27">
        <v>6297500</v>
      </c>
      <c r="L28" s="28">
        <v>102</v>
      </c>
      <c r="M28" s="28">
        <v>26</v>
      </c>
      <c r="N28" s="29">
        <v>4.8600000000000003</v>
      </c>
      <c r="O28" s="27">
        <v>61740</v>
      </c>
      <c r="P28" s="27">
        <v>299881</v>
      </c>
      <c r="Q28" s="27">
        <v>366294</v>
      </c>
      <c r="R28" s="27">
        <v>202464</v>
      </c>
      <c r="S28" s="27">
        <v>238237</v>
      </c>
      <c r="T28" s="30">
        <v>2.2200000000000002</v>
      </c>
      <c r="U28" s="31">
        <v>21</v>
      </c>
      <c r="V28" s="28">
        <v>14</v>
      </c>
      <c r="W28" s="32">
        <v>69785390</v>
      </c>
      <c r="X28" s="23" t="s">
        <v>77</v>
      </c>
      <c r="Y28" s="33"/>
      <c r="Z28" s="34"/>
      <c r="AA28" s="34"/>
      <c r="AB28" s="34"/>
      <c r="AC28" s="34"/>
      <c r="AD28" s="34">
        <v>69785390</v>
      </c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5"/>
    </row>
    <row r="29" spans="1:55" x14ac:dyDescent="0.4">
      <c r="A29" s="20">
        <v>43776</v>
      </c>
      <c r="B29" s="21">
        <v>43776.458726851852</v>
      </c>
      <c r="C29" s="22" t="s">
        <v>73</v>
      </c>
      <c r="D29" s="23" t="s">
        <v>74</v>
      </c>
      <c r="E29" s="24">
        <v>24.86</v>
      </c>
      <c r="F29" s="25">
        <v>21</v>
      </c>
      <c r="G29" s="25">
        <v>29</v>
      </c>
      <c r="H29" s="25">
        <v>24.92</v>
      </c>
      <c r="I29" s="25">
        <v>24.84</v>
      </c>
      <c r="J29" s="26">
        <v>2744000</v>
      </c>
      <c r="K29" s="27">
        <v>5027500</v>
      </c>
      <c r="L29" s="28">
        <v>95</v>
      </c>
      <c r="M29" s="28">
        <v>40</v>
      </c>
      <c r="N29" s="29">
        <v>4.13</v>
      </c>
      <c r="O29" s="27">
        <v>52921</v>
      </c>
      <c r="P29" s="27">
        <v>218587</v>
      </c>
      <c r="Q29" s="27">
        <v>346633</v>
      </c>
      <c r="R29" s="27">
        <v>144421</v>
      </c>
      <c r="S29" s="27">
        <v>228020</v>
      </c>
      <c r="T29" s="30">
        <v>1.83</v>
      </c>
      <c r="U29" s="31">
        <v>23</v>
      </c>
      <c r="V29" s="28">
        <v>19</v>
      </c>
      <c r="W29" s="32">
        <v>68215840</v>
      </c>
      <c r="X29" s="23" t="s">
        <v>75</v>
      </c>
      <c r="Y29" s="33">
        <v>1367300</v>
      </c>
      <c r="Z29" s="34">
        <v>2660020</v>
      </c>
      <c r="AA29" s="34">
        <v>3281520</v>
      </c>
      <c r="AB29" s="34">
        <v>186450</v>
      </c>
      <c r="AC29" s="34">
        <v>4698540</v>
      </c>
      <c r="AD29" s="34"/>
      <c r="AE29" s="34">
        <v>1243000</v>
      </c>
      <c r="AF29" s="34">
        <v>1081410</v>
      </c>
      <c r="AG29" s="34">
        <v>3753860</v>
      </c>
      <c r="AH29" s="34">
        <v>9160910</v>
      </c>
      <c r="AI29" s="34">
        <v>1628330</v>
      </c>
      <c r="AJ29" s="34">
        <v>5320040</v>
      </c>
      <c r="AK29" s="34">
        <v>534490</v>
      </c>
      <c r="AL29" s="34">
        <v>1702910</v>
      </c>
      <c r="AM29" s="34">
        <v>907390</v>
      </c>
      <c r="AN29" s="34">
        <v>285890</v>
      </c>
      <c r="AO29" s="34">
        <v>9546240</v>
      </c>
      <c r="AP29" s="34">
        <v>0</v>
      </c>
      <c r="AQ29" s="34">
        <v>621500</v>
      </c>
      <c r="AR29" s="34">
        <v>124300</v>
      </c>
      <c r="AS29" s="34">
        <v>310750</v>
      </c>
      <c r="AT29" s="34">
        <v>124300</v>
      </c>
      <c r="AU29" s="34">
        <v>3256660</v>
      </c>
      <c r="AV29" s="34">
        <v>5655650</v>
      </c>
      <c r="AW29" s="34"/>
      <c r="AX29" s="34">
        <v>1901790</v>
      </c>
      <c r="AY29" s="34">
        <v>5593500</v>
      </c>
      <c r="AZ29" s="34">
        <v>944680</v>
      </c>
      <c r="BA29" s="34">
        <v>497200</v>
      </c>
      <c r="BB29" s="34">
        <v>1827210</v>
      </c>
      <c r="BC29" s="35"/>
    </row>
    <row r="30" spans="1:55" x14ac:dyDescent="0.4">
      <c r="A30" s="20">
        <v>43775</v>
      </c>
      <c r="B30" s="21">
        <v>43775.625289351854</v>
      </c>
      <c r="C30" s="22" t="s">
        <v>80</v>
      </c>
      <c r="D30" s="23" t="s">
        <v>81</v>
      </c>
      <c r="E30" s="24">
        <v>25.18</v>
      </c>
      <c r="F30" s="25">
        <v>24.1</v>
      </c>
      <c r="G30" s="25">
        <v>25.45</v>
      </c>
      <c r="H30" s="25">
        <v>24.86</v>
      </c>
      <c r="I30" s="25">
        <v>25</v>
      </c>
      <c r="J30" s="26">
        <v>884500</v>
      </c>
      <c r="K30" s="27">
        <v>3202500</v>
      </c>
      <c r="L30" s="28">
        <v>75</v>
      </c>
      <c r="M30" s="28">
        <v>10</v>
      </c>
      <c r="N30" s="29">
        <v>7.5</v>
      </c>
      <c r="O30" s="27">
        <v>42700</v>
      </c>
      <c r="P30" s="27">
        <v>320250</v>
      </c>
      <c r="Q30" s="27">
        <v>290402</v>
      </c>
      <c r="R30" s="27">
        <v>176900</v>
      </c>
      <c r="S30" s="27">
        <v>93504</v>
      </c>
      <c r="T30" s="30">
        <v>3.62</v>
      </c>
      <c r="U30" s="31">
        <v>10</v>
      </c>
      <c r="V30" s="28">
        <v>5</v>
      </c>
      <c r="W30" s="32">
        <v>22271710</v>
      </c>
      <c r="X30" s="23" t="s">
        <v>75</v>
      </c>
      <c r="Y30" s="33">
        <v>491010</v>
      </c>
      <c r="Z30" s="34">
        <v>528780</v>
      </c>
      <c r="AA30" s="34">
        <v>163670</v>
      </c>
      <c r="AB30" s="34">
        <v>289570</v>
      </c>
      <c r="AC30" s="34">
        <v>264390</v>
      </c>
      <c r="AD30" s="34"/>
      <c r="AE30" s="34">
        <v>541370</v>
      </c>
      <c r="AF30" s="34">
        <v>12590</v>
      </c>
      <c r="AG30" s="34">
        <v>1007200</v>
      </c>
      <c r="AH30" s="34">
        <v>3336350</v>
      </c>
      <c r="AI30" s="34">
        <v>453240</v>
      </c>
      <c r="AJ30" s="34">
        <v>2480230</v>
      </c>
      <c r="AK30" s="34">
        <v>113310</v>
      </c>
      <c r="AL30" s="34">
        <v>201440</v>
      </c>
      <c r="AM30" s="34">
        <v>415470</v>
      </c>
      <c r="AN30" s="34">
        <v>579140</v>
      </c>
      <c r="AO30" s="34">
        <v>2958650</v>
      </c>
      <c r="AP30" s="34">
        <v>0</v>
      </c>
      <c r="AQ30" s="34">
        <v>37770</v>
      </c>
      <c r="AR30" s="34">
        <v>25180</v>
      </c>
      <c r="AS30" s="34">
        <v>88130</v>
      </c>
      <c r="AT30" s="34">
        <v>138490</v>
      </c>
      <c r="AU30" s="34">
        <v>717630</v>
      </c>
      <c r="AV30" s="34">
        <v>5741040</v>
      </c>
      <c r="AW30" s="34"/>
      <c r="AX30" s="34">
        <v>566550</v>
      </c>
      <c r="AY30" s="34">
        <v>314750</v>
      </c>
      <c r="AZ30" s="34">
        <v>717630</v>
      </c>
      <c r="BA30" s="34">
        <v>37770</v>
      </c>
      <c r="BB30" s="34">
        <v>50360</v>
      </c>
      <c r="BC30" s="35"/>
    </row>
    <row r="31" spans="1:55" x14ac:dyDescent="0.4">
      <c r="A31" s="20">
        <v>43775</v>
      </c>
      <c r="B31" s="21">
        <v>43775.45921296296</v>
      </c>
      <c r="C31" s="22" t="s">
        <v>78</v>
      </c>
      <c r="D31" s="23" t="s">
        <v>74</v>
      </c>
      <c r="E31" s="24">
        <v>25.1</v>
      </c>
      <c r="F31" s="25">
        <v>21</v>
      </c>
      <c r="G31" s="25">
        <v>29</v>
      </c>
      <c r="H31" s="25">
        <v>25.08</v>
      </c>
      <c r="I31" s="25">
        <v>25.07</v>
      </c>
      <c r="J31" s="26">
        <v>4714500</v>
      </c>
      <c r="K31" s="27">
        <v>8190500</v>
      </c>
      <c r="L31" s="28">
        <v>114</v>
      </c>
      <c r="M31" s="28">
        <v>41</v>
      </c>
      <c r="N31" s="29">
        <v>4.5599999999999996</v>
      </c>
      <c r="O31" s="27">
        <v>71846</v>
      </c>
      <c r="P31" s="27">
        <v>327620</v>
      </c>
      <c r="Q31" s="27">
        <v>451769</v>
      </c>
      <c r="R31" s="27">
        <v>224500</v>
      </c>
      <c r="S31" s="27">
        <v>347953</v>
      </c>
      <c r="T31" s="30">
        <v>1.74</v>
      </c>
      <c r="U31" s="31">
        <v>25</v>
      </c>
      <c r="V31" s="28">
        <v>21</v>
      </c>
      <c r="W31" s="32">
        <v>118333950</v>
      </c>
      <c r="X31" s="23" t="s">
        <v>79</v>
      </c>
      <c r="Y31" s="33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>
        <v>118333950</v>
      </c>
      <c r="AX31" s="34"/>
      <c r="AY31" s="34"/>
      <c r="AZ31" s="34"/>
      <c r="BA31" s="34"/>
      <c r="BB31" s="34"/>
      <c r="BC31" s="35"/>
    </row>
    <row r="32" spans="1:55" x14ac:dyDescent="0.4">
      <c r="A32" s="20">
        <v>43774</v>
      </c>
      <c r="B32" s="21">
        <v>43774.458599537036</v>
      </c>
      <c r="C32" s="22" t="s">
        <v>73</v>
      </c>
      <c r="D32" s="23" t="s">
        <v>74</v>
      </c>
      <c r="E32" s="24">
        <v>25.8</v>
      </c>
      <c r="F32" s="25">
        <v>25.5</v>
      </c>
      <c r="G32" s="25">
        <v>30</v>
      </c>
      <c r="H32" s="25">
        <v>25.88</v>
      </c>
      <c r="I32" s="25">
        <v>25.75</v>
      </c>
      <c r="J32" s="26">
        <v>2744000</v>
      </c>
      <c r="K32" s="27">
        <v>4482500</v>
      </c>
      <c r="L32" s="28">
        <v>75</v>
      </c>
      <c r="M32" s="28">
        <v>25</v>
      </c>
      <c r="N32" s="29">
        <v>3.41</v>
      </c>
      <c r="O32" s="27">
        <v>59767</v>
      </c>
      <c r="P32" s="27">
        <v>203750</v>
      </c>
      <c r="Q32" s="27">
        <v>238236</v>
      </c>
      <c r="R32" s="27">
        <v>161412</v>
      </c>
      <c r="S32" s="27">
        <v>193036</v>
      </c>
      <c r="T32" s="30">
        <v>1.63</v>
      </c>
      <c r="U32" s="31">
        <v>22</v>
      </c>
      <c r="V32" s="28">
        <v>17</v>
      </c>
      <c r="W32" s="32">
        <v>70795200</v>
      </c>
      <c r="X32" s="23" t="s">
        <v>75</v>
      </c>
      <c r="Y32" s="33">
        <v>1419000</v>
      </c>
      <c r="Z32" s="34">
        <v>2760600</v>
      </c>
      <c r="AA32" s="34">
        <v>3405600</v>
      </c>
      <c r="AB32" s="34">
        <v>193500</v>
      </c>
      <c r="AC32" s="34">
        <v>4876200</v>
      </c>
      <c r="AD32" s="34"/>
      <c r="AE32" s="34">
        <v>1290000</v>
      </c>
      <c r="AF32" s="34">
        <v>1122300</v>
      </c>
      <c r="AG32" s="34">
        <v>3895800</v>
      </c>
      <c r="AH32" s="34">
        <v>9507300</v>
      </c>
      <c r="AI32" s="34">
        <v>1689900</v>
      </c>
      <c r="AJ32" s="34">
        <v>5521200</v>
      </c>
      <c r="AK32" s="34">
        <v>554700</v>
      </c>
      <c r="AL32" s="34">
        <v>1767300</v>
      </c>
      <c r="AM32" s="34">
        <v>941700</v>
      </c>
      <c r="AN32" s="34">
        <v>296700</v>
      </c>
      <c r="AO32" s="34">
        <v>9907200</v>
      </c>
      <c r="AP32" s="34">
        <v>0</v>
      </c>
      <c r="AQ32" s="34">
        <v>645000</v>
      </c>
      <c r="AR32" s="34">
        <v>129000</v>
      </c>
      <c r="AS32" s="34">
        <v>322500</v>
      </c>
      <c r="AT32" s="34">
        <v>129000</v>
      </c>
      <c r="AU32" s="34">
        <v>3379800</v>
      </c>
      <c r="AV32" s="34">
        <v>5869500</v>
      </c>
      <c r="AW32" s="34"/>
      <c r="AX32" s="34">
        <v>1973700</v>
      </c>
      <c r="AY32" s="34">
        <v>5805000</v>
      </c>
      <c r="AZ32" s="34">
        <v>980400</v>
      </c>
      <c r="BA32" s="34">
        <v>516000</v>
      </c>
      <c r="BB32" s="34">
        <v>1896300</v>
      </c>
      <c r="BC32" s="35"/>
    </row>
    <row r="33" spans="1:55" x14ac:dyDescent="0.4">
      <c r="A33" s="20">
        <v>43773</v>
      </c>
      <c r="B33" s="21">
        <v>43773.459398148145</v>
      </c>
      <c r="C33" s="22" t="s">
        <v>73</v>
      </c>
      <c r="D33" s="23" t="s">
        <v>74</v>
      </c>
      <c r="E33" s="24">
        <v>24.93</v>
      </c>
      <c r="F33" s="25">
        <v>21</v>
      </c>
      <c r="G33" s="25">
        <v>30</v>
      </c>
      <c r="H33" s="25">
        <v>24.99</v>
      </c>
      <c r="I33" s="25">
        <v>24.91</v>
      </c>
      <c r="J33" s="26">
        <v>2744000</v>
      </c>
      <c r="K33" s="27">
        <v>4806500</v>
      </c>
      <c r="L33" s="28">
        <v>68</v>
      </c>
      <c r="M33" s="28">
        <v>30</v>
      </c>
      <c r="N33" s="29">
        <v>3.09</v>
      </c>
      <c r="O33" s="27">
        <v>70684</v>
      </c>
      <c r="P33" s="27">
        <v>218477</v>
      </c>
      <c r="Q33" s="27">
        <v>314265</v>
      </c>
      <c r="R33" s="27">
        <v>152444</v>
      </c>
      <c r="S33" s="27">
        <v>201695</v>
      </c>
      <c r="T33" s="30">
        <v>1.75</v>
      </c>
      <c r="U33" s="31">
        <v>22</v>
      </c>
      <c r="V33" s="28">
        <v>18</v>
      </c>
      <c r="W33" s="32">
        <v>68407920</v>
      </c>
      <c r="X33" s="23" t="s">
        <v>75</v>
      </c>
      <c r="Y33" s="33">
        <v>1371150</v>
      </c>
      <c r="Z33" s="34">
        <v>2667510</v>
      </c>
      <c r="AA33" s="34">
        <v>3290760</v>
      </c>
      <c r="AB33" s="34">
        <v>186975</v>
      </c>
      <c r="AC33" s="34">
        <v>4711770</v>
      </c>
      <c r="AD33" s="34"/>
      <c r="AE33" s="34">
        <v>1246500</v>
      </c>
      <c r="AF33" s="34">
        <v>1084455</v>
      </c>
      <c r="AG33" s="34">
        <v>3764430</v>
      </c>
      <c r="AH33" s="34">
        <v>9186705</v>
      </c>
      <c r="AI33" s="34">
        <v>1632915</v>
      </c>
      <c r="AJ33" s="34">
        <v>5335020</v>
      </c>
      <c r="AK33" s="34">
        <v>535995</v>
      </c>
      <c r="AL33" s="34">
        <v>1707705</v>
      </c>
      <c r="AM33" s="34">
        <v>909945</v>
      </c>
      <c r="AN33" s="34">
        <v>286695</v>
      </c>
      <c r="AO33" s="34">
        <v>9573120</v>
      </c>
      <c r="AP33" s="34">
        <v>0</v>
      </c>
      <c r="AQ33" s="34">
        <v>623250</v>
      </c>
      <c r="AR33" s="34">
        <v>124650</v>
      </c>
      <c r="AS33" s="34">
        <v>311625</v>
      </c>
      <c r="AT33" s="34">
        <v>124650</v>
      </c>
      <c r="AU33" s="34">
        <v>3265830</v>
      </c>
      <c r="AV33" s="34">
        <v>5671575</v>
      </c>
      <c r="AW33" s="34"/>
      <c r="AX33" s="34">
        <v>1907145</v>
      </c>
      <c r="AY33" s="34">
        <v>5609250</v>
      </c>
      <c r="AZ33" s="34">
        <v>947340</v>
      </c>
      <c r="BA33" s="34">
        <v>498600</v>
      </c>
      <c r="BB33" s="34">
        <v>1832355</v>
      </c>
      <c r="BC33" s="35"/>
    </row>
    <row r="34" spans="1:55" x14ac:dyDescent="0.4">
      <c r="A34" s="20">
        <v>43770</v>
      </c>
      <c r="B34" s="21">
        <v>43770.458761574075</v>
      </c>
      <c r="C34" s="22" t="s">
        <v>76</v>
      </c>
      <c r="D34" s="23" t="s">
        <v>74</v>
      </c>
      <c r="E34" s="24">
        <v>25.71</v>
      </c>
      <c r="F34" s="25">
        <v>25.22</v>
      </c>
      <c r="G34" s="25">
        <v>30</v>
      </c>
      <c r="H34" s="25">
        <v>25.8</v>
      </c>
      <c r="I34" s="25">
        <v>25.61</v>
      </c>
      <c r="J34" s="26">
        <v>2834500</v>
      </c>
      <c r="K34" s="27">
        <v>5144000</v>
      </c>
      <c r="L34" s="28">
        <v>50</v>
      </c>
      <c r="M34" s="28">
        <v>15</v>
      </c>
      <c r="N34" s="29">
        <v>3.85</v>
      </c>
      <c r="O34" s="27">
        <v>102880</v>
      </c>
      <c r="P34" s="27">
        <v>395692</v>
      </c>
      <c r="Q34" s="27">
        <v>359214</v>
      </c>
      <c r="R34" s="27">
        <v>314944</v>
      </c>
      <c r="S34" s="27">
        <v>257829</v>
      </c>
      <c r="T34" s="30">
        <v>1.81</v>
      </c>
      <c r="U34" s="31">
        <v>13</v>
      </c>
      <c r="V34" s="28">
        <v>9</v>
      </c>
      <c r="W34" s="32">
        <v>72874995</v>
      </c>
      <c r="X34" s="23" t="s">
        <v>77</v>
      </c>
      <c r="Y34" s="33"/>
      <c r="Z34" s="34"/>
      <c r="AA34" s="34"/>
      <c r="AB34" s="34"/>
      <c r="AC34" s="34"/>
      <c r="AD34" s="34">
        <v>72874995</v>
      </c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5"/>
    </row>
    <row r="35" spans="1:55" x14ac:dyDescent="0.4">
      <c r="A35" s="20">
        <v>43769</v>
      </c>
      <c r="B35" s="21">
        <v>43769.458587962959</v>
      </c>
      <c r="C35" s="22" t="s">
        <v>73</v>
      </c>
      <c r="D35" s="23" t="s">
        <v>74</v>
      </c>
      <c r="E35" s="24">
        <v>25.95</v>
      </c>
      <c r="F35" s="25">
        <v>25.6</v>
      </c>
      <c r="G35" s="25">
        <v>30</v>
      </c>
      <c r="H35" s="25">
        <v>26.2</v>
      </c>
      <c r="I35" s="25">
        <v>25.95</v>
      </c>
      <c r="J35" s="26">
        <v>2744000</v>
      </c>
      <c r="K35" s="27">
        <v>4333500</v>
      </c>
      <c r="L35" s="28">
        <v>61</v>
      </c>
      <c r="M35" s="28">
        <v>31</v>
      </c>
      <c r="N35" s="29">
        <v>3.39</v>
      </c>
      <c r="O35" s="27">
        <v>71041</v>
      </c>
      <c r="P35" s="27">
        <v>240750</v>
      </c>
      <c r="Q35" s="27">
        <v>326802</v>
      </c>
      <c r="R35" s="27">
        <v>182933</v>
      </c>
      <c r="S35" s="27">
        <v>232824</v>
      </c>
      <c r="T35" s="30">
        <v>1.58</v>
      </c>
      <c r="U35" s="31">
        <v>18</v>
      </c>
      <c r="V35" s="28">
        <v>15</v>
      </c>
      <c r="W35" s="32">
        <v>71206800</v>
      </c>
      <c r="X35" s="23" t="s">
        <v>75</v>
      </c>
      <c r="Y35" s="33">
        <v>1427250</v>
      </c>
      <c r="Z35" s="34">
        <v>2776650</v>
      </c>
      <c r="AA35" s="34">
        <v>3425400</v>
      </c>
      <c r="AB35" s="34">
        <v>194625</v>
      </c>
      <c r="AC35" s="34">
        <v>4904550</v>
      </c>
      <c r="AD35" s="34"/>
      <c r="AE35" s="34">
        <v>1297500</v>
      </c>
      <c r="AF35" s="34">
        <v>1128825</v>
      </c>
      <c r="AG35" s="34">
        <v>3918450</v>
      </c>
      <c r="AH35" s="34">
        <v>9562575</v>
      </c>
      <c r="AI35" s="34">
        <v>1699725</v>
      </c>
      <c r="AJ35" s="34">
        <v>5553300</v>
      </c>
      <c r="AK35" s="34">
        <v>557925</v>
      </c>
      <c r="AL35" s="34">
        <v>1777575</v>
      </c>
      <c r="AM35" s="34">
        <v>947175</v>
      </c>
      <c r="AN35" s="34">
        <v>298425</v>
      </c>
      <c r="AO35" s="34">
        <v>9964800</v>
      </c>
      <c r="AP35" s="34">
        <v>0</v>
      </c>
      <c r="AQ35" s="34">
        <v>648750</v>
      </c>
      <c r="AR35" s="34">
        <v>129750</v>
      </c>
      <c r="AS35" s="34">
        <v>324375</v>
      </c>
      <c r="AT35" s="34">
        <v>129750</v>
      </c>
      <c r="AU35" s="34">
        <v>3399450</v>
      </c>
      <c r="AV35" s="34">
        <v>5903625</v>
      </c>
      <c r="AW35" s="34"/>
      <c r="AX35" s="34">
        <v>1985175</v>
      </c>
      <c r="AY35" s="34">
        <v>5838750</v>
      </c>
      <c r="AZ35" s="34">
        <v>986100</v>
      </c>
      <c r="BA35" s="34">
        <v>519000</v>
      </c>
      <c r="BB35" s="34">
        <v>1907325</v>
      </c>
      <c r="BC35" s="35"/>
    </row>
    <row r="36" spans="1:55" x14ac:dyDescent="0.4">
      <c r="A36" s="20">
        <v>43767</v>
      </c>
      <c r="B36" s="21">
        <v>43767.458680555559</v>
      </c>
      <c r="C36" s="22" t="s">
        <v>73</v>
      </c>
      <c r="D36" s="23" t="s">
        <v>74</v>
      </c>
      <c r="E36" s="24">
        <v>25.4</v>
      </c>
      <c r="F36" s="25">
        <v>21</v>
      </c>
      <c r="G36" s="25">
        <v>30</v>
      </c>
      <c r="H36" s="25">
        <v>25.37</v>
      </c>
      <c r="I36" s="25">
        <v>25.21</v>
      </c>
      <c r="J36" s="26">
        <v>2744000</v>
      </c>
      <c r="K36" s="27">
        <v>5253500</v>
      </c>
      <c r="L36" s="28">
        <v>95</v>
      </c>
      <c r="M36" s="28">
        <v>16</v>
      </c>
      <c r="N36" s="29">
        <v>3.96</v>
      </c>
      <c r="O36" s="27">
        <v>55300</v>
      </c>
      <c r="P36" s="27">
        <v>218896</v>
      </c>
      <c r="Q36" s="27">
        <v>292925</v>
      </c>
      <c r="R36" s="27">
        <v>228667</v>
      </c>
      <c r="S36" s="27">
        <v>254794</v>
      </c>
      <c r="T36" s="30">
        <v>1.91</v>
      </c>
      <c r="U36" s="31">
        <v>24</v>
      </c>
      <c r="V36" s="28">
        <v>12</v>
      </c>
      <c r="W36" s="32">
        <v>69697600</v>
      </c>
      <c r="X36" s="23" t="s">
        <v>75</v>
      </c>
      <c r="Y36" s="33">
        <v>1397000</v>
      </c>
      <c r="Z36" s="34">
        <v>2717800</v>
      </c>
      <c r="AA36" s="34">
        <v>3352800</v>
      </c>
      <c r="AB36" s="34">
        <v>190500</v>
      </c>
      <c r="AC36" s="34">
        <v>4800600</v>
      </c>
      <c r="AD36" s="34"/>
      <c r="AE36" s="34">
        <v>1270000</v>
      </c>
      <c r="AF36" s="34">
        <v>1104900</v>
      </c>
      <c r="AG36" s="34">
        <v>3835400</v>
      </c>
      <c r="AH36" s="34">
        <v>9359900</v>
      </c>
      <c r="AI36" s="34">
        <v>1663700</v>
      </c>
      <c r="AJ36" s="34">
        <v>5435600</v>
      </c>
      <c r="AK36" s="34">
        <v>546100</v>
      </c>
      <c r="AL36" s="34">
        <v>1739900</v>
      </c>
      <c r="AM36" s="34">
        <v>927100</v>
      </c>
      <c r="AN36" s="34">
        <v>292100</v>
      </c>
      <c r="AO36" s="34">
        <v>9753600</v>
      </c>
      <c r="AP36" s="34">
        <v>0</v>
      </c>
      <c r="AQ36" s="34">
        <v>635000</v>
      </c>
      <c r="AR36" s="34">
        <v>127000</v>
      </c>
      <c r="AS36" s="34">
        <v>317500</v>
      </c>
      <c r="AT36" s="34">
        <v>127000</v>
      </c>
      <c r="AU36" s="34">
        <v>3327400</v>
      </c>
      <c r="AV36" s="34">
        <v>5778500</v>
      </c>
      <c r="AW36" s="34"/>
      <c r="AX36" s="34">
        <v>1943100</v>
      </c>
      <c r="AY36" s="34">
        <v>5715000</v>
      </c>
      <c r="AZ36" s="34">
        <v>965200</v>
      </c>
      <c r="BA36" s="34">
        <v>508000</v>
      </c>
      <c r="BB36" s="34">
        <v>1866900</v>
      </c>
      <c r="BC36" s="35"/>
    </row>
    <row r="37" spans="1:55" x14ac:dyDescent="0.4">
      <c r="A37" s="20">
        <v>43766</v>
      </c>
      <c r="B37" s="21">
        <v>43766.458807870367</v>
      </c>
      <c r="C37" s="22" t="s">
        <v>73</v>
      </c>
      <c r="D37" s="23" t="s">
        <v>74</v>
      </c>
      <c r="E37" s="24">
        <v>24.68</v>
      </c>
      <c r="F37" s="25">
        <v>21</v>
      </c>
      <c r="G37" s="25">
        <v>29</v>
      </c>
      <c r="H37" s="25">
        <v>24.78</v>
      </c>
      <c r="I37" s="25">
        <v>24.61</v>
      </c>
      <c r="J37" s="26">
        <v>2744000</v>
      </c>
      <c r="K37" s="27">
        <v>4270500</v>
      </c>
      <c r="L37" s="28">
        <v>94</v>
      </c>
      <c r="M37" s="28">
        <v>31</v>
      </c>
      <c r="N37" s="29">
        <v>4.09</v>
      </c>
      <c r="O37" s="27">
        <v>45431</v>
      </c>
      <c r="P37" s="27">
        <v>185674</v>
      </c>
      <c r="Q37" s="27">
        <v>286559</v>
      </c>
      <c r="R37" s="27">
        <v>171500</v>
      </c>
      <c r="S37" s="27">
        <v>281456</v>
      </c>
      <c r="T37" s="30">
        <v>1.56</v>
      </c>
      <c r="U37" s="31">
        <v>23</v>
      </c>
      <c r="V37" s="28">
        <v>16</v>
      </c>
      <c r="W37" s="32">
        <v>67721920</v>
      </c>
      <c r="X37" s="23" t="s">
        <v>75</v>
      </c>
      <c r="Y37" s="33">
        <v>1357400</v>
      </c>
      <c r="Z37" s="34">
        <v>2640760</v>
      </c>
      <c r="AA37" s="34">
        <v>3257760</v>
      </c>
      <c r="AB37" s="34">
        <v>185100</v>
      </c>
      <c r="AC37" s="34">
        <v>4664520</v>
      </c>
      <c r="AD37" s="34"/>
      <c r="AE37" s="34">
        <v>1234000</v>
      </c>
      <c r="AF37" s="34">
        <v>1073580</v>
      </c>
      <c r="AG37" s="34">
        <v>3726680</v>
      </c>
      <c r="AH37" s="34">
        <v>9094580</v>
      </c>
      <c r="AI37" s="34">
        <v>1616540</v>
      </c>
      <c r="AJ37" s="34">
        <v>5281520</v>
      </c>
      <c r="AK37" s="34">
        <v>530620</v>
      </c>
      <c r="AL37" s="34">
        <v>1690580</v>
      </c>
      <c r="AM37" s="34">
        <v>900820</v>
      </c>
      <c r="AN37" s="34">
        <v>283820</v>
      </c>
      <c r="AO37" s="34">
        <v>9477120</v>
      </c>
      <c r="AP37" s="34">
        <v>0</v>
      </c>
      <c r="AQ37" s="34">
        <v>617000</v>
      </c>
      <c r="AR37" s="34">
        <v>123400</v>
      </c>
      <c r="AS37" s="34">
        <v>308500</v>
      </c>
      <c r="AT37" s="34">
        <v>123400</v>
      </c>
      <c r="AU37" s="34">
        <v>3233080</v>
      </c>
      <c r="AV37" s="34">
        <v>5614700</v>
      </c>
      <c r="AW37" s="34"/>
      <c r="AX37" s="34">
        <v>1888020</v>
      </c>
      <c r="AY37" s="34">
        <v>5553000</v>
      </c>
      <c r="AZ37" s="34">
        <v>937840</v>
      </c>
      <c r="BA37" s="34">
        <v>493600</v>
      </c>
      <c r="BB37" s="34">
        <v>1813980</v>
      </c>
      <c r="BC37" s="35"/>
    </row>
    <row r="38" spans="1:55" x14ac:dyDescent="0.4">
      <c r="A38" s="20">
        <v>43763</v>
      </c>
      <c r="B38" s="21">
        <v>43763.45888888889</v>
      </c>
      <c r="C38" s="22" t="s">
        <v>76</v>
      </c>
      <c r="D38" s="23" t="s">
        <v>74</v>
      </c>
      <c r="E38" s="24">
        <v>24.86</v>
      </c>
      <c r="F38" s="25">
        <v>21</v>
      </c>
      <c r="G38" s="25">
        <v>29</v>
      </c>
      <c r="H38" s="25">
        <v>24.98</v>
      </c>
      <c r="I38" s="25">
        <v>24.91</v>
      </c>
      <c r="J38" s="26">
        <v>2834500</v>
      </c>
      <c r="K38" s="27">
        <v>4146000</v>
      </c>
      <c r="L38" s="28">
        <v>73</v>
      </c>
      <c r="M38" s="28">
        <v>48</v>
      </c>
      <c r="N38" s="29">
        <v>4.0599999999999996</v>
      </c>
      <c r="O38" s="27">
        <v>56795</v>
      </c>
      <c r="P38" s="27">
        <v>230333</v>
      </c>
      <c r="Q38" s="27">
        <v>277507</v>
      </c>
      <c r="R38" s="27">
        <v>166735</v>
      </c>
      <c r="S38" s="27">
        <v>182748</v>
      </c>
      <c r="T38" s="30">
        <v>1.46</v>
      </c>
      <c r="U38" s="31">
        <v>18</v>
      </c>
      <c r="V38" s="28">
        <v>17</v>
      </c>
      <c r="W38" s="32">
        <v>70465670</v>
      </c>
      <c r="X38" s="23" t="s">
        <v>77</v>
      </c>
      <c r="Y38" s="33"/>
      <c r="Z38" s="34"/>
      <c r="AA38" s="34"/>
      <c r="AB38" s="34"/>
      <c r="AC38" s="34"/>
      <c r="AD38" s="34">
        <v>70465670</v>
      </c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5"/>
    </row>
    <row r="39" spans="1:55" x14ac:dyDescent="0.4">
      <c r="A39" s="20">
        <v>43762</v>
      </c>
      <c r="B39" s="21">
        <v>43762.458668981482</v>
      </c>
      <c r="C39" s="22" t="s">
        <v>73</v>
      </c>
      <c r="D39" s="23" t="s">
        <v>74</v>
      </c>
      <c r="E39" s="24">
        <v>24.61</v>
      </c>
      <c r="F39" s="25">
        <v>21</v>
      </c>
      <c r="G39" s="25">
        <v>28</v>
      </c>
      <c r="H39" s="25">
        <v>24.59</v>
      </c>
      <c r="I39" s="25">
        <v>24.55</v>
      </c>
      <c r="J39" s="26">
        <v>2744500</v>
      </c>
      <c r="K39" s="27">
        <v>4239500</v>
      </c>
      <c r="L39" s="28">
        <v>87</v>
      </c>
      <c r="M39" s="28">
        <v>35</v>
      </c>
      <c r="N39" s="29">
        <v>3.78</v>
      </c>
      <c r="O39" s="27">
        <v>48730</v>
      </c>
      <c r="P39" s="27">
        <v>184326</v>
      </c>
      <c r="Q39" s="27">
        <v>226056</v>
      </c>
      <c r="R39" s="27">
        <v>144447</v>
      </c>
      <c r="S39" s="27">
        <v>194613</v>
      </c>
      <c r="T39" s="30">
        <v>1.54</v>
      </c>
      <c r="U39" s="31">
        <v>23</v>
      </c>
      <c r="V39" s="28">
        <v>19</v>
      </c>
      <c r="W39" s="32">
        <v>67542145</v>
      </c>
      <c r="X39" s="23" t="s">
        <v>75</v>
      </c>
      <c r="Y39" s="33">
        <v>1353550</v>
      </c>
      <c r="Z39" s="34">
        <v>2633270</v>
      </c>
      <c r="AA39" s="34">
        <v>3248520</v>
      </c>
      <c r="AB39" s="34">
        <v>184575</v>
      </c>
      <c r="AC39" s="34">
        <v>4651290</v>
      </c>
      <c r="AD39" s="34"/>
      <c r="AE39" s="34">
        <v>1230500</v>
      </c>
      <c r="AF39" s="34">
        <v>1070535</v>
      </c>
      <c r="AG39" s="34">
        <v>3716110</v>
      </c>
      <c r="AH39" s="34">
        <v>9068785</v>
      </c>
      <c r="AI39" s="34">
        <v>1611955</v>
      </c>
      <c r="AJ39" s="34">
        <v>5266540</v>
      </c>
      <c r="AK39" s="34">
        <v>529115</v>
      </c>
      <c r="AL39" s="34">
        <v>1685785</v>
      </c>
      <c r="AM39" s="34">
        <v>898265</v>
      </c>
      <c r="AN39" s="34">
        <v>283015</v>
      </c>
      <c r="AO39" s="34">
        <v>9450240</v>
      </c>
      <c r="AP39" s="34">
        <v>12305</v>
      </c>
      <c r="AQ39" s="34">
        <v>615250</v>
      </c>
      <c r="AR39" s="34">
        <v>123050</v>
      </c>
      <c r="AS39" s="34">
        <v>307625</v>
      </c>
      <c r="AT39" s="34">
        <v>123050</v>
      </c>
      <c r="AU39" s="34">
        <v>3223910</v>
      </c>
      <c r="AV39" s="34">
        <v>5598775</v>
      </c>
      <c r="AW39" s="34"/>
      <c r="AX39" s="34">
        <v>1882665</v>
      </c>
      <c r="AY39" s="34">
        <v>5537250</v>
      </c>
      <c r="AZ39" s="34">
        <v>935180</v>
      </c>
      <c r="BA39" s="34">
        <v>492200</v>
      </c>
      <c r="BB39" s="34">
        <v>1808835</v>
      </c>
      <c r="BC39" s="35"/>
    </row>
    <row r="40" spans="1:55" x14ac:dyDescent="0.4">
      <c r="A40" s="20">
        <v>43761</v>
      </c>
      <c r="B40" s="21">
        <v>43761.458587962959</v>
      </c>
      <c r="C40" s="22" t="s">
        <v>78</v>
      </c>
      <c r="D40" s="23" t="s">
        <v>74</v>
      </c>
      <c r="E40" s="24">
        <v>25.09</v>
      </c>
      <c r="F40" s="25">
        <v>21</v>
      </c>
      <c r="G40" s="25">
        <v>35</v>
      </c>
      <c r="H40" s="25">
        <v>25.15</v>
      </c>
      <c r="I40" s="25">
        <v>25.01</v>
      </c>
      <c r="J40" s="26">
        <v>4714500</v>
      </c>
      <c r="K40" s="27">
        <v>7667000</v>
      </c>
      <c r="L40" s="28">
        <v>116</v>
      </c>
      <c r="M40" s="28">
        <v>34</v>
      </c>
      <c r="N40" s="29">
        <v>5.04</v>
      </c>
      <c r="O40" s="27">
        <v>66095</v>
      </c>
      <c r="P40" s="27">
        <v>333348</v>
      </c>
      <c r="Q40" s="27">
        <v>536107</v>
      </c>
      <c r="R40" s="27">
        <v>277324</v>
      </c>
      <c r="S40" s="27">
        <v>387581</v>
      </c>
      <c r="T40" s="30">
        <v>1.63</v>
      </c>
      <c r="U40" s="31">
        <v>23</v>
      </c>
      <c r="V40" s="28">
        <v>17</v>
      </c>
      <c r="W40" s="32">
        <v>118286805</v>
      </c>
      <c r="X40" s="23" t="s">
        <v>79</v>
      </c>
      <c r="Y40" s="33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>
        <v>118286805</v>
      </c>
      <c r="AX40" s="34"/>
      <c r="AY40" s="34"/>
      <c r="AZ40" s="34"/>
      <c r="BA40" s="34"/>
      <c r="BB40" s="34"/>
      <c r="BC40" s="35"/>
    </row>
    <row r="41" spans="1:55" x14ac:dyDescent="0.4">
      <c r="A41" s="20">
        <v>43760</v>
      </c>
      <c r="B41" s="21">
        <v>43760.458645833336</v>
      </c>
      <c r="C41" s="22" t="s">
        <v>73</v>
      </c>
      <c r="D41" s="23" t="s">
        <v>74</v>
      </c>
      <c r="E41" s="24">
        <v>25.7</v>
      </c>
      <c r="F41" s="25">
        <v>21</v>
      </c>
      <c r="G41" s="25">
        <v>29</v>
      </c>
      <c r="H41" s="25">
        <v>25.55</v>
      </c>
      <c r="I41" s="25">
        <v>25.57</v>
      </c>
      <c r="J41" s="26">
        <v>2744500</v>
      </c>
      <c r="K41" s="27">
        <v>6301500</v>
      </c>
      <c r="L41" s="28">
        <v>92</v>
      </c>
      <c r="M41" s="28">
        <v>13</v>
      </c>
      <c r="N41" s="29">
        <v>4</v>
      </c>
      <c r="O41" s="27">
        <v>68495</v>
      </c>
      <c r="P41" s="27">
        <v>273978</v>
      </c>
      <c r="Q41" s="27">
        <v>395013</v>
      </c>
      <c r="R41" s="27">
        <v>249500</v>
      </c>
      <c r="S41" s="27">
        <v>314618</v>
      </c>
      <c r="T41" s="30">
        <v>2.2999999999999998</v>
      </c>
      <c r="U41" s="31">
        <v>23</v>
      </c>
      <c r="V41" s="28">
        <v>11</v>
      </c>
      <c r="W41" s="32">
        <v>70533650</v>
      </c>
      <c r="X41" s="23" t="s">
        <v>75</v>
      </c>
      <c r="Y41" s="33">
        <v>1413500</v>
      </c>
      <c r="Z41" s="34">
        <v>2749900</v>
      </c>
      <c r="AA41" s="34">
        <v>3392400</v>
      </c>
      <c r="AB41" s="34">
        <v>192750</v>
      </c>
      <c r="AC41" s="34">
        <v>4857300</v>
      </c>
      <c r="AD41" s="34"/>
      <c r="AE41" s="34">
        <v>1285000</v>
      </c>
      <c r="AF41" s="34">
        <v>1117950</v>
      </c>
      <c r="AG41" s="34">
        <v>3880700</v>
      </c>
      <c r="AH41" s="34">
        <v>9470450</v>
      </c>
      <c r="AI41" s="34">
        <v>1683350</v>
      </c>
      <c r="AJ41" s="34">
        <v>5499800</v>
      </c>
      <c r="AK41" s="34">
        <v>552550</v>
      </c>
      <c r="AL41" s="34">
        <v>1760450</v>
      </c>
      <c r="AM41" s="34">
        <v>938050</v>
      </c>
      <c r="AN41" s="34">
        <v>295550</v>
      </c>
      <c r="AO41" s="34">
        <v>9868800</v>
      </c>
      <c r="AP41" s="34">
        <v>12850</v>
      </c>
      <c r="AQ41" s="34">
        <v>642500</v>
      </c>
      <c r="AR41" s="34">
        <v>128500</v>
      </c>
      <c r="AS41" s="34">
        <v>321250</v>
      </c>
      <c r="AT41" s="34">
        <v>128500</v>
      </c>
      <c r="AU41" s="34">
        <v>3366700</v>
      </c>
      <c r="AV41" s="34">
        <v>5846750</v>
      </c>
      <c r="AW41" s="34"/>
      <c r="AX41" s="34">
        <v>1966050</v>
      </c>
      <c r="AY41" s="34">
        <v>5782500</v>
      </c>
      <c r="AZ41" s="34">
        <v>976600</v>
      </c>
      <c r="BA41" s="34">
        <v>514000</v>
      </c>
      <c r="BB41" s="34">
        <v>1888950</v>
      </c>
      <c r="BC41" s="35"/>
    </row>
    <row r="42" spans="1:55" x14ac:dyDescent="0.4">
      <c r="A42" s="20">
        <v>43759</v>
      </c>
      <c r="B42" s="21">
        <v>43759.458541666667</v>
      </c>
      <c r="C42" s="22" t="s">
        <v>73</v>
      </c>
      <c r="D42" s="23" t="s">
        <v>74</v>
      </c>
      <c r="E42" s="24">
        <v>25.9</v>
      </c>
      <c r="F42" s="25">
        <v>0.01</v>
      </c>
      <c r="G42" s="25">
        <v>29</v>
      </c>
      <c r="H42" s="25">
        <v>25.53</v>
      </c>
      <c r="I42" s="25">
        <v>25.92</v>
      </c>
      <c r="J42" s="26">
        <v>2744500</v>
      </c>
      <c r="K42" s="27">
        <v>3878500</v>
      </c>
      <c r="L42" s="28">
        <v>71</v>
      </c>
      <c r="M42" s="28">
        <v>40</v>
      </c>
      <c r="N42" s="29">
        <v>3.38</v>
      </c>
      <c r="O42" s="27">
        <v>54627</v>
      </c>
      <c r="P42" s="27">
        <v>184690</v>
      </c>
      <c r="Q42" s="27">
        <v>260453</v>
      </c>
      <c r="R42" s="27">
        <v>144447</v>
      </c>
      <c r="S42" s="27">
        <v>207902</v>
      </c>
      <c r="T42" s="30">
        <v>1.41</v>
      </c>
      <c r="U42" s="31">
        <v>21</v>
      </c>
      <c r="V42" s="28">
        <v>19</v>
      </c>
      <c r="W42" s="32">
        <v>71082550</v>
      </c>
      <c r="X42" s="23" t="s">
        <v>75</v>
      </c>
      <c r="Y42" s="33">
        <v>1424500</v>
      </c>
      <c r="Z42" s="34">
        <v>2771300</v>
      </c>
      <c r="AA42" s="34">
        <v>3418800</v>
      </c>
      <c r="AB42" s="34">
        <v>194250</v>
      </c>
      <c r="AC42" s="34">
        <v>4895100</v>
      </c>
      <c r="AD42" s="34"/>
      <c r="AE42" s="34">
        <v>1295000</v>
      </c>
      <c r="AF42" s="34">
        <v>1126650</v>
      </c>
      <c r="AG42" s="34">
        <v>3910900</v>
      </c>
      <c r="AH42" s="34">
        <v>9544150</v>
      </c>
      <c r="AI42" s="34">
        <v>1696450</v>
      </c>
      <c r="AJ42" s="34">
        <v>5542600</v>
      </c>
      <c r="AK42" s="34">
        <v>556850</v>
      </c>
      <c r="AL42" s="34">
        <v>1774150</v>
      </c>
      <c r="AM42" s="34">
        <v>945350</v>
      </c>
      <c r="AN42" s="34">
        <v>297850</v>
      </c>
      <c r="AO42" s="34">
        <v>9945600</v>
      </c>
      <c r="AP42" s="34">
        <v>12950</v>
      </c>
      <c r="AQ42" s="34">
        <v>647500</v>
      </c>
      <c r="AR42" s="34">
        <v>129500</v>
      </c>
      <c r="AS42" s="34">
        <v>323750</v>
      </c>
      <c r="AT42" s="34">
        <v>129500</v>
      </c>
      <c r="AU42" s="34">
        <v>3392900</v>
      </c>
      <c r="AV42" s="34">
        <v>5892250</v>
      </c>
      <c r="AW42" s="34"/>
      <c r="AX42" s="34">
        <v>1981350</v>
      </c>
      <c r="AY42" s="34">
        <v>5827500</v>
      </c>
      <c r="AZ42" s="34">
        <v>984200</v>
      </c>
      <c r="BA42" s="34">
        <v>518000</v>
      </c>
      <c r="BB42" s="34">
        <v>1903650</v>
      </c>
      <c r="BC42" s="35"/>
    </row>
    <row r="43" spans="1:55" x14ac:dyDescent="0.4">
      <c r="A43" s="20">
        <v>43756</v>
      </c>
      <c r="B43" s="21">
        <v>43756.458726851852</v>
      </c>
      <c r="C43" s="22" t="s">
        <v>76</v>
      </c>
      <c r="D43" s="23" t="s">
        <v>74</v>
      </c>
      <c r="E43" s="24">
        <v>25.64</v>
      </c>
      <c r="F43" s="25">
        <v>21</v>
      </c>
      <c r="G43" s="25">
        <v>29</v>
      </c>
      <c r="H43" s="25">
        <v>25.64</v>
      </c>
      <c r="I43" s="25">
        <v>25.66</v>
      </c>
      <c r="J43" s="26">
        <v>2834500</v>
      </c>
      <c r="K43" s="27">
        <v>4343000</v>
      </c>
      <c r="L43" s="28">
        <v>70</v>
      </c>
      <c r="M43" s="28">
        <v>41</v>
      </c>
      <c r="N43" s="29">
        <v>3.89</v>
      </c>
      <c r="O43" s="27">
        <v>62043</v>
      </c>
      <c r="P43" s="27">
        <v>241278</v>
      </c>
      <c r="Q43" s="27">
        <v>325368</v>
      </c>
      <c r="R43" s="27">
        <v>188967</v>
      </c>
      <c r="S43" s="27">
        <v>258879</v>
      </c>
      <c r="T43" s="30">
        <v>1.53</v>
      </c>
      <c r="U43" s="31">
        <v>18</v>
      </c>
      <c r="V43" s="28">
        <v>15</v>
      </c>
      <c r="W43" s="32">
        <v>72676580</v>
      </c>
      <c r="X43" s="23" t="s">
        <v>77</v>
      </c>
      <c r="Y43" s="33"/>
      <c r="Z43" s="34"/>
      <c r="AA43" s="34"/>
      <c r="AB43" s="34"/>
      <c r="AC43" s="34"/>
      <c r="AD43" s="34">
        <v>72676580</v>
      </c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5"/>
    </row>
    <row r="44" spans="1:55" x14ac:dyDescent="0.4">
      <c r="A44" s="20">
        <v>43755</v>
      </c>
      <c r="B44" s="21">
        <v>43755.458541666667</v>
      </c>
      <c r="C44" s="22" t="s">
        <v>73</v>
      </c>
      <c r="D44" s="23" t="s">
        <v>74</v>
      </c>
      <c r="E44" s="24">
        <v>25.96</v>
      </c>
      <c r="F44" s="25">
        <v>21</v>
      </c>
      <c r="G44" s="25">
        <v>40</v>
      </c>
      <c r="H44" s="25">
        <v>26.01</v>
      </c>
      <c r="I44" s="25">
        <v>25.75</v>
      </c>
      <c r="J44" s="26">
        <v>2744500</v>
      </c>
      <c r="K44" s="27">
        <v>6533000</v>
      </c>
      <c r="L44" s="28">
        <v>84</v>
      </c>
      <c r="M44" s="28">
        <v>17</v>
      </c>
      <c r="N44" s="29">
        <v>3.65</v>
      </c>
      <c r="O44" s="27">
        <v>77774</v>
      </c>
      <c r="P44" s="27">
        <v>284043</v>
      </c>
      <c r="Q44" s="27">
        <v>405719</v>
      </c>
      <c r="R44" s="27">
        <v>211115</v>
      </c>
      <c r="S44" s="27">
        <v>271262</v>
      </c>
      <c r="T44" s="30">
        <v>2.38</v>
      </c>
      <c r="U44" s="31">
        <v>23</v>
      </c>
      <c r="V44" s="28">
        <v>13</v>
      </c>
      <c r="W44" s="32">
        <v>71247220</v>
      </c>
      <c r="X44" s="23" t="s">
        <v>75</v>
      </c>
      <c r="Y44" s="33">
        <v>1427800</v>
      </c>
      <c r="Z44" s="34">
        <v>2777720</v>
      </c>
      <c r="AA44" s="34">
        <v>3426720</v>
      </c>
      <c r="AB44" s="34">
        <v>194700</v>
      </c>
      <c r="AC44" s="34">
        <v>4906440</v>
      </c>
      <c r="AD44" s="34"/>
      <c r="AE44" s="34">
        <v>1298000</v>
      </c>
      <c r="AF44" s="34">
        <v>1129260</v>
      </c>
      <c r="AG44" s="34">
        <v>3919960</v>
      </c>
      <c r="AH44" s="34">
        <v>9566260</v>
      </c>
      <c r="AI44" s="34">
        <v>1700380</v>
      </c>
      <c r="AJ44" s="34">
        <v>5555440</v>
      </c>
      <c r="AK44" s="34">
        <v>558140</v>
      </c>
      <c r="AL44" s="34">
        <v>1778260</v>
      </c>
      <c r="AM44" s="34">
        <v>947540</v>
      </c>
      <c r="AN44" s="34">
        <v>298540</v>
      </c>
      <c r="AO44" s="34">
        <v>9968640</v>
      </c>
      <c r="AP44" s="34">
        <v>12980</v>
      </c>
      <c r="AQ44" s="34">
        <v>649000</v>
      </c>
      <c r="AR44" s="34">
        <v>129800</v>
      </c>
      <c r="AS44" s="34">
        <v>324500</v>
      </c>
      <c r="AT44" s="34">
        <v>129800</v>
      </c>
      <c r="AU44" s="34">
        <v>3400760</v>
      </c>
      <c r="AV44" s="34">
        <v>5905900</v>
      </c>
      <c r="AW44" s="34"/>
      <c r="AX44" s="34">
        <v>1985940</v>
      </c>
      <c r="AY44" s="34">
        <v>5841000</v>
      </c>
      <c r="AZ44" s="34">
        <v>986480</v>
      </c>
      <c r="BA44" s="34">
        <v>519200</v>
      </c>
      <c r="BB44" s="34">
        <v>1908060</v>
      </c>
      <c r="BC44" s="35"/>
    </row>
    <row r="45" spans="1:55" x14ac:dyDescent="0.4">
      <c r="A45" s="20">
        <v>43753</v>
      </c>
      <c r="B45" s="21">
        <v>43753.458587962959</v>
      </c>
      <c r="C45" s="22" t="s">
        <v>73</v>
      </c>
      <c r="D45" s="23" t="s">
        <v>74</v>
      </c>
      <c r="E45" s="24">
        <v>24.48</v>
      </c>
      <c r="F45" s="25">
        <v>21</v>
      </c>
      <c r="G45" s="25">
        <v>26</v>
      </c>
      <c r="H45" s="25">
        <v>24.44</v>
      </c>
      <c r="I45" s="25">
        <v>24.45</v>
      </c>
      <c r="J45" s="26">
        <v>2744500</v>
      </c>
      <c r="K45" s="27">
        <v>4501000</v>
      </c>
      <c r="L45" s="28">
        <v>78</v>
      </c>
      <c r="M45" s="28">
        <v>28</v>
      </c>
      <c r="N45" s="29">
        <v>3.55</v>
      </c>
      <c r="O45" s="27">
        <v>57705</v>
      </c>
      <c r="P45" s="27">
        <v>204591</v>
      </c>
      <c r="Q45" s="27">
        <v>246047</v>
      </c>
      <c r="R45" s="27">
        <v>182967</v>
      </c>
      <c r="S45" s="27">
        <v>202825</v>
      </c>
      <c r="T45" s="30">
        <v>1.64</v>
      </c>
      <c r="U45" s="31">
        <v>22</v>
      </c>
      <c r="V45" s="28">
        <v>15</v>
      </c>
      <c r="W45" s="32">
        <v>67185360</v>
      </c>
      <c r="X45" s="23" t="s">
        <v>75</v>
      </c>
      <c r="Y45" s="33">
        <v>1346400</v>
      </c>
      <c r="Z45" s="34">
        <v>2619360</v>
      </c>
      <c r="AA45" s="34">
        <v>3231360</v>
      </c>
      <c r="AB45" s="34">
        <v>183600</v>
      </c>
      <c r="AC45" s="34">
        <v>4626720</v>
      </c>
      <c r="AD45" s="34"/>
      <c r="AE45" s="34">
        <v>1224000</v>
      </c>
      <c r="AF45" s="34">
        <v>1064880</v>
      </c>
      <c r="AG45" s="34">
        <v>3696480</v>
      </c>
      <c r="AH45" s="34">
        <v>9020880</v>
      </c>
      <c r="AI45" s="34">
        <v>1603440</v>
      </c>
      <c r="AJ45" s="34">
        <v>5238720</v>
      </c>
      <c r="AK45" s="34">
        <v>526320</v>
      </c>
      <c r="AL45" s="34">
        <v>1676880</v>
      </c>
      <c r="AM45" s="34">
        <v>893520</v>
      </c>
      <c r="AN45" s="34">
        <v>281520</v>
      </c>
      <c r="AO45" s="34">
        <v>9400320</v>
      </c>
      <c r="AP45" s="34">
        <v>12240</v>
      </c>
      <c r="AQ45" s="34">
        <v>612000</v>
      </c>
      <c r="AR45" s="34">
        <v>122400</v>
      </c>
      <c r="AS45" s="34">
        <v>306000</v>
      </c>
      <c r="AT45" s="34">
        <v>122400</v>
      </c>
      <c r="AU45" s="34">
        <v>3206880</v>
      </c>
      <c r="AV45" s="34">
        <v>5569200</v>
      </c>
      <c r="AW45" s="34"/>
      <c r="AX45" s="34">
        <v>1872720</v>
      </c>
      <c r="AY45" s="34">
        <v>5508000</v>
      </c>
      <c r="AZ45" s="34">
        <v>930240</v>
      </c>
      <c r="BA45" s="34">
        <v>489600</v>
      </c>
      <c r="BB45" s="34">
        <v>1799280</v>
      </c>
      <c r="BC45" s="35"/>
    </row>
    <row r="46" spans="1:55" x14ac:dyDescent="0.4">
      <c r="A46" s="20">
        <v>43752</v>
      </c>
      <c r="B46" s="21">
        <v>43752.458738425928</v>
      </c>
      <c r="C46" s="22" t="s">
        <v>73</v>
      </c>
      <c r="D46" s="23" t="s">
        <v>74</v>
      </c>
      <c r="E46" s="24">
        <v>23.82</v>
      </c>
      <c r="F46" s="25">
        <v>21</v>
      </c>
      <c r="G46" s="25">
        <v>26</v>
      </c>
      <c r="H46" s="25">
        <v>23.78</v>
      </c>
      <c r="I46" s="25">
        <v>23.75</v>
      </c>
      <c r="J46" s="26">
        <v>2744500</v>
      </c>
      <c r="K46" s="27">
        <v>4946500</v>
      </c>
      <c r="L46" s="28">
        <v>83</v>
      </c>
      <c r="M46" s="28">
        <v>24</v>
      </c>
      <c r="N46" s="29">
        <v>3.32</v>
      </c>
      <c r="O46" s="27">
        <v>59596</v>
      </c>
      <c r="P46" s="27">
        <v>197860</v>
      </c>
      <c r="Q46" s="27">
        <v>320049</v>
      </c>
      <c r="R46" s="27">
        <v>171531</v>
      </c>
      <c r="S46" s="27">
        <v>210865</v>
      </c>
      <c r="T46" s="30">
        <v>1.8</v>
      </c>
      <c r="U46" s="31">
        <v>25</v>
      </c>
      <c r="V46" s="28">
        <v>16</v>
      </c>
      <c r="W46" s="32">
        <v>65373990</v>
      </c>
      <c r="X46" s="23" t="s">
        <v>75</v>
      </c>
      <c r="Y46" s="33">
        <v>1310100</v>
      </c>
      <c r="Z46" s="34">
        <v>2548740</v>
      </c>
      <c r="AA46" s="34">
        <v>3144240</v>
      </c>
      <c r="AB46" s="34">
        <v>178650</v>
      </c>
      <c r="AC46" s="34">
        <v>4501980</v>
      </c>
      <c r="AD46" s="34"/>
      <c r="AE46" s="34">
        <v>1191000</v>
      </c>
      <c r="AF46" s="34">
        <v>1036170</v>
      </c>
      <c r="AG46" s="34">
        <v>3596820</v>
      </c>
      <c r="AH46" s="34">
        <v>8777670</v>
      </c>
      <c r="AI46" s="34">
        <v>1560210</v>
      </c>
      <c r="AJ46" s="34">
        <v>5097480</v>
      </c>
      <c r="AK46" s="34">
        <v>512130</v>
      </c>
      <c r="AL46" s="34">
        <v>1631670</v>
      </c>
      <c r="AM46" s="34">
        <v>869430</v>
      </c>
      <c r="AN46" s="34">
        <v>273930</v>
      </c>
      <c r="AO46" s="34">
        <v>9146880</v>
      </c>
      <c r="AP46" s="34">
        <v>11910</v>
      </c>
      <c r="AQ46" s="34">
        <v>595500</v>
      </c>
      <c r="AR46" s="34">
        <v>119100</v>
      </c>
      <c r="AS46" s="34">
        <v>297750</v>
      </c>
      <c r="AT46" s="34">
        <v>119100</v>
      </c>
      <c r="AU46" s="34">
        <v>3120420</v>
      </c>
      <c r="AV46" s="34">
        <v>5419050</v>
      </c>
      <c r="AW46" s="34"/>
      <c r="AX46" s="34">
        <v>1822230</v>
      </c>
      <c r="AY46" s="34">
        <v>5359500</v>
      </c>
      <c r="AZ46" s="34">
        <v>905160</v>
      </c>
      <c r="BA46" s="34">
        <v>476400</v>
      </c>
      <c r="BB46" s="34">
        <v>1750770</v>
      </c>
      <c r="BC46" s="35"/>
    </row>
    <row r="47" spans="1:55" x14ac:dyDescent="0.4">
      <c r="A47" s="20">
        <v>43749</v>
      </c>
      <c r="B47" s="21">
        <v>43749.458564814813</v>
      </c>
      <c r="C47" s="22" t="s">
        <v>76</v>
      </c>
      <c r="D47" s="23" t="s">
        <v>74</v>
      </c>
      <c r="E47" s="24">
        <v>23.62</v>
      </c>
      <c r="F47" s="25">
        <v>21</v>
      </c>
      <c r="G47" s="25">
        <v>29</v>
      </c>
      <c r="H47" s="25">
        <v>23.62</v>
      </c>
      <c r="I47" s="25">
        <v>23.59</v>
      </c>
      <c r="J47" s="26">
        <v>2834500</v>
      </c>
      <c r="K47" s="27">
        <v>4516500</v>
      </c>
      <c r="L47" s="28">
        <v>86</v>
      </c>
      <c r="M47" s="28">
        <v>36</v>
      </c>
      <c r="N47" s="29">
        <v>3.91</v>
      </c>
      <c r="O47" s="27">
        <v>52517</v>
      </c>
      <c r="P47" s="27">
        <v>205295</v>
      </c>
      <c r="Q47" s="27">
        <v>346690</v>
      </c>
      <c r="R47" s="27">
        <v>166735</v>
      </c>
      <c r="S47" s="27">
        <v>261997</v>
      </c>
      <c r="T47" s="30">
        <v>1.59</v>
      </c>
      <c r="U47" s="31">
        <v>22</v>
      </c>
      <c r="V47" s="28">
        <v>17</v>
      </c>
      <c r="W47" s="32">
        <v>66950890</v>
      </c>
      <c r="X47" s="23" t="s">
        <v>77</v>
      </c>
      <c r="Y47" s="33"/>
      <c r="Z47" s="34"/>
      <c r="AA47" s="34"/>
      <c r="AB47" s="34"/>
      <c r="AC47" s="34"/>
      <c r="AD47" s="34">
        <v>66950890</v>
      </c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5"/>
    </row>
    <row r="48" spans="1:55" x14ac:dyDescent="0.4">
      <c r="A48" s="20">
        <v>43748</v>
      </c>
      <c r="B48" s="21">
        <v>43748.45857638889</v>
      </c>
      <c r="C48" s="22" t="s">
        <v>73</v>
      </c>
      <c r="D48" s="23" t="s">
        <v>74</v>
      </c>
      <c r="E48" s="24">
        <v>22.83</v>
      </c>
      <c r="F48" s="25">
        <v>21</v>
      </c>
      <c r="G48" s="25">
        <v>25</v>
      </c>
      <c r="H48" s="25">
        <v>22.8</v>
      </c>
      <c r="I48" s="25">
        <v>22.71</v>
      </c>
      <c r="J48" s="26">
        <v>2744500</v>
      </c>
      <c r="K48" s="27">
        <v>5672000</v>
      </c>
      <c r="L48" s="28">
        <v>104</v>
      </c>
      <c r="M48" s="28">
        <v>24</v>
      </c>
      <c r="N48" s="29">
        <v>3.71</v>
      </c>
      <c r="O48" s="27">
        <v>54538</v>
      </c>
      <c r="P48" s="27">
        <v>202571</v>
      </c>
      <c r="Q48" s="27">
        <v>284464</v>
      </c>
      <c r="R48" s="27">
        <v>152472</v>
      </c>
      <c r="S48" s="27">
        <v>198401</v>
      </c>
      <c r="T48" s="30">
        <v>2.0699999999999998</v>
      </c>
      <c r="U48" s="31">
        <v>28</v>
      </c>
      <c r="V48" s="28">
        <v>18</v>
      </c>
      <c r="W48" s="32">
        <v>62656935</v>
      </c>
      <c r="X48" s="23" t="s">
        <v>75</v>
      </c>
      <c r="Y48" s="33">
        <v>1255650</v>
      </c>
      <c r="Z48" s="34">
        <v>2442810</v>
      </c>
      <c r="AA48" s="34">
        <v>3013560</v>
      </c>
      <c r="AB48" s="34">
        <v>171225</v>
      </c>
      <c r="AC48" s="34">
        <v>4314870</v>
      </c>
      <c r="AD48" s="34"/>
      <c r="AE48" s="34">
        <v>1141500</v>
      </c>
      <c r="AF48" s="34">
        <v>993105</v>
      </c>
      <c r="AG48" s="34">
        <v>3447330</v>
      </c>
      <c r="AH48" s="34">
        <v>8412855</v>
      </c>
      <c r="AI48" s="34">
        <v>1495365</v>
      </c>
      <c r="AJ48" s="34">
        <v>4885620</v>
      </c>
      <c r="AK48" s="34">
        <v>490845</v>
      </c>
      <c r="AL48" s="34">
        <v>1563855</v>
      </c>
      <c r="AM48" s="34">
        <v>833295</v>
      </c>
      <c r="AN48" s="34">
        <v>262545</v>
      </c>
      <c r="AO48" s="34">
        <v>8766720</v>
      </c>
      <c r="AP48" s="34">
        <v>11415</v>
      </c>
      <c r="AQ48" s="34">
        <v>570750</v>
      </c>
      <c r="AR48" s="34">
        <v>114150</v>
      </c>
      <c r="AS48" s="34">
        <v>285375</v>
      </c>
      <c r="AT48" s="34">
        <v>114150</v>
      </c>
      <c r="AU48" s="34">
        <v>2990730</v>
      </c>
      <c r="AV48" s="34">
        <v>5193825</v>
      </c>
      <c r="AW48" s="34"/>
      <c r="AX48" s="34">
        <v>1746495</v>
      </c>
      <c r="AY48" s="34">
        <v>5136750</v>
      </c>
      <c r="AZ48" s="34">
        <v>867540</v>
      </c>
      <c r="BA48" s="34">
        <v>456600</v>
      </c>
      <c r="BB48" s="34">
        <v>1678005</v>
      </c>
      <c r="BC48" s="35"/>
    </row>
    <row r="49" spans="1:55" x14ac:dyDescent="0.4">
      <c r="A49" s="20">
        <v>43747</v>
      </c>
      <c r="B49" s="21">
        <v>43747.625289351854</v>
      </c>
      <c r="C49" s="22" t="s">
        <v>82</v>
      </c>
      <c r="D49" s="23" t="s">
        <v>81</v>
      </c>
      <c r="E49" s="24">
        <v>22.32</v>
      </c>
      <c r="F49" s="25">
        <v>21.97</v>
      </c>
      <c r="G49" s="25">
        <v>23.05</v>
      </c>
      <c r="H49" s="25">
        <v>22.22</v>
      </c>
      <c r="I49" s="25">
        <v>22.2</v>
      </c>
      <c r="J49" s="26">
        <v>801500</v>
      </c>
      <c r="K49" s="27">
        <v>2377000</v>
      </c>
      <c r="L49" s="28">
        <v>49</v>
      </c>
      <c r="M49" s="28">
        <v>10</v>
      </c>
      <c r="N49" s="29">
        <v>5.44</v>
      </c>
      <c r="O49" s="27">
        <v>48510</v>
      </c>
      <c r="P49" s="27">
        <v>264111</v>
      </c>
      <c r="Q49" s="27">
        <v>211315</v>
      </c>
      <c r="R49" s="27">
        <v>160300</v>
      </c>
      <c r="S49" s="27">
        <v>109732</v>
      </c>
      <c r="T49" s="30">
        <v>2.97</v>
      </c>
      <c r="U49" s="31">
        <v>9</v>
      </c>
      <c r="V49" s="28">
        <v>5</v>
      </c>
      <c r="W49" s="32">
        <v>17889480</v>
      </c>
      <c r="X49" s="23" t="s">
        <v>77</v>
      </c>
      <c r="Y49" s="33"/>
      <c r="Z49" s="34"/>
      <c r="AA49" s="34"/>
      <c r="AB49" s="34"/>
      <c r="AC49" s="34"/>
      <c r="AD49" s="34">
        <v>17889480</v>
      </c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5"/>
    </row>
    <row r="50" spans="1:55" x14ac:dyDescent="0.4">
      <c r="A50" s="20">
        <v>43747</v>
      </c>
      <c r="B50" s="21">
        <v>43747.458668981482</v>
      </c>
      <c r="C50" s="22" t="s">
        <v>78</v>
      </c>
      <c r="D50" s="23" t="s">
        <v>74</v>
      </c>
      <c r="E50" s="24">
        <v>22.16</v>
      </c>
      <c r="F50" s="25">
        <v>21</v>
      </c>
      <c r="G50" s="25">
        <v>25</v>
      </c>
      <c r="H50" s="25">
        <v>22.09</v>
      </c>
      <c r="I50" s="25">
        <v>22</v>
      </c>
      <c r="J50" s="26">
        <v>4714500</v>
      </c>
      <c r="K50" s="27">
        <v>8219000</v>
      </c>
      <c r="L50" s="28">
        <v>99</v>
      </c>
      <c r="M50" s="28">
        <v>23</v>
      </c>
      <c r="N50" s="29">
        <v>4.3</v>
      </c>
      <c r="O50" s="27">
        <v>83020</v>
      </c>
      <c r="P50" s="27">
        <v>357348</v>
      </c>
      <c r="Q50" s="27">
        <v>504935</v>
      </c>
      <c r="R50" s="27">
        <v>362654</v>
      </c>
      <c r="S50" s="27">
        <v>398066</v>
      </c>
      <c r="T50" s="30">
        <v>1.74</v>
      </c>
      <c r="U50" s="31">
        <v>23</v>
      </c>
      <c r="V50" s="28">
        <v>13</v>
      </c>
      <c r="W50" s="32">
        <v>104473320</v>
      </c>
      <c r="X50" s="23" t="s">
        <v>79</v>
      </c>
      <c r="Y50" s="33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>
        <v>104473320</v>
      </c>
      <c r="AX50" s="34"/>
      <c r="AY50" s="34"/>
      <c r="AZ50" s="34"/>
      <c r="BA50" s="34"/>
      <c r="BB50" s="34"/>
      <c r="BC50" s="35"/>
    </row>
    <row r="51" spans="1:55" x14ac:dyDescent="0.4">
      <c r="A51" s="20">
        <v>43746</v>
      </c>
      <c r="B51" s="21">
        <v>43746.458703703705</v>
      </c>
      <c r="C51" s="22" t="s">
        <v>73</v>
      </c>
      <c r="D51" s="23" t="s">
        <v>74</v>
      </c>
      <c r="E51" s="24">
        <v>23.37</v>
      </c>
      <c r="F51" s="25">
        <v>22.92</v>
      </c>
      <c r="G51" s="25">
        <v>26</v>
      </c>
      <c r="H51" s="25">
        <v>23.35</v>
      </c>
      <c r="I51" s="25">
        <v>23.24</v>
      </c>
      <c r="J51" s="26">
        <v>2744500</v>
      </c>
      <c r="K51" s="27">
        <v>5633500</v>
      </c>
      <c r="L51" s="28">
        <v>100</v>
      </c>
      <c r="M51" s="28">
        <v>25</v>
      </c>
      <c r="N51" s="29">
        <v>4</v>
      </c>
      <c r="O51" s="27">
        <v>56335</v>
      </c>
      <c r="P51" s="27">
        <v>225340</v>
      </c>
      <c r="Q51" s="27">
        <v>252492</v>
      </c>
      <c r="R51" s="27">
        <v>161441</v>
      </c>
      <c r="S51" s="27">
        <v>208232</v>
      </c>
      <c r="T51" s="30">
        <v>2.0499999999999998</v>
      </c>
      <c r="U51" s="31">
        <v>25</v>
      </c>
      <c r="V51" s="28">
        <v>17</v>
      </c>
      <c r="W51" s="32">
        <v>64138965</v>
      </c>
      <c r="X51" s="23" t="s">
        <v>75</v>
      </c>
      <c r="Y51" s="33">
        <v>1285350</v>
      </c>
      <c r="Z51" s="34">
        <v>2500590</v>
      </c>
      <c r="AA51" s="34">
        <v>3084840</v>
      </c>
      <c r="AB51" s="34">
        <v>175275</v>
      </c>
      <c r="AC51" s="34">
        <v>4416930</v>
      </c>
      <c r="AD51" s="34"/>
      <c r="AE51" s="34">
        <v>1168500</v>
      </c>
      <c r="AF51" s="34">
        <v>1016595</v>
      </c>
      <c r="AG51" s="34">
        <v>3528870</v>
      </c>
      <c r="AH51" s="34">
        <v>8611845</v>
      </c>
      <c r="AI51" s="34">
        <v>1530735</v>
      </c>
      <c r="AJ51" s="34">
        <v>5001180</v>
      </c>
      <c r="AK51" s="34">
        <v>502455</v>
      </c>
      <c r="AL51" s="34">
        <v>1600845</v>
      </c>
      <c r="AM51" s="34">
        <v>853005</v>
      </c>
      <c r="AN51" s="34">
        <v>268755</v>
      </c>
      <c r="AO51" s="34">
        <v>8974080</v>
      </c>
      <c r="AP51" s="34">
        <v>11685</v>
      </c>
      <c r="AQ51" s="34">
        <v>584250</v>
      </c>
      <c r="AR51" s="34">
        <v>116850</v>
      </c>
      <c r="AS51" s="34">
        <v>292125</v>
      </c>
      <c r="AT51" s="34">
        <v>116850</v>
      </c>
      <c r="AU51" s="34">
        <v>3061470</v>
      </c>
      <c r="AV51" s="34">
        <v>5316675</v>
      </c>
      <c r="AW51" s="34"/>
      <c r="AX51" s="34">
        <v>1787805</v>
      </c>
      <c r="AY51" s="34">
        <v>5258250</v>
      </c>
      <c r="AZ51" s="34">
        <v>888060</v>
      </c>
      <c r="BA51" s="34">
        <v>467400</v>
      </c>
      <c r="BB51" s="34">
        <v>1717695</v>
      </c>
      <c r="BC51" s="35"/>
    </row>
    <row r="52" spans="1:55" x14ac:dyDescent="0.4">
      <c r="A52" s="20">
        <v>43745</v>
      </c>
      <c r="B52" s="21">
        <v>43745.458668981482</v>
      </c>
      <c r="C52" s="22" t="s">
        <v>73</v>
      </c>
      <c r="D52" s="23" t="s">
        <v>74</v>
      </c>
      <c r="E52" s="24">
        <v>22.77</v>
      </c>
      <c r="F52" s="25">
        <v>22.32</v>
      </c>
      <c r="G52" s="25">
        <v>32</v>
      </c>
      <c r="H52" s="25">
        <v>22.99</v>
      </c>
      <c r="I52" s="25">
        <v>22.75</v>
      </c>
      <c r="J52" s="26">
        <v>2744500</v>
      </c>
      <c r="K52" s="27">
        <v>4780000</v>
      </c>
      <c r="L52" s="28">
        <v>94</v>
      </c>
      <c r="M52" s="28">
        <v>37</v>
      </c>
      <c r="N52" s="29">
        <v>3.92</v>
      </c>
      <c r="O52" s="27">
        <v>50851</v>
      </c>
      <c r="P52" s="27">
        <v>199167</v>
      </c>
      <c r="Q52" s="27">
        <v>262237</v>
      </c>
      <c r="R52" s="27">
        <v>152472</v>
      </c>
      <c r="S52" s="27">
        <v>212537</v>
      </c>
      <c r="T52" s="30">
        <v>1.74</v>
      </c>
      <c r="U52" s="31">
        <v>24</v>
      </c>
      <c r="V52" s="28">
        <v>18</v>
      </c>
      <c r="W52" s="32">
        <v>62492265</v>
      </c>
      <c r="X52" s="23" t="s">
        <v>75</v>
      </c>
      <c r="Y52" s="33">
        <v>1252350</v>
      </c>
      <c r="Z52" s="34">
        <v>2436390</v>
      </c>
      <c r="AA52" s="34">
        <v>3005640</v>
      </c>
      <c r="AB52" s="34">
        <v>170775</v>
      </c>
      <c r="AC52" s="34">
        <v>4303530</v>
      </c>
      <c r="AD52" s="34"/>
      <c r="AE52" s="34">
        <v>1138500</v>
      </c>
      <c r="AF52" s="34">
        <v>990495</v>
      </c>
      <c r="AG52" s="34">
        <v>3438270</v>
      </c>
      <c r="AH52" s="34">
        <v>8390745</v>
      </c>
      <c r="AI52" s="34">
        <v>1491435</v>
      </c>
      <c r="AJ52" s="34">
        <v>4872780</v>
      </c>
      <c r="AK52" s="34">
        <v>489555</v>
      </c>
      <c r="AL52" s="34">
        <v>1559745</v>
      </c>
      <c r="AM52" s="34">
        <v>831105</v>
      </c>
      <c r="AN52" s="34">
        <v>261855</v>
      </c>
      <c r="AO52" s="34">
        <v>8743680</v>
      </c>
      <c r="AP52" s="34">
        <v>11385</v>
      </c>
      <c r="AQ52" s="34">
        <v>569250</v>
      </c>
      <c r="AR52" s="34">
        <v>113850</v>
      </c>
      <c r="AS52" s="34">
        <v>284625</v>
      </c>
      <c r="AT52" s="34">
        <v>113850</v>
      </c>
      <c r="AU52" s="34">
        <v>2982870</v>
      </c>
      <c r="AV52" s="34">
        <v>5180175</v>
      </c>
      <c r="AW52" s="34"/>
      <c r="AX52" s="34">
        <v>1741905</v>
      </c>
      <c r="AY52" s="34">
        <v>5123250</v>
      </c>
      <c r="AZ52" s="34">
        <v>865260</v>
      </c>
      <c r="BA52" s="34">
        <v>455400</v>
      </c>
      <c r="BB52" s="34">
        <v>1673595</v>
      </c>
      <c r="BC52" s="35"/>
    </row>
    <row r="53" spans="1:55" x14ac:dyDescent="0.4">
      <c r="A53" s="20">
        <v>43742</v>
      </c>
      <c r="B53" s="21">
        <v>43742.458587962959</v>
      </c>
      <c r="C53" s="22" t="s">
        <v>76</v>
      </c>
      <c r="D53" s="23" t="s">
        <v>74</v>
      </c>
      <c r="E53" s="24">
        <v>23.41</v>
      </c>
      <c r="F53" s="25">
        <v>22.99</v>
      </c>
      <c r="G53" s="25">
        <v>29</v>
      </c>
      <c r="H53" s="25">
        <v>23.48</v>
      </c>
      <c r="I53" s="25">
        <v>23.37</v>
      </c>
      <c r="J53" s="26">
        <v>2834500</v>
      </c>
      <c r="K53" s="27">
        <v>4171500</v>
      </c>
      <c r="L53" s="28">
        <v>83</v>
      </c>
      <c r="M53" s="28">
        <v>29</v>
      </c>
      <c r="N53" s="29">
        <v>4.37</v>
      </c>
      <c r="O53" s="27">
        <v>50259</v>
      </c>
      <c r="P53" s="27">
        <v>219553</v>
      </c>
      <c r="Q53" s="27">
        <v>333100</v>
      </c>
      <c r="R53" s="27">
        <v>188967</v>
      </c>
      <c r="S53" s="27">
        <v>294746</v>
      </c>
      <c r="T53" s="30">
        <v>1.47</v>
      </c>
      <c r="U53" s="31">
        <v>19</v>
      </c>
      <c r="V53" s="28">
        <v>15</v>
      </c>
      <c r="W53" s="32">
        <v>66355645</v>
      </c>
      <c r="X53" s="23" t="s">
        <v>77</v>
      </c>
      <c r="Y53" s="33"/>
      <c r="Z53" s="34"/>
      <c r="AA53" s="34"/>
      <c r="AB53" s="34"/>
      <c r="AC53" s="34"/>
      <c r="AD53" s="34">
        <v>66355645</v>
      </c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5"/>
    </row>
    <row r="54" spans="1:55" x14ac:dyDescent="0.4">
      <c r="A54" s="20">
        <v>43741</v>
      </c>
      <c r="B54" s="21">
        <v>43741.458692129629</v>
      </c>
      <c r="C54" s="22" t="s">
        <v>73</v>
      </c>
      <c r="D54" s="23" t="s">
        <v>74</v>
      </c>
      <c r="E54" s="24">
        <v>24.03</v>
      </c>
      <c r="F54" s="25">
        <v>23.46</v>
      </c>
      <c r="G54" s="25">
        <v>26</v>
      </c>
      <c r="H54" s="25">
        <v>23.95</v>
      </c>
      <c r="I54" s="25">
        <v>23.81</v>
      </c>
      <c r="J54" s="26">
        <v>2744500</v>
      </c>
      <c r="K54" s="27">
        <v>6749500</v>
      </c>
      <c r="L54" s="28">
        <v>71</v>
      </c>
      <c r="M54" s="28">
        <v>18</v>
      </c>
      <c r="N54" s="29">
        <v>3.38</v>
      </c>
      <c r="O54" s="27">
        <v>95063</v>
      </c>
      <c r="P54" s="27">
        <v>321405</v>
      </c>
      <c r="Q54" s="27">
        <v>681110</v>
      </c>
      <c r="R54" s="27">
        <v>228708</v>
      </c>
      <c r="S54" s="27">
        <v>391416</v>
      </c>
      <c r="T54" s="30">
        <v>2.46</v>
      </c>
      <c r="U54" s="31">
        <v>21</v>
      </c>
      <c r="V54" s="28">
        <v>12</v>
      </c>
      <c r="W54" s="32">
        <v>65950335</v>
      </c>
      <c r="X54" s="23" t="s">
        <v>75</v>
      </c>
      <c r="Y54" s="33">
        <v>1321650</v>
      </c>
      <c r="Z54" s="34">
        <v>2571210</v>
      </c>
      <c r="AA54" s="34">
        <v>3171960</v>
      </c>
      <c r="AB54" s="34">
        <v>180225</v>
      </c>
      <c r="AC54" s="34">
        <v>4541670</v>
      </c>
      <c r="AD54" s="34"/>
      <c r="AE54" s="34">
        <v>1201500</v>
      </c>
      <c r="AF54" s="34">
        <v>1045305</v>
      </c>
      <c r="AG54" s="34">
        <v>3628530</v>
      </c>
      <c r="AH54" s="34">
        <v>8855055</v>
      </c>
      <c r="AI54" s="34">
        <v>1573965</v>
      </c>
      <c r="AJ54" s="34">
        <v>5142420</v>
      </c>
      <c r="AK54" s="34">
        <v>516645</v>
      </c>
      <c r="AL54" s="34">
        <v>1646055</v>
      </c>
      <c r="AM54" s="34">
        <v>877095</v>
      </c>
      <c r="AN54" s="34">
        <v>276345</v>
      </c>
      <c r="AO54" s="34">
        <v>9227520</v>
      </c>
      <c r="AP54" s="34">
        <v>12015</v>
      </c>
      <c r="AQ54" s="34">
        <v>600750</v>
      </c>
      <c r="AR54" s="34">
        <v>120150</v>
      </c>
      <c r="AS54" s="34">
        <v>300375</v>
      </c>
      <c r="AT54" s="34">
        <v>120150</v>
      </c>
      <c r="AU54" s="34">
        <v>3147930</v>
      </c>
      <c r="AV54" s="34">
        <v>5466825</v>
      </c>
      <c r="AW54" s="34"/>
      <c r="AX54" s="34">
        <v>1838295</v>
      </c>
      <c r="AY54" s="34">
        <v>5406750</v>
      </c>
      <c r="AZ54" s="34">
        <v>913140</v>
      </c>
      <c r="BA54" s="34">
        <v>480600</v>
      </c>
      <c r="BB54" s="34">
        <v>1766205</v>
      </c>
      <c r="BC54" s="35"/>
    </row>
    <row r="55" spans="1:55" x14ac:dyDescent="0.4">
      <c r="A55" s="20">
        <v>43739</v>
      </c>
      <c r="B55" s="21">
        <v>43739.458634259259</v>
      </c>
      <c r="C55" s="22" t="s">
        <v>73</v>
      </c>
      <c r="D55" s="23" t="s">
        <v>74</v>
      </c>
      <c r="E55" s="24">
        <v>24.4</v>
      </c>
      <c r="F55" s="25">
        <v>23.99</v>
      </c>
      <c r="G55" s="25">
        <v>27.5</v>
      </c>
      <c r="H55" s="25">
        <v>24.52</v>
      </c>
      <c r="I55" s="25">
        <v>24.42</v>
      </c>
      <c r="J55" s="26">
        <v>2744500</v>
      </c>
      <c r="K55" s="27">
        <v>3986000</v>
      </c>
      <c r="L55" s="28">
        <v>90</v>
      </c>
      <c r="M55" s="28">
        <v>50</v>
      </c>
      <c r="N55" s="29">
        <v>3.46</v>
      </c>
      <c r="O55" s="27">
        <v>44289</v>
      </c>
      <c r="P55" s="27">
        <v>153308</v>
      </c>
      <c r="Q55" s="27">
        <v>243364</v>
      </c>
      <c r="R55" s="27">
        <v>137225</v>
      </c>
      <c r="S55" s="27">
        <v>251782</v>
      </c>
      <c r="T55" s="30">
        <v>1.45</v>
      </c>
      <c r="U55" s="31">
        <v>26</v>
      </c>
      <c r="V55" s="28">
        <v>20</v>
      </c>
      <c r="W55" s="32">
        <v>66965800</v>
      </c>
      <c r="X55" s="23" t="s">
        <v>75</v>
      </c>
      <c r="Y55" s="33">
        <v>1342000</v>
      </c>
      <c r="Z55" s="34">
        <v>2610800</v>
      </c>
      <c r="AA55" s="34">
        <v>3220800</v>
      </c>
      <c r="AB55" s="34">
        <v>183000</v>
      </c>
      <c r="AC55" s="34">
        <v>4611600</v>
      </c>
      <c r="AD55" s="34"/>
      <c r="AE55" s="34">
        <v>1220000</v>
      </c>
      <c r="AF55" s="34">
        <v>1061400</v>
      </c>
      <c r="AG55" s="34">
        <v>3684400</v>
      </c>
      <c r="AH55" s="34">
        <v>8991400</v>
      </c>
      <c r="AI55" s="34">
        <v>1598200</v>
      </c>
      <c r="AJ55" s="34">
        <v>5221600</v>
      </c>
      <c r="AK55" s="34">
        <v>524600</v>
      </c>
      <c r="AL55" s="34">
        <v>1671400</v>
      </c>
      <c r="AM55" s="34">
        <v>890600</v>
      </c>
      <c r="AN55" s="34">
        <v>280600</v>
      </c>
      <c r="AO55" s="34">
        <v>9369600</v>
      </c>
      <c r="AP55" s="34">
        <v>12200</v>
      </c>
      <c r="AQ55" s="34">
        <v>610000</v>
      </c>
      <c r="AR55" s="34">
        <v>122000</v>
      </c>
      <c r="AS55" s="34">
        <v>305000</v>
      </c>
      <c r="AT55" s="34">
        <v>122000</v>
      </c>
      <c r="AU55" s="34">
        <v>3196400</v>
      </c>
      <c r="AV55" s="34">
        <v>5551000</v>
      </c>
      <c r="AW55" s="34"/>
      <c r="AX55" s="34">
        <v>1866600</v>
      </c>
      <c r="AY55" s="34">
        <v>5490000</v>
      </c>
      <c r="AZ55" s="34">
        <v>927200</v>
      </c>
      <c r="BA55" s="34">
        <v>488000</v>
      </c>
      <c r="BB55" s="34">
        <v>1793400</v>
      </c>
      <c r="BC55" s="35"/>
    </row>
    <row r="56" spans="1:55" x14ac:dyDescent="0.4">
      <c r="A56" s="20">
        <v>43738</v>
      </c>
      <c r="B56" s="21">
        <v>43738.458749999998</v>
      </c>
      <c r="C56" s="22" t="s">
        <v>73</v>
      </c>
      <c r="D56" s="23" t="s">
        <v>74</v>
      </c>
      <c r="E56" s="24">
        <v>25.03</v>
      </c>
      <c r="F56" s="25">
        <v>24.73</v>
      </c>
      <c r="G56" s="25">
        <v>29</v>
      </c>
      <c r="H56" s="25">
        <v>25.13</v>
      </c>
      <c r="I56" s="25">
        <v>25.02</v>
      </c>
      <c r="J56" s="26">
        <v>2744500</v>
      </c>
      <c r="K56" s="27">
        <v>4298500</v>
      </c>
      <c r="L56" s="28">
        <v>81</v>
      </c>
      <c r="M56" s="28">
        <v>38</v>
      </c>
      <c r="N56" s="29">
        <v>4.05</v>
      </c>
      <c r="O56" s="27">
        <v>53068</v>
      </c>
      <c r="P56" s="27">
        <v>214925</v>
      </c>
      <c r="Q56" s="27">
        <v>390282</v>
      </c>
      <c r="R56" s="27">
        <v>161441</v>
      </c>
      <c r="S56" s="27">
        <v>295007</v>
      </c>
      <c r="T56" s="30">
        <v>1.57</v>
      </c>
      <c r="U56" s="31">
        <v>20</v>
      </c>
      <c r="V56" s="28">
        <v>17</v>
      </c>
      <c r="W56" s="32">
        <v>68694835</v>
      </c>
      <c r="X56" s="23" t="s">
        <v>75</v>
      </c>
      <c r="Y56" s="33">
        <v>1376650</v>
      </c>
      <c r="Z56" s="34">
        <v>2678210</v>
      </c>
      <c r="AA56" s="34">
        <v>3303960</v>
      </c>
      <c r="AB56" s="34">
        <v>187725</v>
      </c>
      <c r="AC56" s="34">
        <v>4730670</v>
      </c>
      <c r="AD56" s="34"/>
      <c r="AE56" s="34">
        <v>1251500</v>
      </c>
      <c r="AF56" s="34">
        <v>1088805</v>
      </c>
      <c r="AG56" s="34">
        <v>3779530</v>
      </c>
      <c r="AH56" s="34">
        <v>9223555</v>
      </c>
      <c r="AI56" s="34">
        <v>1639465</v>
      </c>
      <c r="AJ56" s="34">
        <v>5356420</v>
      </c>
      <c r="AK56" s="34">
        <v>538145</v>
      </c>
      <c r="AL56" s="34">
        <v>1714555</v>
      </c>
      <c r="AM56" s="34">
        <v>913595</v>
      </c>
      <c r="AN56" s="34">
        <v>287845</v>
      </c>
      <c r="AO56" s="34">
        <v>9611520</v>
      </c>
      <c r="AP56" s="34">
        <v>12515</v>
      </c>
      <c r="AQ56" s="34">
        <v>625750</v>
      </c>
      <c r="AR56" s="34">
        <v>125150</v>
      </c>
      <c r="AS56" s="34">
        <v>312875</v>
      </c>
      <c r="AT56" s="34">
        <v>125150</v>
      </c>
      <c r="AU56" s="34">
        <v>3278930</v>
      </c>
      <c r="AV56" s="34">
        <v>5694325</v>
      </c>
      <c r="AW56" s="34"/>
      <c r="AX56" s="34">
        <v>1914795</v>
      </c>
      <c r="AY56" s="34">
        <v>5631750</v>
      </c>
      <c r="AZ56" s="34">
        <v>951140</v>
      </c>
      <c r="BA56" s="34">
        <v>500600</v>
      </c>
      <c r="BB56" s="34">
        <v>1839705</v>
      </c>
      <c r="BC56" s="35"/>
    </row>
    <row r="57" spans="1:55" x14ac:dyDescent="0.4">
      <c r="A57" s="20">
        <v>43735</v>
      </c>
      <c r="B57" s="21">
        <v>43735.458726851852</v>
      </c>
      <c r="C57" s="22" t="s">
        <v>76</v>
      </c>
      <c r="D57" s="23" t="s">
        <v>74</v>
      </c>
      <c r="E57" s="24">
        <v>25.3</v>
      </c>
      <c r="F57" s="25">
        <v>25</v>
      </c>
      <c r="G57" s="25">
        <v>30.01</v>
      </c>
      <c r="H57" s="25">
        <v>25.47</v>
      </c>
      <c r="I57" s="25">
        <v>25.25</v>
      </c>
      <c r="J57" s="26">
        <v>2834500</v>
      </c>
      <c r="K57" s="27">
        <v>4796500</v>
      </c>
      <c r="L57" s="28">
        <v>81</v>
      </c>
      <c r="M57" s="28">
        <v>31</v>
      </c>
      <c r="N57" s="29">
        <v>3.68</v>
      </c>
      <c r="O57" s="27">
        <v>59216</v>
      </c>
      <c r="P57" s="27">
        <v>218023</v>
      </c>
      <c r="Q57" s="27">
        <v>374764</v>
      </c>
      <c r="R57" s="27">
        <v>177156</v>
      </c>
      <c r="S57" s="27">
        <v>293799</v>
      </c>
      <c r="T57" s="30">
        <v>1.69</v>
      </c>
      <c r="U57" s="31">
        <v>22</v>
      </c>
      <c r="V57" s="28">
        <v>16</v>
      </c>
      <c r="W57" s="32">
        <v>71712850</v>
      </c>
      <c r="X57" s="23" t="s">
        <v>77</v>
      </c>
      <c r="Y57" s="33"/>
      <c r="Z57" s="34"/>
      <c r="AA57" s="34"/>
      <c r="AB57" s="34"/>
      <c r="AC57" s="34"/>
      <c r="AD57" s="34">
        <v>71712850</v>
      </c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5"/>
    </row>
    <row r="58" spans="1:55" x14ac:dyDescent="0.4">
      <c r="A58" s="20">
        <v>43734</v>
      </c>
      <c r="B58" s="21">
        <v>43734.459166666667</v>
      </c>
      <c r="C58" s="22" t="s">
        <v>73</v>
      </c>
      <c r="D58" s="23" t="s">
        <v>74</v>
      </c>
      <c r="E58" s="24">
        <v>25.21</v>
      </c>
      <c r="F58" s="25">
        <v>24.88</v>
      </c>
      <c r="G58" s="25">
        <v>29</v>
      </c>
      <c r="H58" s="25">
        <v>25.36</v>
      </c>
      <c r="I58" s="25">
        <v>25.13</v>
      </c>
      <c r="J58" s="26">
        <v>2744500</v>
      </c>
      <c r="K58" s="27">
        <v>4737500</v>
      </c>
      <c r="L58" s="28">
        <v>82</v>
      </c>
      <c r="M58" s="28">
        <v>25</v>
      </c>
      <c r="N58" s="29">
        <v>4.0999999999999996</v>
      </c>
      <c r="O58" s="27">
        <v>57774</v>
      </c>
      <c r="P58" s="27">
        <v>236875</v>
      </c>
      <c r="Q58" s="27">
        <v>369962</v>
      </c>
      <c r="R58" s="27">
        <v>196036</v>
      </c>
      <c r="S58" s="27">
        <v>261126</v>
      </c>
      <c r="T58" s="30">
        <v>1.73</v>
      </c>
      <c r="U58" s="31">
        <v>20</v>
      </c>
      <c r="V58" s="28">
        <v>14</v>
      </c>
      <c r="W58" s="32">
        <v>69188845</v>
      </c>
      <c r="X58" s="23" t="s">
        <v>75</v>
      </c>
      <c r="Y58" s="33">
        <v>1386550</v>
      </c>
      <c r="Z58" s="34">
        <v>2697470</v>
      </c>
      <c r="AA58" s="34">
        <v>3327720</v>
      </c>
      <c r="AB58" s="34">
        <v>189075</v>
      </c>
      <c r="AC58" s="34">
        <v>4764690</v>
      </c>
      <c r="AD58" s="34"/>
      <c r="AE58" s="34">
        <v>1260500</v>
      </c>
      <c r="AF58" s="34">
        <v>1096635</v>
      </c>
      <c r="AG58" s="34">
        <v>3806710</v>
      </c>
      <c r="AH58" s="34">
        <v>9289885</v>
      </c>
      <c r="AI58" s="34">
        <v>1651255</v>
      </c>
      <c r="AJ58" s="34">
        <v>5394940</v>
      </c>
      <c r="AK58" s="34">
        <v>542015</v>
      </c>
      <c r="AL58" s="34">
        <v>1726885</v>
      </c>
      <c r="AM58" s="34">
        <v>920165</v>
      </c>
      <c r="AN58" s="34">
        <v>289915</v>
      </c>
      <c r="AO58" s="34">
        <v>9680640</v>
      </c>
      <c r="AP58" s="34">
        <v>12605</v>
      </c>
      <c r="AQ58" s="34">
        <v>630250</v>
      </c>
      <c r="AR58" s="34">
        <v>126050</v>
      </c>
      <c r="AS58" s="34">
        <v>315125</v>
      </c>
      <c r="AT58" s="34">
        <v>126050</v>
      </c>
      <c r="AU58" s="34">
        <v>3302510</v>
      </c>
      <c r="AV58" s="34">
        <v>5735275</v>
      </c>
      <c r="AW58" s="34"/>
      <c r="AX58" s="34">
        <v>1928565</v>
      </c>
      <c r="AY58" s="34">
        <v>5672250</v>
      </c>
      <c r="AZ58" s="34">
        <v>957980</v>
      </c>
      <c r="BA58" s="34">
        <v>504200</v>
      </c>
      <c r="BB58" s="34">
        <v>1852935</v>
      </c>
      <c r="BC58" s="35"/>
    </row>
    <row r="59" spans="1:55" x14ac:dyDescent="0.4">
      <c r="A59" s="20">
        <v>43733</v>
      </c>
      <c r="B59" s="21">
        <v>43733.458668981482</v>
      </c>
      <c r="C59" s="22" t="s">
        <v>78</v>
      </c>
      <c r="D59" s="23" t="s">
        <v>74</v>
      </c>
      <c r="E59" s="24">
        <v>25.17</v>
      </c>
      <c r="F59" s="25">
        <v>24.68</v>
      </c>
      <c r="G59" s="25">
        <v>29</v>
      </c>
      <c r="H59" s="25">
        <v>25.25</v>
      </c>
      <c r="I59" s="25">
        <v>25.07</v>
      </c>
      <c r="J59" s="26">
        <v>4714500</v>
      </c>
      <c r="K59" s="27">
        <v>7782000</v>
      </c>
      <c r="L59" s="28">
        <v>107</v>
      </c>
      <c r="M59" s="28">
        <v>34</v>
      </c>
      <c r="N59" s="29">
        <v>4.28</v>
      </c>
      <c r="O59" s="27">
        <v>72729</v>
      </c>
      <c r="P59" s="27">
        <v>311280</v>
      </c>
      <c r="Q59" s="27">
        <v>494112</v>
      </c>
      <c r="R59" s="27">
        <v>277324</v>
      </c>
      <c r="S59" s="27">
        <v>392394</v>
      </c>
      <c r="T59" s="30">
        <v>1.65</v>
      </c>
      <c r="U59" s="31">
        <v>25</v>
      </c>
      <c r="V59" s="28">
        <v>17</v>
      </c>
      <c r="W59" s="32">
        <v>118663965</v>
      </c>
      <c r="X59" s="23" t="s">
        <v>79</v>
      </c>
      <c r="Y59" s="33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>
        <v>118663965</v>
      </c>
      <c r="AX59" s="34"/>
      <c r="AY59" s="34"/>
      <c r="AZ59" s="34"/>
      <c r="BA59" s="34"/>
      <c r="BB59" s="34"/>
      <c r="BC59" s="35"/>
    </row>
    <row r="60" spans="1:55" x14ac:dyDescent="0.4">
      <c r="A60" s="20">
        <v>43732</v>
      </c>
      <c r="B60" s="21">
        <v>43732.459016203706</v>
      </c>
      <c r="C60" s="22" t="s">
        <v>73</v>
      </c>
      <c r="D60" s="23" t="s">
        <v>74</v>
      </c>
      <c r="E60" s="24">
        <v>25.59</v>
      </c>
      <c r="F60" s="25">
        <v>25.25</v>
      </c>
      <c r="G60" s="25">
        <v>29</v>
      </c>
      <c r="H60" s="25">
        <v>25.71</v>
      </c>
      <c r="I60" s="25">
        <v>25.55</v>
      </c>
      <c r="J60" s="26">
        <v>2744500</v>
      </c>
      <c r="K60" s="27">
        <v>4897500</v>
      </c>
      <c r="L60" s="28">
        <v>78</v>
      </c>
      <c r="M60" s="28">
        <v>29</v>
      </c>
      <c r="N60" s="29">
        <v>3.39</v>
      </c>
      <c r="O60" s="27">
        <v>62788</v>
      </c>
      <c r="P60" s="27">
        <v>212935</v>
      </c>
      <c r="Q60" s="27">
        <v>323463</v>
      </c>
      <c r="R60" s="27">
        <v>171531</v>
      </c>
      <c r="S60" s="27">
        <v>255671</v>
      </c>
      <c r="T60" s="30">
        <v>1.78</v>
      </c>
      <c r="U60" s="31">
        <v>23</v>
      </c>
      <c r="V60" s="28">
        <v>16</v>
      </c>
      <c r="W60" s="32">
        <v>70231755</v>
      </c>
      <c r="X60" s="23" t="s">
        <v>75</v>
      </c>
      <c r="Y60" s="33">
        <v>1407450</v>
      </c>
      <c r="Z60" s="34">
        <v>2738130</v>
      </c>
      <c r="AA60" s="34">
        <v>3377880</v>
      </c>
      <c r="AB60" s="34">
        <v>191925</v>
      </c>
      <c r="AC60" s="34">
        <v>4836510</v>
      </c>
      <c r="AD60" s="34"/>
      <c r="AE60" s="34">
        <v>1279500</v>
      </c>
      <c r="AF60" s="34">
        <v>1113165</v>
      </c>
      <c r="AG60" s="34">
        <v>3864090</v>
      </c>
      <c r="AH60" s="34">
        <v>9429915</v>
      </c>
      <c r="AI60" s="34">
        <v>1676145</v>
      </c>
      <c r="AJ60" s="34">
        <v>5476260</v>
      </c>
      <c r="AK60" s="34">
        <v>550185</v>
      </c>
      <c r="AL60" s="34">
        <v>1752915</v>
      </c>
      <c r="AM60" s="34">
        <v>934035</v>
      </c>
      <c r="AN60" s="34">
        <v>294285</v>
      </c>
      <c r="AO60" s="34">
        <v>9826560</v>
      </c>
      <c r="AP60" s="34">
        <v>12795</v>
      </c>
      <c r="AQ60" s="34">
        <v>639750</v>
      </c>
      <c r="AR60" s="34">
        <v>127950</v>
      </c>
      <c r="AS60" s="34">
        <v>319875</v>
      </c>
      <c r="AT60" s="34">
        <v>127950</v>
      </c>
      <c r="AU60" s="34">
        <v>3352290</v>
      </c>
      <c r="AV60" s="34">
        <v>5821725</v>
      </c>
      <c r="AW60" s="34"/>
      <c r="AX60" s="34">
        <v>1957635</v>
      </c>
      <c r="AY60" s="34">
        <v>5757750</v>
      </c>
      <c r="AZ60" s="34">
        <v>972420</v>
      </c>
      <c r="BA60" s="34">
        <v>511800</v>
      </c>
      <c r="BB60" s="34">
        <v>1880865</v>
      </c>
      <c r="BC60" s="35"/>
    </row>
    <row r="61" spans="1:55" x14ac:dyDescent="0.4">
      <c r="A61" s="20">
        <v>43731</v>
      </c>
      <c r="B61" s="21">
        <v>43731.45853009259</v>
      </c>
      <c r="C61" s="22" t="s">
        <v>73</v>
      </c>
      <c r="D61" s="23" t="s">
        <v>74</v>
      </c>
      <c r="E61" s="24">
        <v>25.93</v>
      </c>
      <c r="F61" s="25">
        <v>25.64</v>
      </c>
      <c r="G61" s="25">
        <v>29</v>
      </c>
      <c r="H61" s="25">
        <v>26.03</v>
      </c>
      <c r="I61" s="25">
        <v>25.92</v>
      </c>
      <c r="J61" s="26">
        <v>2744500</v>
      </c>
      <c r="K61" s="27">
        <v>4532000</v>
      </c>
      <c r="L61" s="28">
        <v>86</v>
      </c>
      <c r="M61" s="28">
        <v>33</v>
      </c>
      <c r="N61" s="29">
        <v>4.53</v>
      </c>
      <c r="O61" s="27">
        <v>52698</v>
      </c>
      <c r="P61" s="27">
        <v>238526</v>
      </c>
      <c r="Q61" s="27">
        <v>354318</v>
      </c>
      <c r="R61" s="27">
        <v>161441</v>
      </c>
      <c r="S61" s="27">
        <v>270196</v>
      </c>
      <c r="T61" s="30">
        <v>1.65</v>
      </c>
      <c r="U61" s="31">
        <v>19</v>
      </c>
      <c r="V61" s="28">
        <v>17</v>
      </c>
      <c r="W61" s="32">
        <v>71164885</v>
      </c>
      <c r="X61" s="23" t="s">
        <v>75</v>
      </c>
      <c r="Y61" s="33">
        <v>1426150</v>
      </c>
      <c r="Z61" s="34">
        <v>2774510</v>
      </c>
      <c r="AA61" s="34">
        <v>3422760</v>
      </c>
      <c r="AB61" s="34">
        <v>194475</v>
      </c>
      <c r="AC61" s="34">
        <v>4900770</v>
      </c>
      <c r="AD61" s="34"/>
      <c r="AE61" s="34">
        <v>1296500</v>
      </c>
      <c r="AF61" s="34">
        <v>1127955</v>
      </c>
      <c r="AG61" s="34">
        <v>3915430</v>
      </c>
      <c r="AH61" s="34">
        <v>9555205</v>
      </c>
      <c r="AI61" s="34">
        <v>1698415</v>
      </c>
      <c r="AJ61" s="34">
        <v>5549020</v>
      </c>
      <c r="AK61" s="34">
        <v>557495</v>
      </c>
      <c r="AL61" s="34">
        <v>1776205</v>
      </c>
      <c r="AM61" s="34">
        <v>946445</v>
      </c>
      <c r="AN61" s="34">
        <v>298195</v>
      </c>
      <c r="AO61" s="34">
        <v>9957120</v>
      </c>
      <c r="AP61" s="34">
        <v>12965</v>
      </c>
      <c r="AQ61" s="34">
        <v>648250</v>
      </c>
      <c r="AR61" s="34">
        <v>129650</v>
      </c>
      <c r="AS61" s="34">
        <v>324125</v>
      </c>
      <c r="AT61" s="34">
        <v>129650</v>
      </c>
      <c r="AU61" s="34">
        <v>3396830</v>
      </c>
      <c r="AV61" s="34">
        <v>5899075</v>
      </c>
      <c r="AW61" s="34"/>
      <c r="AX61" s="34">
        <v>1983645</v>
      </c>
      <c r="AY61" s="34">
        <v>5834250</v>
      </c>
      <c r="AZ61" s="34">
        <v>985340</v>
      </c>
      <c r="BA61" s="34">
        <v>518600</v>
      </c>
      <c r="BB61" s="34">
        <v>1905855</v>
      </c>
      <c r="BC61" s="35"/>
    </row>
    <row r="62" spans="1:55" x14ac:dyDescent="0.4">
      <c r="A62" s="20">
        <v>43728</v>
      </c>
      <c r="B62" s="21">
        <v>43728.458819444444</v>
      </c>
      <c r="C62" s="22" t="s">
        <v>76</v>
      </c>
      <c r="D62" s="23" t="s">
        <v>74</v>
      </c>
      <c r="E62" s="24">
        <v>26.17</v>
      </c>
      <c r="F62" s="25">
        <v>24</v>
      </c>
      <c r="G62" s="25">
        <v>29</v>
      </c>
      <c r="H62" s="25">
        <v>26.28</v>
      </c>
      <c r="I62" s="25">
        <v>26.18</v>
      </c>
      <c r="J62" s="26">
        <v>2834500</v>
      </c>
      <c r="K62" s="27">
        <v>3900000</v>
      </c>
      <c r="L62" s="28">
        <v>62</v>
      </c>
      <c r="M62" s="28">
        <v>35</v>
      </c>
      <c r="N62" s="29">
        <v>3.26</v>
      </c>
      <c r="O62" s="27">
        <v>62903</v>
      </c>
      <c r="P62" s="27">
        <v>205263</v>
      </c>
      <c r="Q62" s="27">
        <v>299118</v>
      </c>
      <c r="R62" s="27">
        <v>188967</v>
      </c>
      <c r="S62" s="27">
        <v>233817</v>
      </c>
      <c r="T62" s="30">
        <v>1.38</v>
      </c>
      <c r="U62" s="31">
        <v>19</v>
      </c>
      <c r="V62" s="28">
        <v>15</v>
      </c>
      <c r="W62" s="32">
        <v>74178865</v>
      </c>
      <c r="X62" s="23" t="s">
        <v>77</v>
      </c>
      <c r="Y62" s="33"/>
      <c r="Z62" s="34"/>
      <c r="AA62" s="34"/>
      <c r="AB62" s="34"/>
      <c r="AC62" s="34"/>
      <c r="AD62" s="34">
        <v>74178865</v>
      </c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5"/>
    </row>
    <row r="63" spans="1:55" x14ac:dyDescent="0.4">
      <c r="A63" s="20">
        <v>43727</v>
      </c>
      <c r="B63" s="21">
        <v>43727.458553240744</v>
      </c>
      <c r="C63" s="22" t="s">
        <v>73</v>
      </c>
      <c r="D63" s="23" t="s">
        <v>74</v>
      </c>
      <c r="E63" s="24">
        <v>25.56</v>
      </c>
      <c r="F63" s="25">
        <v>24</v>
      </c>
      <c r="G63" s="25">
        <v>28</v>
      </c>
      <c r="H63" s="25">
        <v>25.51</v>
      </c>
      <c r="I63" s="25">
        <v>25.42</v>
      </c>
      <c r="J63" s="26">
        <v>2744500</v>
      </c>
      <c r="K63" s="27">
        <v>5937000</v>
      </c>
      <c r="L63" s="28">
        <v>100</v>
      </c>
      <c r="M63" s="28">
        <v>27</v>
      </c>
      <c r="N63" s="29">
        <v>3.7</v>
      </c>
      <c r="O63" s="27">
        <v>59370</v>
      </c>
      <c r="P63" s="27">
        <v>219889</v>
      </c>
      <c r="Q63" s="27">
        <v>345227</v>
      </c>
      <c r="R63" s="27">
        <v>171531</v>
      </c>
      <c r="S63" s="27">
        <v>244529</v>
      </c>
      <c r="T63" s="30">
        <v>2.16</v>
      </c>
      <c r="U63" s="31">
        <v>27</v>
      </c>
      <c r="V63" s="28">
        <v>16</v>
      </c>
      <c r="W63" s="32">
        <v>70149420</v>
      </c>
      <c r="X63" s="23" t="s">
        <v>75</v>
      </c>
      <c r="Y63" s="33">
        <v>1405800</v>
      </c>
      <c r="Z63" s="34">
        <v>2734920</v>
      </c>
      <c r="AA63" s="34">
        <v>3373920</v>
      </c>
      <c r="AB63" s="34">
        <v>191700</v>
      </c>
      <c r="AC63" s="34">
        <v>4830840</v>
      </c>
      <c r="AD63" s="34"/>
      <c r="AE63" s="34">
        <v>1278000</v>
      </c>
      <c r="AF63" s="34">
        <v>1111860</v>
      </c>
      <c r="AG63" s="34">
        <v>3859560</v>
      </c>
      <c r="AH63" s="34">
        <v>9418860</v>
      </c>
      <c r="AI63" s="34">
        <v>1674180</v>
      </c>
      <c r="AJ63" s="34">
        <v>5469840</v>
      </c>
      <c r="AK63" s="34">
        <v>549540</v>
      </c>
      <c r="AL63" s="34">
        <v>1750860</v>
      </c>
      <c r="AM63" s="34">
        <v>932940</v>
      </c>
      <c r="AN63" s="34">
        <v>293940</v>
      </c>
      <c r="AO63" s="34">
        <v>9815040</v>
      </c>
      <c r="AP63" s="34">
        <v>12780</v>
      </c>
      <c r="AQ63" s="34">
        <v>639000</v>
      </c>
      <c r="AR63" s="34">
        <v>127800</v>
      </c>
      <c r="AS63" s="34">
        <v>319500</v>
      </c>
      <c r="AT63" s="34">
        <v>127800</v>
      </c>
      <c r="AU63" s="34">
        <v>3348360</v>
      </c>
      <c r="AV63" s="34">
        <v>5814900</v>
      </c>
      <c r="AW63" s="34"/>
      <c r="AX63" s="34">
        <v>1955340</v>
      </c>
      <c r="AY63" s="34">
        <v>5751000</v>
      </c>
      <c r="AZ63" s="34">
        <v>971280</v>
      </c>
      <c r="BA63" s="34">
        <v>511200</v>
      </c>
      <c r="BB63" s="34">
        <v>1878660</v>
      </c>
      <c r="BC63" s="35"/>
    </row>
    <row r="64" spans="1:55" x14ac:dyDescent="0.4">
      <c r="A64" s="20">
        <v>43725</v>
      </c>
      <c r="B64" s="21">
        <v>43725.458622685182</v>
      </c>
      <c r="C64" s="22" t="s">
        <v>73</v>
      </c>
      <c r="D64" s="23" t="s">
        <v>74</v>
      </c>
      <c r="E64" s="24">
        <v>26.75</v>
      </c>
      <c r="F64" s="25">
        <v>24</v>
      </c>
      <c r="G64" s="25">
        <v>29</v>
      </c>
      <c r="H64" s="25">
        <v>26.74</v>
      </c>
      <c r="I64" s="25">
        <v>26.56</v>
      </c>
      <c r="J64" s="26">
        <v>2744500</v>
      </c>
      <c r="K64" s="27">
        <v>5769500</v>
      </c>
      <c r="L64" s="28">
        <v>94</v>
      </c>
      <c r="M64" s="28">
        <v>19</v>
      </c>
      <c r="N64" s="29">
        <v>3.48</v>
      </c>
      <c r="O64" s="27">
        <v>61378</v>
      </c>
      <c r="P64" s="27">
        <v>213685</v>
      </c>
      <c r="Q64" s="27">
        <v>282146</v>
      </c>
      <c r="R64" s="27">
        <v>228708</v>
      </c>
      <c r="S64" s="27">
        <v>269015</v>
      </c>
      <c r="T64" s="30">
        <v>2.1</v>
      </c>
      <c r="U64" s="31">
        <v>27</v>
      </c>
      <c r="V64" s="28">
        <v>12</v>
      </c>
      <c r="W64" s="32">
        <v>73415375</v>
      </c>
      <c r="X64" s="23" t="s">
        <v>75</v>
      </c>
      <c r="Y64" s="33">
        <v>1471250</v>
      </c>
      <c r="Z64" s="34">
        <v>2862250</v>
      </c>
      <c r="AA64" s="34">
        <v>3531000</v>
      </c>
      <c r="AB64" s="34">
        <v>200625</v>
      </c>
      <c r="AC64" s="34">
        <v>5055750</v>
      </c>
      <c r="AD64" s="34"/>
      <c r="AE64" s="34">
        <v>1337500</v>
      </c>
      <c r="AF64" s="34">
        <v>1163625</v>
      </c>
      <c r="AG64" s="34">
        <v>4039250</v>
      </c>
      <c r="AH64" s="34">
        <v>9857375</v>
      </c>
      <c r="AI64" s="34">
        <v>1752125</v>
      </c>
      <c r="AJ64" s="34">
        <v>5724500</v>
      </c>
      <c r="AK64" s="34">
        <v>575125</v>
      </c>
      <c r="AL64" s="34">
        <v>1832375</v>
      </c>
      <c r="AM64" s="34">
        <v>976375</v>
      </c>
      <c r="AN64" s="34">
        <v>307625</v>
      </c>
      <c r="AO64" s="34">
        <v>10272000</v>
      </c>
      <c r="AP64" s="34">
        <v>13375</v>
      </c>
      <c r="AQ64" s="34">
        <v>668750</v>
      </c>
      <c r="AR64" s="34">
        <v>133750</v>
      </c>
      <c r="AS64" s="34">
        <v>334375</v>
      </c>
      <c r="AT64" s="34">
        <v>133750</v>
      </c>
      <c r="AU64" s="34">
        <v>3504250</v>
      </c>
      <c r="AV64" s="34">
        <v>6085625</v>
      </c>
      <c r="AW64" s="34"/>
      <c r="AX64" s="34">
        <v>2046375</v>
      </c>
      <c r="AY64" s="34">
        <v>6018750</v>
      </c>
      <c r="AZ64" s="34">
        <v>1016500</v>
      </c>
      <c r="BA64" s="34">
        <v>535000</v>
      </c>
      <c r="BB64" s="34">
        <v>1966125</v>
      </c>
      <c r="BC64" s="35"/>
    </row>
    <row r="65" spans="1:55" x14ac:dyDescent="0.4">
      <c r="A65" s="20">
        <v>43724</v>
      </c>
      <c r="B65" s="21">
        <v>43724.458703703705</v>
      </c>
      <c r="C65" s="22" t="s">
        <v>73</v>
      </c>
      <c r="D65" s="23" t="s">
        <v>74</v>
      </c>
      <c r="E65" s="24">
        <v>26.58</v>
      </c>
      <c r="F65" s="25">
        <v>24</v>
      </c>
      <c r="G65" s="25">
        <v>28</v>
      </c>
      <c r="H65" s="25">
        <v>26.56</v>
      </c>
      <c r="I65" s="25">
        <v>26.51</v>
      </c>
      <c r="J65" s="26">
        <v>2744500</v>
      </c>
      <c r="K65" s="27">
        <v>4616500</v>
      </c>
      <c r="L65" s="28">
        <v>76</v>
      </c>
      <c r="M65" s="28">
        <v>23</v>
      </c>
      <c r="N65" s="29">
        <v>3.3</v>
      </c>
      <c r="O65" s="27">
        <v>60743</v>
      </c>
      <c r="P65" s="27">
        <v>200717</v>
      </c>
      <c r="Q65" s="27">
        <v>361290</v>
      </c>
      <c r="R65" s="27">
        <v>211115</v>
      </c>
      <c r="S65" s="27">
        <v>305678</v>
      </c>
      <c r="T65" s="30">
        <v>1.68</v>
      </c>
      <c r="U65" s="31">
        <v>23</v>
      </c>
      <c r="V65" s="28">
        <v>13</v>
      </c>
      <c r="W65" s="32">
        <v>72948810</v>
      </c>
      <c r="X65" s="23" t="s">
        <v>75</v>
      </c>
      <c r="Y65" s="33">
        <v>1461900</v>
      </c>
      <c r="Z65" s="34">
        <v>2844060</v>
      </c>
      <c r="AA65" s="34">
        <v>3508560</v>
      </c>
      <c r="AB65" s="34">
        <v>199350</v>
      </c>
      <c r="AC65" s="34">
        <v>5023620</v>
      </c>
      <c r="AD65" s="34"/>
      <c r="AE65" s="34">
        <v>1329000</v>
      </c>
      <c r="AF65" s="34">
        <v>1156230</v>
      </c>
      <c r="AG65" s="34">
        <v>4013580</v>
      </c>
      <c r="AH65" s="34">
        <v>9794730</v>
      </c>
      <c r="AI65" s="34">
        <v>1740990</v>
      </c>
      <c r="AJ65" s="34">
        <v>5688120</v>
      </c>
      <c r="AK65" s="34">
        <v>571470</v>
      </c>
      <c r="AL65" s="34">
        <v>1820730</v>
      </c>
      <c r="AM65" s="34">
        <v>970170</v>
      </c>
      <c r="AN65" s="34">
        <v>305670</v>
      </c>
      <c r="AO65" s="34">
        <v>10206720</v>
      </c>
      <c r="AP65" s="34">
        <v>13290</v>
      </c>
      <c r="AQ65" s="34">
        <v>664500</v>
      </c>
      <c r="AR65" s="34">
        <v>132900</v>
      </c>
      <c r="AS65" s="34">
        <v>332250</v>
      </c>
      <c r="AT65" s="34">
        <v>132900</v>
      </c>
      <c r="AU65" s="34">
        <v>3481980</v>
      </c>
      <c r="AV65" s="34">
        <v>6046950</v>
      </c>
      <c r="AW65" s="34"/>
      <c r="AX65" s="34">
        <v>2033370</v>
      </c>
      <c r="AY65" s="34">
        <v>5980500</v>
      </c>
      <c r="AZ65" s="34">
        <v>1010040</v>
      </c>
      <c r="BA65" s="34">
        <v>531600</v>
      </c>
      <c r="BB65" s="34">
        <v>1953630</v>
      </c>
      <c r="BC65" s="35"/>
    </row>
    <row r="66" spans="1:55" x14ac:dyDescent="0.4">
      <c r="A66" s="20">
        <v>43721</v>
      </c>
      <c r="B66" s="21">
        <v>43721.458553240744</v>
      </c>
      <c r="C66" s="22" t="s">
        <v>76</v>
      </c>
      <c r="D66" s="23" t="s">
        <v>74</v>
      </c>
      <c r="E66" s="24">
        <v>26.22</v>
      </c>
      <c r="F66" s="25">
        <v>22.4</v>
      </c>
      <c r="G66" s="25">
        <v>28</v>
      </c>
      <c r="H66" s="25">
        <v>26.12</v>
      </c>
      <c r="I66" s="25">
        <v>26.11</v>
      </c>
      <c r="J66" s="26">
        <v>2834500</v>
      </c>
      <c r="K66" s="27">
        <v>5116000</v>
      </c>
      <c r="L66" s="28">
        <v>95</v>
      </c>
      <c r="M66" s="28">
        <v>24</v>
      </c>
      <c r="N66" s="29">
        <v>4.32</v>
      </c>
      <c r="O66" s="27">
        <v>53853</v>
      </c>
      <c r="P66" s="27">
        <v>232545</v>
      </c>
      <c r="Q66" s="27">
        <v>295807</v>
      </c>
      <c r="R66" s="27">
        <v>166735</v>
      </c>
      <c r="S66" s="27">
        <v>197257</v>
      </c>
      <c r="T66" s="30">
        <v>1.8</v>
      </c>
      <c r="U66" s="31">
        <v>22</v>
      </c>
      <c r="V66" s="28">
        <v>17</v>
      </c>
      <c r="W66" s="32">
        <v>74320590</v>
      </c>
      <c r="X66" s="23" t="s">
        <v>77</v>
      </c>
      <c r="Y66" s="33"/>
      <c r="Z66" s="34"/>
      <c r="AA66" s="34"/>
      <c r="AB66" s="34"/>
      <c r="AC66" s="34"/>
      <c r="AD66" s="34">
        <v>74320590</v>
      </c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5"/>
    </row>
    <row r="67" spans="1:55" x14ac:dyDescent="0.4">
      <c r="A67" s="20">
        <v>43720</v>
      </c>
      <c r="B67" s="21">
        <v>43720.458611111113</v>
      </c>
      <c r="C67" s="22" t="s">
        <v>73</v>
      </c>
      <c r="D67" s="23" t="s">
        <v>74</v>
      </c>
      <c r="E67" s="24">
        <v>26.55</v>
      </c>
      <c r="F67" s="25">
        <v>26</v>
      </c>
      <c r="G67" s="25">
        <v>28</v>
      </c>
      <c r="H67" s="25">
        <v>26.52</v>
      </c>
      <c r="I67" s="25">
        <v>26.38</v>
      </c>
      <c r="J67" s="26">
        <v>2744500</v>
      </c>
      <c r="K67" s="27">
        <v>5089500</v>
      </c>
      <c r="L67" s="28">
        <v>78</v>
      </c>
      <c r="M67" s="28">
        <v>20</v>
      </c>
      <c r="N67" s="29">
        <v>3.55</v>
      </c>
      <c r="O67" s="27">
        <v>65250</v>
      </c>
      <c r="P67" s="27">
        <v>231341</v>
      </c>
      <c r="Q67" s="27">
        <v>271662</v>
      </c>
      <c r="R67" s="27">
        <v>228708</v>
      </c>
      <c r="S67" s="27">
        <v>267884</v>
      </c>
      <c r="T67" s="30">
        <v>1.85</v>
      </c>
      <c r="U67" s="31">
        <v>22</v>
      </c>
      <c r="V67" s="28">
        <v>12</v>
      </c>
      <c r="W67" s="32">
        <v>72866475</v>
      </c>
      <c r="X67" s="23" t="s">
        <v>75</v>
      </c>
      <c r="Y67" s="33">
        <v>1460250</v>
      </c>
      <c r="Z67" s="34">
        <v>2840850</v>
      </c>
      <c r="AA67" s="34">
        <v>3504600</v>
      </c>
      <c r="AB67" s="34">
        <v>199125</v>
      </c>
      <c r="AC67" s="34">
        <v>5017950</v>
      </c>
      <c r="AD67" s="34"/>
      <c r="AE67" s="34">
        <v>1327500</v>
      </c>
      <c r="AF67" s="34">
        <v>1154925</v>
      </c>
      <c r="AG67" s="34">
        <v>4009050</v>
      </c>
      <c r="AH67" s="34">
        <v>9783675</v>
      </c>
      <c r="AI67" s="34">
        <v>1739025</v>
      </c>
      <c r="AJ67" s="34">
        <v>5681700</v>
      </c>
      <c r="AK67" s="34">
        <v>570825</v>
      </c>
      <c r="AL67" s="34">
        <v>1818675</v>
      </c>
      <c r="AM67" s="34">
        <v>969075</v>
      </c>
      <c r="AN67" s="34">
        <v>305325</v>
      </c>
      <c r="AO67" s="34">
        <v>10195200</v>
      </c>
      <c r="AP67" s="34">
        <v>13275</v>
      </c>
      <c r="AQ67" s="34">
        <v>663750</v>
      </c>
      <c r="AR67" s="34">
        <v>132750</v>
      </c>
      <c r="AS67" s="34">
        <v>331875</v>
      </c>
      <c r="AT67" s="34">
        <v>132750</v>
      </c>
      <c r="AU67" s="34">
        <v>3478050</v>
      </c>
      <c r="AV67" s="34">
        <v>6040125</v>
      </c>
      <c r="AW67" s="34"/>
      <c r="AX67" s="34">
        <v>2031075</v>
      </c>
      <c r="AY67" s="34">
        <v>5973750</v>
      </c>
      <c r="AZ67" s="34">
        <v>1008900</v>
      </c>
      <c r="BA67" s="34">
        <v>531000</v>
      </c>
      <c r="BB67" s="34">
        <v>1951425</v>
      </c>
      <c r="BC67" s="35"/>
    </row>
    <row r="68" spans="1:55" x14ac:dyDescent="0.4">
      <c r="A68" s="20">
        <v>43719</v>
      </c>
      <c r="B68" s="21">
        <v>43719.625347222223</v>
      </c>
      <c r="C68" s="22" t="s">
        <v>80</v>
      </c>
      <c r="D68" s="23" t="s">
        <v>81</v>
      </c>
      <c r="E68" s="24">
        <v>26.34</v>
      </c>
      <c r="F68" s="25">
        <v>25.95</v>
      </c>
      <c r="G68" s="25">
        <v>26.59</v>
      </c>
      <c r="H68" s="25">
        <v>26.37</v>
      </c>
      <c r="I68" s="25">
        <v>26.39</v>
      </c>
      <c r="J68" s="26">
        <v>892000</v>
      </c>
      <c r="K68" s="27">
        <v>1320000</v>
      </c>
      <c r="L68" s="28">
        <v>36</v>
      </c>
      <c r="M68" s="28">
        <v>24</v>
      </c>
      <c r="N68" s="29">
        <v>4.5</v>
      </c>
      <c r="O68" s="27">
        <v>36667</v>
      </c>
      <c r="P68" s="27">
        <v>165000</v>
      </c>
      <c r="Q68" s="27">
        <v>163917</v>
      </c>
      <c r="R68" s="27">
        <v>127429</v>
      </c>
      <c r="S68" s="27">
        <v>138949</v>
      </c>
      <c r="T68" s="30">
        <v>1.48</v>
      </c>
      <c r="U68" s="31">
        <v>8</v>
      </c>
      <c r="V68" s="28">
        <v>7</v>
      </c>
      <c r="W68" s="32">
        <v>23495280</v>
      </c>
      <c r="X68" s="23" t="s">
        <v>75</v>
      </c>
      <c r="Y68" s="33">
        <v>500460</v>
      </c>
      <c r="Z68" s="34">
        <v>579480</v>
      </c>
      <c r="AA68" s="34">
        <v>197550</v>
      </c>
      <c r="AB68" s="34">
        <v>302910</v>
      </c>
      <c r="AC68" s="34">
        <v>250230</v>
      </c>
      <c r="AD68" s="34"/>
      <c r="AE68" s="34">
        <v>579480</v>
      </c>
      <c r="AF68" s="34">
        <v>39510</v>
      </c>
      <c r="AG68" s="34">
        <v>1066770</v>
      </c>
      <c r="AH68" s="34">
        <v>3476880</v>
      </c>
      <c r="AI68" s="34">
        <v>447780</v>
      </c>
      <c r="AJ68" s="34">
        <v>2594490</v>
      </c>
      <c r="AK68" s="34">
        <v>131700</v>
      </c>
      <c r="AL68" s="34">
        <v>210720</v>
      </c>
      <c r="AM68" s="34">
        <v>460950</v>
      </c>
      <c r="AN68" s="34">
        <v>618990</v>
      </c>
      <c r="AO68" s="34">
        <v>3068610</v>
      </c>
      <c r="AP68" s="34">
        <v>0</v>
      </c>
      <c r="AQ68" s="34">
        <v>65850</v>
      </c>
      <c r="AR68" s="34">
        <v>52680</v>
      </c>
      <c r="AS68" s="34">
        <v>118530</v>
      </c>
      <c r="AT68" s="34">
        <v>118530</v>
      </c>
      <c r="AU68" s="34">
        <v>790200</v>
      </c>
      <c r="AV68" s="34">
        <v>6018690</v>
      </c>
      <c r="AW68" s="34"/>
      <c r="AX68" s="34">
        <v>618990</v>
      </c>
      <c r="AY68" s="34">
        <v>342420</v>
      </c>
      <c r="AZ68" s="34">
        <v>777030</v>
      </c>
      <c r="BA68" s="34">
        <v>26340</v>
      </c>
      <c r="BB68" s="34">
        <v>39510</v>
      </c>
      <c r="BC68" s="35"/>
    </row>
    <row r="69" spans="1:55" x14ac:dyDescent="0.4">
      <c r="A69" s="20">
        <v>43719</v>
      </c>
      <c r="B69" s="21">
        <v>43719.459039351852</v>
      </c>
      <c r="C69" s="22" t="s">
        <v>78</v>
      </c>
      <c r="D69" s="23" t="s">
        <v>74</v>
      </c>
      <c r="E69" s="24">
        <v>26.68</v>
      </c>
      <c r="F69" s="25">
        <v>24</v>
      </c>
      <c r="G69" s="25">
        <v>30.01</v>
      </c>
      <c r="H69" s="25">
        <v>26.83</v>
      </c>
      <c r="I69" s="25">
        <v>26.65</v>
      </c>
      <c r="J69" s="26">
        <v>4714500</v>
      </c>
      <c r="K69" s="27">
        <v>6153500</v>
      </c>
      <c r="L69" s="28">
        <v>81</v>
      </c>
      <c r="M69" s="28">
        <v>37</v>
      </c>
      <c r="N69" s="29">
        <v>4.5</v>
      </c>
      <c r="O69" s="27">
        <v>75969</v>
      </c>
      <c r="P69" s="27">
        <v>341861</v>
      </c>
      <c r="Q69" s="27">
        <v>408493</v>
      </c>
      <c r="R69" s="27">
        <v>294656</v>
      </c>
      <c r="S69" s="27">
        <v>397560</v>
      </c>
      <c r="T69" s="30">
        <v>1.31</v>
      </c>
      <c r="U69" s="31">
        <v>18</v>
      </c>
      <c r="V69" s="28">
        <v>16</v>
      </c>
      <c r="W69" s="32">
        <v>125782860</v>
      </c>
      <c r="X69" s="23" t="s">
        <v>79</v>
      </c>
      <c r="Y69" s="33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>
        <v>125782860</v>
      </c>
      <c r="AX69" s="34"/>
      <c r="AY69" s="34"/>
      <c r="AZ69" s="34"/>
      <c r="BA69" s="34"/>
      <c r="BB69" s="34"/>
      <c r="BC69" s="35"/>
    </row>
    <row r="70" spans="1:55" x14ac:dyDescent="0.4">
      <c r="A70" s="20">
        <v>43718</v>
      </c>
      <c r="B70" s="21">
        <v>43718.458657407406</v>
      </c>
      <c r="C70" s="22" t="s">
        <v>73</v>
      </c>
      <c r="D70" s="23" t="s">
        <v>74</v>
      </c>
      <c r="E70" s="24">
        <v>25.5</v>
      </c>
      <c r="F70" s="25">
        <v>24</v>
      </c>
      <c r="G70" s="25">
        <v>29</v>
      </c>
      <c r="H70" s="25">
        <v>25.54</v>
      </c>
      <c r="I70" s="25">
        <v>25.46</v>
      </c>
      <c r="J70" s="26">
        <v>2744500</v>
      </c>
      <c r="K70" s="27">
        <v>4993500</v>
      </c>
      <c r="L70" s="28">
        <v>77</v>
      </c>
      <c r="M70" s="28">
        <v>32</v>
      </c>
      <c r="N70" s="29">
        <v>2.96</v>
      </c>
      <c r="O70" s="27">
        <v>64851</v>
      </c>
      <c r="P70" s="27">
        <v>192058</v>
      </c>
      <c r="Q70" s="27">
        <v>308149</v>
      </c>
      <c r="R70" s="27">
        <v>130690</v>
      </c>
      <c r="S70" s="27">
        <v>229748</v>
      </c>
      <c r="T70" s="30">
        <v>1.82</v>
      </c>
      <c r="U70" s="31">
        <v>26</v>
      </c>
      <c r="V70" s="28">
        <v>21</v>
      </c>
      <c r="W70" s="32">
        <v>69984750</v>
      </c>
      <c r="X70" s="23" t="s">
        <v>75</v>
      </c>
      <c r="Y70" s="33">
        <v>1402500</v>
      </c>
      <c r="Z70" s="34">
        <v>2728500</v>
      </c>
      <c r="AA70" s="34">
        <v>3366000</v>
      </c>
      <c r="AB70" s="34">
        <v>191250</v>
      </c>
      <c r="AC70" s="34">
        <v>4819500</v>
      </c>
      <c r="AD70" s="34"/>
      <c r="AE70" s="34">
        <v>1275000</v>
      </c>
      <c r="AF70" s="34">
        <v>1109250</v>
      </c>
      <c r="AG70" s="34">
        <v>3850500</v>
      </c>
      <c r="AH70" s="34">
        <v>9396750</v>
      </c>
      <c r="AI70" s="34">
        <v>1670250</v>
      </c>
      <c r="AJ70" s="34">
        <v>5457000</v>
      </c>
      <c r="AK70" s="34">
        <v>548250</v>
      </c>
      <c r="AL70" s="34">
        <v>1746750</v>
      </c>
      <c r="AM70" s="34">
        <v>930750</v>
      </c>
      <c r="AN70" s="34">
        <v>293250</v>
      </c>
      <c r="AO70" s="34">
        <v>9792000</v>
      </c>
      <c r="AP70" s="34">
        <v>12750</v>
      </c>
      <c r="AQ70" s="34">
        <v>637500</v>
      </c>
      <c r="AR70" s="34">
        <v>127500</v>
      </c>
      <c r="AS70" s="34">
        <v>318750</v>
      </c>
      <c r="AT70" s="34">
        <v>127500</v>
      </c>
      <c r="AU70" s="34">
        <v>3340500</v>
      </c>
      <c r="AV70" s="34">
        <v>5801250</v>
      </c>
      <c r="AW70" s="34"/>
      <c r="AX70" s="34">
        <v>1950750</v>
      </c>
      <c r="AY70" s="34">
        <v>5737500</v>
      </c>
      <c r="AZ70" s="34">
        <v>969000</v>
      </c>
      <c r="BA70" s="34">
        <v>510000</v>
      </c>
      <c r="BB70" s="34">
        <v>1874250</v>
      </c>
      <c r="BC70" s="35"/>
    </row>
    <row r="71" spans="1:55" x14ac:dyDescent="0.4">
      <c r="A71" s="20">
        <v>43717</v>
      </c>
      <c r="B71" s="21">
        <v>43717.458541666667</v>
      </c>
      <c r="C71" s="22" t="s">
        <v>73</v>
      </c>
      <c r="D71" s="23" t="s">
        <v>74</v>
      </c>
      <c r="E71" s="24">
        <v>25.01</v>
      </c>
      <c r="F71" s="25">
        <v>24</v>
      </c>
      <c r="G71" s="25">
        <v>29</v>
      </c>
      <c r="H71" s="25">
        <v>25.1</v>
      </c>
      <c r="I71" s="25">
        <v>24.96</v>
      </c>
      <c r="J71" s="26">
        <v>2744500</v>
      </c>
      <c r="K71" s="27">
        <v>5471500</v>
      </c>
      <c r="L71" s="28">
        <v>62</v>
      </c>
      <c r="M71" s="28">
        <v>24</v>
      </c>
      <c r="N71" s="29">
        <v>2.7</v>
      </c>
      <c r="O71" s="27">
        <v>88250</v>
      </c>
      <c r="P71" s="27">
        <v>237891</v>
      </c>
      <c r="Q71" s="27">
        <v>320507</v>
      </c>
      <c r="R71" s="27">
        <v>161441</v>
      </c>
      <c r="S71" s="27">
        <v>226878</v>
      </c>
      <c r="T71" s="30">
        <v>1.99</v>
      </c>
      <c r="U71" s="31">
        <v>23</v>
      </c>
      <c r="V71" s="28">
        <v>17</v>
      </c>
      <c r="W71" s="32">
        <v>68639945</v>
      </c>
      <c r="X71" s="23" t="s">
        <v>75</v>
      </c>
      <c r="Y71" s="33">
        <v>1375550</v>
      </c>
      <c r="Z71" s="34">
        <v>2676070</v>
      </c>
      <c r="AA71" s="34">
        <v>3301320</v>
      </c>
      <c r="AB71" s="34">
        <v>187575</v>
      </c>
      <c r="AC71" s="34">
        <v>4726890</v>
      </c>
      <c r="AD71" s="34"/>
      <c r="AE71" s="34">
        <v>1250500</v>
      </c>
      <c r="AF71" s="34">
        <v>1087935</v>
      </c>
      <c r="AG71" s="34">
        <v>3776510</v>
      </c>
      <c r="AH71" s="34">
        <v>9216185</v>
      </c>
      <c r="AI71" s="34">
        <v>1638155</v>
      </c>
      <c r="AJ71" s="34">
        <v>5352140</v>
      </c>
      <c r="AK71" s="34">
        <v>537715</v>
      </c>
      <c r="AL71" s="34">
        <v>1713185</v>
      </c>
      <c r="AM71" s="34">
        <v>912865</v>
      </c>
      <c r="AN71" s="34">
        <v>287615</v>
      </c>
      <c r="AO71" s="34">
        <v>9603840</v>
      </c>
      <c r="AP71" s="34">
        <v>12505</v>
      </c>
      <c r="AQ71" s="34">
        <v>625250</v>
      </c>
      <c r="AR71" s="34">
        <v>125050</v>
      </c>
      <c r="AS71" s="34">
        <v>312625</v>
      </c>
      <c r="AT71" s="34">
        <v>125050</v>
      </c>
      <c r="AU71" s="34">
        <v>3276310</v>
      </c>
      <c r="AV71" s="34">
        <v>5689775</v>
      </c>
      <c r="AW71" s="34"/>
      <c r="AX71" s="34">
        <v>1913265</v>
      </c>
      <c r="AY71" s="34">
        <v>5627250</v>
      </c>
      <c r="AZ71" s="34">
        <v>950380</v>
      </c>
      <c r="BA71" s="34">
        <v>500200</v>
      </c>
      <c r="BB71" s="34">
        <v>1838235</v>
      </c>
      <c r="BC71" s="35"/>
    </row>
    <row r="72" spans="1:55" x14ac:dyDescent="0.4">
      <c r="A72" s="20">
        <v>43714</v>
      </c>
      <c r="B72" s="21">
        <v>43714.458726851852</v>
      </c>
      <c r="C72" s="22" t="s">
        <v>76</v>
      </c>
      <c r="D72" s="23" t="s">
        <v>74</v>
      </c>
      <c r="E72" s="24">
        <v>25.46</v>
      </c>
      <c r="F72" s="25">
        <v>23.9</v>
      </c>
      <c r="G72" s="25">
        <v>29</v>
      </c>
      <c r="H72" s="25">
        <v>25.44</v>
      </c>
      <c r="I72" s="25">
        <v>25.35</v>
      </c>
      <c r="J72" s="26">
        <v>2834500</v>
      </c>
      <c r="K72" s="27">
        <v>8087500</v>
      </c>
      <c r="L72" s="28">
        <v>77</v>
      </c>
      <c r="M72" s="28">
        <v>27</v>
      </c>
      <c r="N72" s="29">
        <v>3.08</v>
      </c>
      <c r="O72" s="27">
        <v>105032</v>
      </c>
      <c r="P72" s="27">
        <v>323500</v>
      </c>
      <c r="Q72" s="27">
        <v>594334</v>
      </c>
      <c r="R72" s="27">
        <v>149184</v>
      </c>
      <c r="S72" s="27">
        <v>263438</v>
      </c>
      <c r="T72" s="30">
        <v>2.85</v>
      </c>
      <c r="U72" s="31">
        <v>25</v>
      </c>
      <c r="V72" s="28">
        <v>19</v>
      </c>
      <c r="W72" s="32">
        <v>72166370</v>
      </c>
      <c r="X72" s="23" t="s">
        <v>77</v>
      </c>
      <c r="Y72" s="33"/>
      <c r="Z72" s="34"/>
      <c r="AA72" s="34"/>
      <c r="AB72" s="34"/>
      <c r="AC72" s="34"/>
      <c r="AD72" s="34">
        <v>72166370</v>
      </c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5"/>
    </row>
    <row r="73" spans="1:55" x14ac:dyDescent="0.4">
      <c r="A73" s="20">
        <v>43711</v>
      </c>
      <c r="B73" s="21">
        <v>43711.458611111113</v>
      </c>
      <c r="C73" s="22" t="s">
        <v>73</v>
      </c>
      <c r="D73" s="23" t="s">
        <v>74</v>
      </c>
      <c r="E73" s="24">
        <v>24.82</v>
      </c>
      <c r="F73" s="25">
        <v>24.2</v>
      </c>
      <c r="G73" s="25">
        <v>29</v>
      </c>
      <c r="H73" s="25">
        <v>24.86</v>
      </c>
      <c r="I73" s="25">
        <v>24.7</v>
      </c>
      <c r="J73" s="26">
        <v>2744500</v>
      </c>
      <c r="K73" s="27">
        <v>5576500</v>
      </c>
      <c r="L73" s="28">
        <v>79</v>
      </c>
      <c r="M73" s="28">
        <v>25</v>
      </c>
      <c r="N73" s="29">
        <v>3.29</v>
      </c>
      <c r="O73" s="27">
        <v>70589</v>
      </c>
      <c r="P73" s="27">
        <v>232354</v>
      </c>
      <c r="Q73" s="27">
        <v>334150</v>
      </c>
      <c r="R73" s="27">
        <v>161441</v>
      </c>
      <c r="S73" s="27">
        <v>255980</v>
      </c>
      <c r="T73" s="30">
        <v>2.0299999999999998</v>
      </c>
      <c r="U73" s="31">
        <v>24</v>
      </c>
      <c r="V73" s="28">
        <v>17</v>
      </c>
      <c r="W73" s="32">
        <v>68118490</v>
      </c>
      <c r="X73" s="23" t="s">
        <v>75</v>
      </c>
      <c r="Y73" s="33">
        <v>1365100</v>
      </c>
      <c r="Z73" s="34">
        <v>2655740</v>
      </c>
      <c r="AA73" s="34">
        <v>3276240</v>
      </c>
      <c r="AB73" s="34">
        <v>186150</v>
      </c>
      <c r="AC73" s="34">
        <v>4690980</v>
      </c>
      <c r="AD73" s="34"/>
      <c r="AE73" s="34">
        <v>1241000</v>
      </c>
      <c r="AF73" s="34">
        <v>1079670</v>
      </c>
      <c r="AG73" s="34">
        <v>3747820</v>
      </c>
      <c r="AH73" s="34">
        <v>9146170</v>
      </c>
      <c r="AI73" s="34">
        <v>1625710</v>
      </c>
      <c r="AJ73" s="34">
        <v>5311480</v>
      </c>
      <c r="AK73" s="34">
        <v>533630</v>
      </c>
      <c r="AL73" s="34">
        <v>1700170</v>
      </c>
      <c r="AM73" s="34">
        <v>905930</v>
      </c>
      <c r="AN73" s="34">
        <v>285430</v>
      </c>
      <c r="AO73" s="34">
        <v>9530880</v>
      </c>
      <c r="AP73" s="34">
        <v>12410</v>
      </c>
      <c r="AQ73" s="34">
        <v>620500</v>
      </c>
      <c r="AR73" s="34">
        <v>124100</v>
      </c>
      <c r="AS73" s="34">
        <v>310250</v>
      </c>
      <c r="AT73" s="34">
        <v>124100</v>
      </c>
      <c r="AU73" s="34">
        <v>3251420</v>
      </c>
      <c r="AV73" s="34">
        <v>5646550</v>
      </c>
      <c r="AW73" s="34"/>
      <c r="AX73" s="34">
        <v>1898730</v>
      </c>
      <c r="AY73" s="34">
        <v>5584500</v>
      </c>
      <c r="AZ73" s="34">
        <v>943160</v>
      </c>
      <c r="BA73" s="34">
        <v>496400</v>
      </c>
      <c r="BB73" s="34">
        <v>1824270</v>
      </c>
      <c r="BC73" s="35"/>
    </row>
    <row r="74" spans="1:55" x14ac:dyDescent="0.4">
      <c r="A74" s="20">
        <v>43710</v>
      </c>
      <c r="B74" s="21">
        <v>43710.458749999998</v>
      </c>
      <c r="C74" s="22" t="s">
        <v>73</v>
      </c>
      <c r="D74" s="23" t="s">
        <v>74</v>
      </c>
      <c r="E74" s="24">
        <v>25.4</v>
      </c>
      <c r="F74" s="25">
        <v>25</v>
      </c>
      <c r="G74" s="25">
        <v>27</v>
      </c>
      <c r="H74" s="25">
        <v>25.47</v>
      </c>
      <c r="I74" s="25">
        <v>25.32</v>
      </c>
      <c r="J74" s="26">
        <v>2744500</v>
      </c>
      <c r="K74" s="27">
        <v>4761500</v>
      </c>
      <c r="L74" s="28">
        <v>71</v>
      </c>
      <c r="M74" s="28">
        <v>24</v>
      </c>
      <c r="N74" s="29">
        <v>3.23</v>
      </c>
      <c r="O74" s="27">
        <v>67063</v>
      </c>
      <c r="P74" s="27">
        <v>216432</v>
      </c>
      <c r="Q74" s="27">
        <v>254102</v>
      </c>
      <c r="R74" s="27">
        <v>171531</v>
      </c>
      <c r="S74" s="27">
        <v>198897</v>
      </c>
      <c r="T74" s="30">
        <v>1.73</v>
      </c>
      <c r="U74" s="31">
        <v>22</v>
      </c>
      <c r="V74" s="28">
        <v>16</v>
      </c>
      <c r="W74" s="32">
        <v>69710300</v>
      </c>
      <c r="X74" s="23" t="s">
        <v>75</v>
      </c>
      <c r="Y74" s="33">
        <v>1397000</v>
      </c>
      <c r="Z74" s="34">
        <v>2717800</v>
      </c>
      <c r="AA74" s="34">
        <v>3352800</v>
      </c>
      <c r="AB74" s="34">
        <v>190500</v>
      </c>
      <c r="AC74" s="34">
        <v>4800600</v>
      </c>
      <c r="AD74" s="34"/>
      <c r="AE74" s="34">
        <v>1270000</v>
      </c>
      <c r="AF74" s="34">
        <v>1104900</v>
      </c>
      <c r="AG74" s="34">
        <v>3835400</v>
      </c>
      <c r="AH74" s="34">
        <v>9359900</v>
      </c>
      <c r="AI74" s="34">
        <v>1663700</v>
      </c>
      <c r="AJ74" s="34">
        <v>5435600</v>
      </c>
      <c r="AK74" s="34">
        <v>546100</v>
      </c>
      <c r="AL74" s="34">
        <v>1739900</v>
      </c>
      <c r="AM74" s="34">
        <v>927100</v>
      </c>
      <c r="AN74" s="34">
        <v>292100</v>
      </c>
      <c r="AO74" s="34">
        <v>9753600</v>
      </c>
      <c r="AP74" s="34">
        <v>12700</v>
      </c>
      <c r="AQ74" s="34">
        <v>635000</v>
      </c>
      <c r="AR74" s="34">
        <v>127000</v>
      </c>
      <c r="AS74" s="34">
        <v>317500</v>
      </c>
      <c r="AT74" s="34">
        <v>127000</v>
      </c>
      <c r="AU74" s="34">
        <v>3327400</v>
      </c>
      <c r="AV74" s="34">
        <v>5778500</v>
      </c>
      <c r="AW74" s="34"/>
      <c r="AX74" s="34">
        <v>1943100</v>
      </c>
      <c r="AY74" s="34">
        <v>5715000</v>
      </c>
      <c r="AZ74" s="34">
        <v>965200</v>
      </c>
      <c r="BA74" s="34">
        <v>508000</v>
      </c>
      <c r="BB74" s="34">
        <v>1866900</v>
      </c>
      <c r="BC74" s="35"/>
    </row>
    <row r="75" spans="1:55" x14ac:dyDescent="0.4">
      <c r="A75" s="20">
        <v>43707</v>
      </c>
      <c r="B75" s="21">
        <v>43707.458668981482</v>
      </c>
      <c r="C75" s="22" t="s">
        <v>76</v>
      </c>
      <c r="D75" s="23" t="s">
        <v>74</v>
      </c>
      <c r="E75" s="24">
        <v>26.8</v>
      </c>
      <c r="F75" s="25">
        <v>23.31</v>
      </c>
      <c r="G75" s="25">
        <v>28</v>
      </c>
      <c r="H75" s="25">
        <v>26.58</v>
      </c>
      <c r="I75" s="25">
        <v>26.66</v>
      </c>
      <c r="J75" s="26">
        <v>1604500</v>
      </c>
      <c r="K75" s="27">
        <v>3501000</v>
      </c>
      <c r="L75" s="28">
        <v>64</v>
      </c>
      <c r="M75" s="28">
        <v>15</v>
      </c>
      <c r="N75" s="29">
        <v>2.78</v>
      </c>
      <c r="O75" s="27">
        <v>54703</v>
      </c>
      <c r="P75" s="27">
        <v>152217</v>
      </c>
      <c r="Q75" s="27">
        <v>283218</v>
      </c>
      <c r="R75" s="27">
        <v>123423</v>
      </c>
      <c r="S75" s="27">
        <v>203849</v>
      </c>
      <c r="T75" s="30">
        <v>2.1800000000000002</v>
      </c>
      <c r="U75" s="31">
        <v>23</v>
      </c>
      <c r="V75" s="28">
        <v>13</v>
      </c>
      <c r="W75" s="32">
        <v>43000600</v>
      </c>
      <c r="X75" s="23" t="s">
        <v>77</v>
      </c>
      <c r="Y75" s="33"/>
      <c r="Z75" s="34"/>
      <c r="AA75" s="34"/>
      <c r="AB75" s="34"/>
      <c r="AC75" s="34"/>
      <c r="AD75" s="34">
        <v>43000600</v>
      </c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5"/>
    </row>
    <row r="76" spans="1:55" x14ac:dyDescent="0.4">
      <c r="A76" s="20">
        <v>43706</v>
      </c>
      <c r="B76" s="21">
        <v>43706.458599537036</v>
      </c>
      <c r="C76" s="22" t="s">
        <v>73</v>
      </c>
      <c r="D76" s="23" t="s">
        <v>74</v>
      </c>
      <c r="E76" s="24">
        <v>25.93</v>
      </c>
      <c r="F76" s="25">
        <v>23.23</v>
      </c>
      <c r="G76" s="25">
        <v>29</v>
      </c>
      <c r="H76" s="25">
        <v>25.89</v>
      </c>
      <c r="I76" s="25">
        <v>25.85</v>
      </c>
      <c r="J76" s="26">
        <v>1505500</v>
      </c>
      <c r="K76" s="27">
        <v>3087000</v>
      </c>
      <c r="L76" s="28">
        <v>74</v>
      </c>
      <c r="M76" s="28">
        <v>23</v>
      </c>
      <c r="N76" s="29">
        <v>3.08</v>
      </c>
      <c r="O76" s="27">
        <v>41716</v>
      </c>
      <c r="P76" s="27">
        <v>128625</v>
      </c>
      <c r="Q76" s="27">
        <v>128767</v>
      </c>
      <c r="R76" s="27">
        <v>94094</v>
      </c>
      <c r="S76" s="27">
        <v>87884</v>
      </c>
      <c r="T76" s="30">
        <v>2.0499999999999998</v>
      </c>
      <c r="U76" s="31">
        <v>24</v>
      </c>
      <c r="V76" s="28">
        <v>16</v>
      </c>
      <c r="W76" s="32">
        <v>39037615</v>
      </c>
      <c r="X76" s="23" t="s">
        <v>75</v>
      </c>
      <c r="Y76" s="33">
        <v>777900</v>
      </c>
      <c r="Z76" s="34">
        <v>1529870</v>
      </c>
      <c r="AA76" s="34">
        <v>1802135</v>
      </c>
      <c r="AB76" s="34">
        <v>168545</v>
      </c>
      <c r="AC76" s="34">
        <v>3280145</v>
      </c>
      <c r="AD76" s="34"/>
      <c r="AE76" s="34">
        <v>557495</v>
      </c>
      <c r="AF76" s="34">
        <v>583425</v>
      </c>
      <c r="AG76" s="34">
        <v>2035505</v>
      </c>
      <c r="AH76" s="34">
        <v>5315650</v>
      </c>
      <c r="AI76" s="34">
        <v>1283535</v>
      </c>
      <c r="AJ76" s="34">
        <v>2943055</v>
      </c>
      <c r="AK76" s="34">
        <v>375985</v>
      </c>
      <c r="AL76" s="34">
        <v>1127955</v>
      </c>
      <c r="AM76" s="34">
        <v>401915</v>
      </c>
      <c r="AN76" s="34">
        <v>168545</v>
      </c>
      <c r="AO76" s="34">
        <v>5082280</v>
      </c>
      <c r="AP76" s="34"/>
      <c r="AQ76" s="34">
        <v>453775</v>
      </c>
      <c r="AR76" s="34">
        <v>38895</v>
      </c>
      <c r="AS76" s="34">
        <v>298195</v>
      </c>
      <c r="AT76" s="34">
        <v>116685</v>
      </c>
      <c r="AU76" s="34">
        <v>1970680</v>
      </c>
      <c r="AV76" s="34">
        <v>3461655</v>
      </c>
      <c r="AW76" s="34"/>
      <c r="AX76" s="34">
        <v>1011270</v>
      </c>
      <c r="AY76" s="34">
        <v>3137530</v>
      </c>
      <c r="AZ76" s="34">
        <v>168545</v>
      </c>
      <c r="BA76" s="34">
        <v>38895</v>
      </c>
      <c r="BB76" s="34">
        <v>907550</v>
      </c>
      <c r="BC76" s="35"/>
    </row>
    <row r="77" spans="1:55" x14ac:dyDescent="0.4">
      <c r="A77" s="20">
        <v>43705</v>
      </c>
      <c r="B77" s="21">
        <v>43705.458645833336</v>
      </c>
      <c r="C77" s="22" t="s">
        <v>78</v>
      </c>
      <c r="D77" s="23" t="s">
        <v>74</v>
      </c>
      <c r="E77" s="24">
        <v>26</v>
      </c>
      <c r="F77" s="25">
        <v>23.34</v>
      </c>
      <c r="G77" s="25">
        <v>29</v>
      </c>
      <c r="H77" s="25">
        <v>25.94</v>
      </c>
      <c r="I77" s="25">
        <v>25.85</v>
      </c>
      <c r="J77" s="26">
        <v>2214500</v>
      </c>
      <c r="K77" s="27">
        <v>4482500</v>
      </c>
      <c r="L77" s="28">
        <v>74</v>
      </c>
      <c r="M77" s="28">
        <v>20</v>
      </c>
      <c r="N77" s="29">
        <v>3.22</v>
      </c>
      <c r="O77" s="27">
        <v>60574</v>
      </c>
      <c r="P77" s="27">
        <v>194891</v>
      </c>
      <c r="Q77" s="27">
        <v>289272</v>
      </c>
      <c r="R77" s="27">
        <v>147633</v>
      </c>
      <c r="S77" s="27">
        <v>203212</v>
      </c>
      <c r="T77" s="30">
        <v>2.02</v>
      </c>
      <c r="U77" s="31">
        <v>23</v>
      </c>
      <c r="V77" s="28">
        <v>15</v>
      </c>
      <c r="W77" s="32">
        <v>57577000</v>
      </c>
      <c r="X77" s="23" t="s">
        <v>79</v>
      </c>
      <c r="Y77" s="33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>
        <v>57577000</v>
      </c>
      <c r="AX77" s="34"/>
      <c r="AY77" s="34"/>
      <c r="AZ77" s="34"/>
      <c r="BA77" s="34"/>
      <c r="BB77" s="34"/>
      <c r="BC77" s="35"/>
    </row>
    <row r="78" spans="1:55" x14ac:dyDescent="0.4">
      <c r="A78" s="20">
        <v>43704</v>
      </c>
      <c r="B78" s="21">
        <v>43704.459050925929</v>
      </c>
      <c r="C78" s="22" t="s">
        <v>73</v>
      </c>
      <c r="D78" s="23" t="s">
        <v>74</v>
      </c>
      <c r="E78" s="24">
        <v>25.25</v>
      </c>
      <c r="F78" s="25">
        <v>23.39</v>
      </c>
      <c r="G78" s="25">
        <v>28</v>
      </c>
      <c r="H78" s="25">
        <v>25.32</v>
      </c>
      <c r="I78" s="25">
        <v>25.18</v>
      </c>
      <c r="J78" s="26">
        <v>1387500</v>
      </c>
      <c r="K78" s="27">
        <v>2835500</v>
      </c>
      <c r="L78" s="28">
        <v>73</v>
      </c>
      <c r="M78" s="28">
        <v>28</v>
      </c>
      <c r="N78" s="29">
        <v>3.04</v>
      </c>
      <c r="O78" s="27">
        <v>38842</v>
      </c>
      <c r="P78" s="27">
        <v>118146</v>
      </c>
      <c r="Q78" s="27">
        <v>133676</v>
      </c>
      <c r="R78" s="27">
        <v>77083</v>
      </c>
      <c r="S78" s="27">
        <v>75740</v>
      </c>
      <c r="T78" s="30">
        <v>2.04</v>
      </c>
      <c r="U78" s="31">
        <v>24</v>
      </c>
      <c r="V78" s="28">
        <v>18</v>
      </c>
      <c r="W78" s="32">
        <v>35034375</v>
      </c>
      <c r="X78" s="23" t="s">
        <v>75</v>
      </c>
      <c r="Y78" s="33">
        <v>681750</v>
      </c>
      <c r="Z78" s="34">
        <v>1338250</v>
      </c>
      <c r="AA78" s="34">
        <v>1666500</v>
      </c>
      <c r="AB78" s="34">
        <v>113625</v>
      </c>
      <c r="AC78" s="34">
        <v>2373500</v>
      </c>
      <c r="AD78" s="34"/>
      <c r="AE78" s="34">
        <v>606000</v>
      </c>
      <c r="AF78" s="34">
        <v>530250</v>
      </c>
      <c r="AG78" s="34">
        <v>1906375</v>
      </c>
      <c r="AH78" s="34">
        <v>4658625</v>
      </c>
      <c r="AI78" s="34">
        <v>820625</v>
      </c>
      <c r="AJ78" s="34">
        <v>2701750</v>
      </c>
      <c r="AK78" s="34">
        <v>277750</v>
      </c>
      <c r="AL78" s="34">
        <v>858500</v>
      </c>
      <c r="AM78" s="34">
        <v>454500</v>
      </c>
      <c r="AN78" s="34">
        <v>164125</v>
      </c>
      <c r="AO78" s="34">
        <v>4797500</v>
      </c>
      <c r="AP78" s="34"/>
      <c r="AQ78" s="34">
        <v>340875</v>
      </c>
      <c r="AR78" s="34">
        <v>75750</v>
      </c>
      <c r="AS78" s="34">
        <v>164125</v>
      </c>
      <c r="AT78" s="34">
        <v>25250</v>
      </c>
      <c r="AU78" s="34">
        <v>1653875</v>
      </c>
      <c r="AV78" s="34">
        <v>3370875</v>
      </c>
      <c r="AW78" s="34"/>
      <c r="AX78" s="34">
        <v>959500</v>
      </c>
      <c r="AY78" s="34">
        <v>2840625</v>
      </c>
      <c r="AZ78" s="34">
        <v>479750</v>
      </c>
      <c r="BA78" s="34">
        <v>227250</v>
      </c>
      <c r="BB78" s="34">
        <v>946875</v>
      </c>
      <c r="BC78" s="35"/>
    </row>
    <row r="79" spans="1:55" x14ac:dyDescent="0.4">
      <c r="A79" s="20">
        <v>43700</v>
      </c>
      <c r="B79" s="21">
        <v>43700.458738425928</v>
      </c>
      <c r="C79" s="22" t="s">
        <v>76</v>
      </c>
      <c r="D79" s="23" t="s">
        <v>74</v>
      </c>
      <c r="E79" s="24">
        <v>25.33</v>
      </c>
      <c r="F79" s="25">
        <v>23.42</v>
      </c>
      <c r="G79" s="25">
        <v>29</v>
      </c>
      <c r="H79" s="25">
        <v>25.4</v>
      </c>
      <c r="I79" s="25">
        <v>25.34</v>
      </c>
      <c r="J79" s="26">
        <v>1604500</v>
      </c>
      <c r="K79" s="27">
        <v>2953000</v>
      </c>
      <c r="L79" s="28">
        <v>76</v>
      </c>
      <c r="M79" s="28">
        <v>40</v>
      </c>
      <c r="N79" s="29">
        <v>3.45</v>
      </c>
      <c r="O79" s="27">
        <v>38855</v>
      </c>
      <c r="P79" s="27">
        <v>134227</v>
      </c>
      <c r="Q79" s="27">
        <v>242809</v>
      </c>
      <c r="R79" s="27">
        <v>89139</v>
      </c>
      <c r="S79" s="27">
        <v>129355</v>
      </c>
      <c r="T79" s="30">
        <v>1.84</v>
      </c>
      <c r="U79" s="31">
        <v>22</v>
      </c>
      <c r="V79" s="28">
        <v>18</v>
      </c>
      <c r="W79" s="32">
        <v>40641985</v>
      </c>
      <c r="X79" s="23" t="s">
        <v>77</v>
      </c>
      <c r="Y79" s="33"/>
      <c r="Z79" s="34"/>
      <c r="AA79" s="34"/>
      <c r="AB79" s="34"/>
      <c r="AC79" s="34"/>
      <c r="AD79" s="34">
        <v>40641985</v>
      </c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5"/>
    </row>
    <row r="80" spans="1:55" x14ac:dyDescent="0.4">
      <c r="A80" s="20">
        <v>43699</v>
      </c>
      <c r="B80" s="21">
        <v>43699.458703703705</v>
      </c>
      <c r="C80" s="22" t="s">
        <v>73</v>
      </c>
      <c r="D80" s="23" t="s">
        <v>74</v>
      </c>
      <c r="E80" s="24">
        <v>25.78</v>
      </c>
      <c r="F80" s="25">
        <v>23.43</v>
      </c>
      <c r="G80" s="25">
        <v>29</v>
      </c>
      <c r="H80" s="25">
        <v>25.74</v>
      </c>
      <c r="I80" s="25">
        <v>25.73</v>
      </c>
      <c r="J80" s="26">
        <v>1387500</v>
      </c>
      <c r="K80" s="27">
        <v>3994500</v>
      </c>
      <c r="L80" s="28">
        <v>91</v>
      </c>
      <c r="M80" s="28">
        <v>36</v>
      </c>
      <c r="N80" s="29">
        <v>3.37</v>
      </c>
      <c r="O80" s="27">
        <v>43896</v>
      </c>
      <c r="P80" s="27">
        <v>147944</v>
      </c>
      <c r="Q80" s="27">
        <v>274234</v>
      </c>
      <c r="R80" s="27">
        <v>63068</v>
      </c>
      <c r="S80" s="27">
        <v>75776</v>
      </c>
      <c r="T80" s="30">
        <v>2.88</v>
      </c>
      <c r="U80" s="31">
        <v>27</v>
      </c>
      <c r="V80" s="28">
        <v>22</v>
      </c>
      <c r="W80" s="32">
        <v>35769750</v>
      </c>
      <c r="X80" s="23" t="s">
        <v>75</v>
      </c>
      <c r="Y80" s="33">
        <v>696060</v>
      </c>
      <c r="Z80" s="34">
        <v>1366340</v>
      </c>
      <c r="AA80" s="34">
        <v>1701480</v>
      </c>
      <c r="AB80" s="34">
        <v>116010</v>
      </c>
      <c r="AC80" s="34">
        <v>2423320</v>
      </c>
      <c r="AD80" s="34"/>
      <c r="AE80" s="34">
        <v>618720</v>
      </c>
      <c r="AF80" s="34">
        <v>541380</v>
      </c>
      <c r="AG80" s="34">
        <v>1946390</v>
      </c>
      <c r="AH80" s="34">
        <v>4756410</v>
      </c>
      <c r="AI80" s="34">
        <v>837850</v>
      </c>
      <c r="AJ80" s="34">
        <v>2758460</v>
      </c>
      <c r="AK80" s="34">
        <v>283580</v>
      </c>
      <c r="AL80" s="34">
        <v>876520</v>
      </c>
      <c r="AM80" s="34">
        <v>464040</v>
      </c>
      <c r="AN80" s="34">
        <v>167570</v>
      </c>
      <c r="AO80" s="34">
        <v>4898200</v>
      </c>
      <c r="AP80" s="34"/>
      <c r="AQ80" s="34">
        <v>348030</v>
      </c>
      <c r="AR80" s="34">
        <v>77340</v>
      </c>
      <c r="AS80" s="34">
        <v>167570</v>
      </c>
      <c r="AT80" s="34">
        <v>25780</v>
      </c>
      <c r="AU80" s="34">
        <v>1688590</v>
      </c>
      <c r="AV80" s="34">
        <v>3441630</v>
      </c>
      <c r="AW80" s="34"/>
      <c r="AX80" s="34">
        <v>979640</v>
      </c>
      <c r="AY80" s="34">
        <v>2900250</v>
      </c>
      <c r="AZ80" s="34">
        <v>489820</v>
      </c>
      <c r="BA80" s="34">
        <v>232020</v>
      </c>
      <c r="BB80" s="34">
        <v>966750</v>
      </c>
      <c r="BC80" s="35"/>
    </row>
    <row r="81" spans="1:55" x14ac:dyDescent="0.4">
      <c r="A81" s="20">
        <v>43697</v>
      </c>
      <c r="B81" s="21">
        <v>43697.458622685182</v>
      </c>
      <c r="C81" s="22" t="s">
        <v>73</v>
      </c>
      <c r="D81" s="23" t="s">
        <v>74</v>
      </c>
      <c r="E81" s="24">
        <v>26.94</v>
      </c>
      <c r="F81" s="25">
        <v>23.35</v>
      </c>
      <c r="G81" s="25">
        <v>29</v>
      </c>
      <c r="H81" s="25">
        <v>26.7</v>
      </c>
      <c r="I81" s="25">
        <v>26.77</v>
      </c>
      <c r="J81" s="26">
        <v>1387500</v>
      </c>
      <c r="K81" s="27">
        <v>3437000</v>
      </c>
      <c r="L81" s="28">
        <v>77</v>
      </c>
      <c r="M81" s="28">
        <v>18</v>
      </c>
      <c r="N81" s="29">
        <v>3.35</v>
      </c>
      <c r="O81" s="27">
        <v>44636</v>
      </c>
      <c r="P81" s="27">
        <v>149435</v>
      </c>
      <c r="Q81" s="27">
        <v>250668</v>
      </c>
      <c r="R81" s="27">
        <v>92500</v>
      </c>
      <c r="S81" s="27">
        <v>167664</v>
      </c>
      <c r="T81" s="30">
        <v>2.48</v>
      </c>
      <c r="U81" s="31">
        <v>23</v>
      </c>
      <c r="V81" s="28">
        <v>15</v>
      </c>
      <c r="W81" s="32">
        <v>37379250</v>
      </c>
      <c r="X81" s="23" t="s">
        <v>75</v>
      </c>
      <c r="Y81" s="33">
        <v>727380</v>
      </c>
      <c r="Z81" s="34">
        <v>1427820</v>
      </c>
      <c r="AA81" s="34">
        <v>1778040</v>
      </c>
      <c r="AB81" s="34">
        <v>121230</v>
      </c>
      <c r="AC81" s="34">
        <v>2532360</v>
      </c>
      <c r="AD81" s="34"/>
      <c r="AE81" s="34">
        <v>646560</v>
      </c>
      <c r="AF81" s="34">
        <v>565740</v>
      </c>
      <c r="AG81" s="34">
        <v>2033970</v>
      </c>
      <c r="AH81" s="34">
        <v>4970430</v>
      </c>
      <c r="AI81" s="34">
        <v>875550</v>
      </c>
      <c r="AJ81" s="34">
        <v>2882580</v>
      </c>
      <c r="AK81" s="34">
        <v>296340</v>
      </c>
      <c r="AL81" s="34">
        <v>915960</v>
      </c>
      <c r="AM81" s="34">
        <v>484920</v>
      </c>
      <c r="AN81" s="34">
        <v>175110</v>
      </c>
      <c r="AO81" s="34">
        <v>5118600</v>
      </c>
      <c r="AP81" s="34"/>
      <c r="AQ81" s="34">
        <v>363690</v>
      </c>
      <c r="AR81" s="34">
        <v>80820</v>
      </c>
      <c r="AS81" s="34">
        <v>175110</v>
      </c>
      <c r="AT81" s="34">
        <v>26940</v>
      </c>
      <c r="AU81" s="34">
        <v>1764570</v>
      </c>
      <c r="AV81" s="34">
        <v>3596490</v>
      </c>
      <c r="AW81" s="34"/>
      <c r="AX81" s="34">
        <v>1023720</v>
      </c>
      <c r="AY81" s="34">
        <v>3030750</v>
      </c>
      <c r="AZ81" s="34">
        <v>511860</v>
      </c>
      <c r="BA81" s="34">
        <v>242460</v>
      </c>
      <c r="BB81" s="34">
        <v>1010250</v>
      </c>
      <c r="BC81" s="35"/>
    </row>
    <row r="82" spans="1:55" x14ac:dyDescent="0.4">
      <c r="A82" s="20">
        <v>43696</v>
      </c>
      <c r="B82" s="21">
        <v>43696.458622685182</v>
      </c>
      <c r="C82" s="22" t="s">
        <v>73</v>
      </c>
      <c r="D82" s="23" t="s">
        <v>74</v>
      </c>
      <c r="E82" s="24">
        <v>26.25</v>
      </c>
      <c r="F82" s="25">
        <v>23.45</v>
      </c>
      <c r="G82" s="25">
        <v>29</v>
      </c>
      <c r="H82" s="25">
        <v>26.11</v>
      </c>
      <c r="I82" s="25">
        <v>26.08</v>
      </c>
      <c r="J82" s="26">
        <v>1387500</v>
      </c>
      <c r="K82" s="27">
        <v>4065500</v>
      </c>
      <c r="L82" s="28">
        <v>97</v>
      </c>
      <c r="M82" s="28">
        <v>20</v>
      </c>
      <c r="N82" s="29">
        <v>3.59</v>
      </c>
      <c r="O82" s="27">
        <v>41912</v>
      </c>
      <c r="P82" s="27">
        <v>150574</v>
      </c>
      <c r="Q82" s="27">
        <v>242099</v>
      </c>
      <c r="R82" s="27">
        <v>81618</v>
      </c>
      <c r="S82" s="27">
        <v>135437</v>
      </c>
      <c r="T82" s="30">
        <v>2.93</v>
      </c>
      <c r="U82" s="31">
        <v>27</v>
      </c>
      <c r="V82" s="28">
        <v>17</v>
      </c>
      <c r="W82" s="32">
        <v>36421875</v>
      </c>
      <c r="X82" s="23" t="s">
        <v>75</v>
      </c>
      <c r="Y82" s="33">
        <v>708750</v>
      </c>
      <c r="Z82" s="34">
        <v>1391250</v>
      </c>
      <c r="AA82" s="34">
        <v>1732500</v>
      </c>
      <c r="AB82" s="34">
        <v>118125</v>
      </c>
      <c r="AC82" s="34">
        <v>2467500</v>
      </c>
      <c r="AD82" s="34"/>
      <c r="AE82" s="34">
        <v>630000</v>
      </c>
      <c r="AF82" s="34">
        <v>551250</v>
      </c>
      <c r="AG82" s="34">
        <v>1981875</v>
      </c>
      <c r="AH82" s="34">
        <v>4843125</v>
      </c>
      <c r="AI82" s="34">
        <v>853125</v>
      </c>
      <c r="AJ82" s="34">
        <v>2808750</v>
      </c>
      <c r="AK82" s="34">
        <v>288750</v>
      </c>
      <c r="AL82" s="34">
        <v>892500</v>
      </c>
      <c r="AM82" s="34">
        <v>472500</v>
      </c>
      <c r="AN82" s="34">
        <v>170625</v>
      </c>
      <c r="AO82" s="34">
        <v>4987500</v>
      </c>
      <c r="AP82" s="34"/>
      <c r="AQ82" s="34">
        <v>354375</v>
      </c>
      <c r="AR82" s="34">
        <v>78750</v>
      </c>
      <c r="AS82" s="34">
        <v>170625</v>
      </c>
      <c r="AT82" s="34">
        <v>26250</v>
      </c>
      <c r="AU82" s="34">
        <v>1719375</v>
      </c>
      <c r="AV82" s="34">
        <v>3504375</v>
      </c>
      <c r="AW82" s="34"/>
      <c r="AX82" s="34">
        <v>997500</v>
      </c>
      <c r="AY82" s="34">
        <v>2953125</v>
      </c>
      <c r="AZ82" s="34">
        <v>498750</v>
      </c>
      <c r="BA82" s="34">
        <v>236250</v>
      </c>
      <c r="BB82" s="34">
        <v>984375</v>
      </c>
      <c r="BC82" s="35"/>
    </row>
    <row r="83" spans="1:55" x14ac:dyDescent="0.4">
      <c r="A83" s="20">
        <v>43693</v>
      </c>
      <c r="B83" s="21">
        <v>43693.458599537036</v>
      </c>
      <c r="C83" s="22" t="s">
        <v>76</v>
      </c>
      <c r="D83" s="23" t="s">
        <v>74</v>
      </c>
      <c r="E83" s="24">
        <v>26.12</v>
      </c>
      <c r="F83" s="25">
        <v>25</v>
      </c>
      <c r="G83" s="25">
        <v>29</v>
      </c>
      <c r="H83" s="25">
        <v>26.13</v>
      </c>
      <c r="I83" s="25">
        <v>26.04</v>
      </c>
      <c r="J83" s="26">
        <v>1604500</v>
      </c>
      <c r="K83" s="27">
        <v>4579000</v>
      </c>
      <c r="L83" s="28">
        <v>86</v>
      </c>
      <c r="M83" s="28">
        <v>28</v>
      </c>
      <c r="N83" s="29">
        <v>3.58</v>
      </c>
      <c r="O83" s="27">
        <v>53244</v>
      </c>
      <c r="P83" s="27">
        <v>190792</v>
      </c>
      <c r="Q83" s="27">
        <v>361460</v>
      </c>
      <c r="R83" s="27">
        <v>94382</v>
      </c>
      <c r="S83" s="27">
        <v>150449</v>
      </c>
      <c r="T83" s="30">
        <v>2.85</v>
      </c>
      <c r="U83" s="31">
        <v>24</v>
      </c>
      <c r="V83" s="28">
        <v>17</v>
      </c>
      <c r="W83" s="32">
        <v>41909540</v>
      </c>
      <c r="X83" s="23" t="s">
        <v>77</v>
      </c>
      <c r="Y83" s="33"/>
      <c r="Z83" s="34"/>
      <c r="AA83" s="34"/>
      <c r="AB83" s="34"/>
      <c r="AC83" s="34"/>
      <c r="AD83" s="34">
        <v>41909540</v>
      </c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5"/>
    </row>
    <row r="84" spans="1:55" x14ac:dyDescent="0.4">
      <c r="A84" s="20">
        <v>43692</v>
      </c>
      <c r="B84" s="21">
        <v>43692.458622685182</v>
      </c>
      <c r="C84" s="22" t="s">
        <v>73</v>
      </c>
      <c r="D84" s="23" t="s">
        <v>74</v>
      </c>
      <c r="E84" s="24">
        <v>26.41</v>
      </c>
      <c r="F84" s="25">
        <v>25</v>
      </c>
      <c r="G84" s="25">
        <v>28</v>
      </c>
      <c r="H84" s="25">
        <v>26.42</v>
      </c>
      <c r="I84" s="25">
        <v>26.38</v>
      </c>
      <c r="J84" s="26">
        <v>1387500</v>
      </c>
      <c r="K84" s="27">
        <v>2806500</v>
      </c>
      <c r="L84" s="28">
        <v>69</v>
      </c>
      <c r="M84" s="28">
        <v>30</v>
      </c>
      <c r="N84" s="29">
        <v>3.45</v>
      </c>
      <c r="O84" s="27">
        <v>40674</v>
      </c>
      <c r="P84" s="27">
        <v>140325</v>
      </c>
      <c r="Q84" s="27">
        <v>134272</v>
      </c>
      <c r="R84" s="27">
        <v>86719</v>
      </c>
      <c r="S84" s="27">
        <v>92907</v>
      </c>
      <c r="T84" s="30">
        <v>2.02</v>
      </c>
      <c r="U84" s="31">
        <v>20</v>
      </c>
      <c r="V84" s="28">
        <v>16</v>
      </c>
      <c r="W84" s="32">
        <v>36643875</v>
      </c>
      <c r="X84" s="23" t="s">
        <v>75</v>
      </c>
      <c r="Y84" s="33">
        <v>713070</v>
      </c>
      <c r="Z84" s="34">
        <v>1399730</v>
      </c>
      <c r="AA84" s="34">
        <v>1743060</v>
      </c>
      <c r="AB84" s="34">
        <v>118845</v>
      </c>
      <c r="AC84" s="34">
        <v>2482540</v>
      </c>
      <c r="AD84" s="34"/>
      <c r="AE84" s="34">
        <v>633840</v>
      </c>
      <c r="AF84" s="34">
        <v>554610</v>
      </c>
      <c r="AG84" s="34">
        <v>1993955</v>
      </c>
      <c r="AH84" s="34">
        <v>4872645</v>
      </c>
      <c r="AI84" s="34">
        <v>858325</v>
      </c>
      <c r="AJ84" s="34">
        <v>2825870</v>
      </c>
      <c r="AK84" s="34">
        <v>290510</v>
      </c>
      <c r="AL84" s="34">
        <v>897940</v>
      </c>
      <c r="AM84" s="34">
        <v>475380</v>
      </c>
      <c r="AN84" s="34">
        <v>171665</v>
      </c>
      <c r="AO84" s="34">
        <v>5017900</v>
      </c>
      <c r="AP84" s="34"/>
      <c r="AQ84" s="34">
        <v>356535</v>
      </c>
      <c r="AR84" s="34">
        <v>79230</v>
      </c>
      <c r="AS84" s="34">
        <v>171665</v>
      </c>
      <c r="AT84" s="34">
        <v>26410</v>
      </c>
      <c r="AU84" s="34">
        <v>1729855</v>
      </c>
      <c r="AV84" s="34">
        <v>3525735</v>
      </c>
      <c r="AW84" s="34"/>
      <c r="AX84" s="34">
        <v>1003580</v>
      </c>
      <c r="AY84" s="34">
        <v>2971125</v>
      </c>
      <c r="AZ84" s="34">
        <v>501790</v>
      </c>
      <c r="BA84" s="34">
        <v>237690</v>
      </c>
      <c r="BB84" s="34">
        <v>990375</v>
      </c>
      <c r="BC84" s="35"/>
    </row>
    <row r="85" spans="1:55" x14ac:dyDescent="0.4">
      <c r="A85" s="20">
        <v>43691</v>
      </c>
      <c r="B85" s="21">
        <v>43691.458645833336</v>
      </c>
      <c r="C85" s="22" t="s">
        <v>78</v>
      </c>
      <c r="D85" s="23" t="s">
        <v>74</v>
      </c>
      <c r="E85" s="24">
        <v>27.15</v>
      </c>
      <c r="F85" s="25">
        <v>25</v>
      </c>
      <c r="G85" s="25">
        <v>30</v>
      </c>
      <c r="H85" s="25">
        <v>27.13</v>
      </c>
      <c r="I85" s="25">
        <v>27.1</v>
      </c>
      <c r="J85" s="26">
        <v>2214500</v>
      </c>
      <c r="K85" s="27">
        <v>3709500</v>
      </c>
      <c r="L85" s="28">
        <v>68</v>
      </c>
      <c r="M85" s="28">
        <v>25</v>
      </c>
      <c r="N85" s="29">
        <v>2.96</v>
      </c>
      <c r="O85" s="27">
        <v>54551</v>
      </c>
      <c r="P85" s="27">
        <v>161283</v>
      </c>
      <c r="Q85" s="27">
        <v>165566</v>
      </c>
      <c r="R85" s="27">
        <v>130265</v>
      </c>
      <c r="S85" s="27">
        <v>127490</v>
      </c>
      <c r="T85" s="30">
        <v>1.68</v>
      </c>
      <c r="U85" s="31">
        <v>23</v>
      </c>
      <c r="V85" s="28">
        <v>17</v>
      </c>
      <c r="W85" s="32">
        <v>60123675</v>
      </c>
      <c r="X85" s="23" t="s">
        <v>79</v>
      </c>
      <c r="Y85" s="33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>
        <v>60123675</v>
      </c>
      <c r="AX85" s="34"/>
      <c r="AY85" s="34"/>
      <c r="AZ85" s="34"/>
      <c r="BA85" s="34"/>
      <c r="BB85" s="34"/>
      <c r="BC85" s="35"/>
    </row>
    <row r="86" spans="1:55" x14ac:dyDescent="0.4">
      <c r="A86" s="20">
        <v>43690</v>
      </c>
      <c r="B86" s="21">
        <v>43690.458622685182</v>
      </c>
      <c r="C86" s="22" t="s">
        <v>73</v>
      </c>
      <c r="D86" s="23" t="s">
        <v>74</v>
      </c>
      <c r="E86" s="24">
        <v>27.1</v>
      </c>
      <c r="F86" s="25">
        <v>23.59</v>
      </c>
      <c r="G86" s="25">
        <v>30.01</v>
      </c>
      <c r="H86" s="25">
        <v>26.78</v>
      </c>
      <c r="I86" s="25">
        <v>26.76</v>
      </c>
      <c r="J86" s="26">
        <v>1387500</v>
      </c>
      <c r="K86" s="27">
        <v>3944500</v>
      </c>
      <c r="L86" s="28">
        <v>92</v>
      </c>
      <c r="M86" s="28">
        <v>12</v>
      </c>
      <c r="N86" s="29">
        <v>3.29</v>
      </c>
      <c r="O86" s="27">
        <v>42875</v>
      </c>
      <c r="P86" s="27">
        <v>140875</v>
      </c>
      <c r="Q86" s="27">
        <v>220369</v>
      </c>
      <c r="R86" s="27">
        <v>115625</v>
      </c>
      <c r="S86" s="27">
        <v>182492</v>
      </c>
      <c r="T86" s="30">
        <v>2.84</v>
      </c>
      <c r="U86" s="31">
        <v>28</v>
      </c>
      <c r="V86" s="28">
        <v>12</v>
      </c>
      <c r="W86" s="32">
        <v>37601250</v>
      </c>
      <c r="X86" s="23" t="s">
        <v>75</v>
      </c>
      <c r="Y86" s="33">
        <v>731700</v>
      </c>
      <c r="Z86" s="34">
        <v>1436300</v>
      </c>
      <c r="AA86" s="34">
        <v>1788600</v>
      </c>
      <c r="AB86" s="34">
        <v>121950</v>
      </c>
      <c r="AC86" s="34">
        <v>2547400</v>
      </c>
      <c r="AD86" s="34"/>
      <c r="AE86" s="34">
        <v>650400</v>
      </c>
      <c r="AF86" s="34">
        <v>569100</v>
      </c>
      <c r="AG86" s="34">
        <v>2046050</v>
      </c>
      <c r="AH86" s="34">
        <v>4999950</v>
      </c>
      <c r="AI86" s="34">
        <v>880750</v>
      </c>
      <c r="AJ86" s="34">
        <v>2899700</v>
      </c>
      <c r="AK86" s="34">
        <v>298100</v>
      </c>
      <c r="AL86" s="34">
        <v>921400</v>
      </c>
      <c r="AM86" s="34">
        <v>487800</v>
      </c>
      <c r="AN86" s="34">
        <v>176150</v>
      </c>
      <c r="AO86" s="34">
        <v>5149000</v>
      </c>
      <c r="AP86" s="34"/>
      <c r="AQ86" s="34">
        <v>365850</v>
      </c>
      <c r="AR86" s="34">
        <v>81300</v>
      </c>
      <c r="AS86" s="34">
        <v>176150</v>
      </c>
      <c r="AT86" s="34">
        <v>27100</v>
      </c>
      <c r="AU86" s="34">
        <v>1775050</v>
      </c>
      <c r="AV86" s="34">
        <v>3617850</v>
      </c>
      <c r="AW86" s="34"/>
      <c r="AX86" s="34">
        <v>1029800</v>
      </c>
      <c r="AY86" s="34">
        <v>3048750</v>
      </c>
      <c r="AZ86" s="34">
        <v>514900</v>
      </c>
      <c r="BA86" s="34">
        <v>243900</v>
      </c>
      <c r="BB86" s="34">
        <v>1016250</v>
      </c>
      <c r="BC86" s="35"/>
    </row>
    <row r="87" spans="1:55" x14ac:dyDescent="0.4">
      <c r="A87" s="20">
        <v>43689</v>
      </c>
      <c r="B87" s="21">
        <v>43689.45853009259</v>
      </c>
      <c r="C87" s="22" t="s">
        <v>73</v>
      </c>
      <c r="D87" s="23" t="s">
        <v>74</v>
      </c>
      <c r="E87" s="24">
        <v>27.7</v>
      </c>
      <c r="F87" s="25">
        <v>25</v>
      </c>
      <c r="G87" s="25">
        <v>30</v>
      </c>
      <c r="H87" s="25">
        <v>27.74</v>
      </c>
      <c r="I87" s="25">
        <v>27.69</v>
      </c>
      <c r="J87" s="26">
        <v>1387500</v>
      </c>
      <c r="K87" s="27">
        <v>4130000</v>
      </c>
      <c r="L87" s="28">
        <v>83</v>
      </c>
      <c r="M87" s="28">
        <v>40</v>
      </c>
      <c r="N87" s="29">
        <v>3.77</v>
      </c>
      <c r="O87" s="27">
        <v>49759</v>
      </c>
      <c r="P87" s="27">
        <v>187727</v>
      </c>
      <c r="Q87" s="27">
        <v>316975</v>
      </c>
      <c r="R87" s="27">
        <v>73026</v>
      </c>
      <c r="S87" s="27">
        <v>97827</v>
      </c>
      <c r="T87" s="30">
        <v>2.98</v>
      </c>
      <c r="U87" s="31">
        <v>22</v>
      </c>
      <c r="V87" s="28">
        <v>19</v>
      </c>
      <c r="W87" s="32">
        <v>38433750</v>
      </c>
      <c r="X87" s="23" t="s">
        <v>75</v>
      </c>
      <c r="Y87" s="33">
        <v>747900</v>
      </c>
      <c r="Z87" s="34">
        <v>1468100</v>
      </c>
      <c r="AA87" s="34">
        <v>1828200</v>
      </c>
      <c r="AB87" s="34">
        <v>124650</v>
      </c>
      <c r="AC87" s="34">
        <v>2603800</v>
      </c>
      <c r="AD87" s="34"/>
      <c r="AE87" s="34">
        <v>664800</v>
      </c>
      <c r="AF87" s="34">
        <v>581700</v>
      </c>
      <c r="AG87" s="34">
        <v>2091350</v>
      </c>
      <c r="AH87" s="34">
        <v>5110650</v>
      </c>
      <c r="AI87" s="34">
        <v>900250</v>
      </c>
      <c r="AJ87" s="34">
        <v>2963900</v>
      </c>
      <c r="AK87" s="34">
        <v>304700</v>
      </c>
      <c r="AL87" s="34">
        <v>941800</v>
      </c>
      <c r="AM87" s="34">
        <v>498600</v>
      </c>
      <c r="AN87" s="34">
        <v>180050</v>
      </c>
      <c r="AO87" s="34">
        <v>5263000</v>
      </c>
      <c r="AP87" s="34"/>
      <c r="AQ87" s="34">
        <v>373950</v>
      </c>
      <c r="AR87" s="34">
        <v>83100</v>
      </c>
      <c r="AS87" s="34">
        <v>180050</v>
      </c>
      <c r="AT87" s="34">
        <v>27700</v>
      </c>
      <c r="AU87" s="34">
        <v>1814350</v>
      </c>
      <c r="AV87" s="34">
        <v>3697950</v>
      </c>
      <c r="AW87" s="34"/>
      <c r="AX87" s="34">
        <v>1052600</v>
      </c>
      <c r="AY87" s="34">
        <v>3116250</v>
      </c>
      <c r="AZ87" s="34">
        <v>526300</v>
      </c>
      <c r="BA87" s="34">
        <v>249300</v>
      </c>
      <c r="BB87" s="34">
        <v>1038750</v>
      </c>
      <c r="BC87" s="35"/>
    </row>
    <row r="88" spans="1:55" x14ac:dyDescent="0.4">
      <c r="A88" s="20">
        <v>43686</v>
      </c>
      <c r="B88" s="21">
        <v>43686.458587962959</v>
      </c>
      <c r="C88" s="22" t="s">
        <v>76</v>
      </c>
      <c r="D88" s="23" t="s">
        <v>74</v>
      </c>
      <c r="E88" s="24">
        <v>28.37</v>
      </c>
      <c r="F88" s="25">
        <v>23.65</v>
      </c>
      <c r="G88" s="25">
        <v>30</v>
      </c>
      <c r="H88" s="25">
        <v>28.21</v>
      </c>
      <c r="I88" s="25">
        <v>28.36</v>
      </c>
      <c r="J88" s="26">
        <v>1604500</v>
      </c>
      <c r="K88" s="27">
        <v>3705500</v>
      </c>
      <c r="L88" s="28">
        <v>80</v>
      </c>
      <c r="M88" s="28">
        <v>39</v>
      </c>
      <c r="N88" s="29">
        <v>3.64</v>
      </c>
      <c r="O88" s="27">
        <v>46319</v>
      </c>
      <c r="P88" s="27">
        <v>168432</v>
      </c>
      <c r="Q88" s="27">
        <v>292092</v>
      </c>
      <c r="R88" s="27">
        <v>94382</v>
      </c>
      <c r="S88" s="27">
        <v>107165</v>
      </c>
      <c r="T88" s="30">
        <v>2.31</v>
      </c>
      <c r="U88" s="31">
        <v>22</v>
      </c>
      <c r="V88" s="28">
        <v>17</v>
      </c>
      <c r="W88" s="32">
        <v>45519665</v>
      </c>
      <c r="X88" s="23" t="s">
        <v>77</v>
      </c>
      <c r="Y88" s="33"/>
      <c r="Z88" s="34"/>
      <c r="AA88" s="34"/>
      <c r="AB88" s="34"/>
      <c r="AC88" s="34"/>
      <c r="AD88" s="34">
        <v>45519665</v>
      </c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5"/>
    </row>
    <row r="89" spans="1:55" x14ac:dyDescent="0.4">
      <c r="A89" s="20">
        <v>43685</v>
      </c>
      <c r="B89" s="21">
        <v>43685.458668981482</v>
      </c>
      <c r="C89" s="22" t="s">
        <v>73</v>
      </c>
      <c r="D89" s="23" t="s">
        <v>74</v>
      </c>
      <c r="E89" s="24">
        <v>28.68</v>
      </c>
      <c r="F89" s="25">
        <v>25</v>
      </c>
      <c r="G89" s="25">
        <v>35</v>
      </c>
      <c r="H89" s="25">
        <v>28.51</v>
      </c>
      <c r="I89" s="25">
        <v>28.5</v>
      </c>
      <c r="J89" s="26">
        <v>1387500</v>
      </c>
      <c r="K89" s="27">
        <v>4059500</v>
      </c>
      <c r="L89" s="28">
        <v>80</v>
      </c>
      <c r="M89" s="28">
        <v>15</v>
      </c>
      <c r="N89" s="29">
        <v>3.33</v>
      </c>
      <c r="O89" s="27">
        <v>50744</v>
      </c>
      <c r="P89" s="27">
        <v>169146</v>
      </c>
      <c r="Q89" s="27">
        <v>251772</v>
      </c>
      <c r="R89" s="27">
        <v>99107</v>
      </c>
      <c r="S89" s="27">
        <v>154503</v>
      </c>
      <c r="T89" s="30">
        <v>2.93</v>
      </c>
      <c r="U89" s="31">
        <v>24</v>
      </c>
      <c r="V89" s="28">
        <v>14</v>
      </c>
      <c r="W89" s="32">
        <v>39793500</v>
      </c>
      <c r="X89" s="23" t="s">
        <v>75</v>
      </c>
      <c r="Y89" s="33">
        <v>774360</v>
      </c>
      <c r="Z89" s="34">
        <v>1520040</v>
      </c>
      <c r="AA89" s="34">
        <v>1892880</v>
      </c>
      <c r="AB89" s="34">
        <v>129060</v>
      </c>
      <c r="AC89" s="34">
        <v>2695920</v>
      </c>
      <c r="AD89" s="34"/>
      <c r="AE89" s="34">
        <v>688320</v>
      </c>
      <c r="AF89" s="34">
        <v>602280</v>
      </c>
      <c r="AG89" s="34">
        <v>2165340</v>
      </c>
      <c r="AH89" s="34">
        <v>5291460</v>
      </c>
      <c r="AI89" s="34">
        <v>932100</v>
      </c>
      <c r="AJ89" s="34">
        <v>3068760</v>
      </c>
      <c r="AK89" s="34">
        <v>315480</v>
      </c>
      <c r="AL89" s="34">
        <v>975120</v>
      </c>
      <c r="AM89" s="34">
        <v>516240</v>
      </c>
      <c r="AN89" s="34">
        <v>186420</v>
      </c>
      <c r="AO89" s="34">
        <v>5449200</v>
      </c>
      <c r="AP89" s="34"/>
      <c r="AQ89" s="34">
        <v>387180</v>
      </c>
      <c r="AR89" s="34">
        <v>86040</v>
      </c>
      <c r="AS89" s="34">
        <v>186420</v>
      </c>
      <c r="AT89" s="34">
        <v>28680</v>
      </c>
      <c r="AU89" s="34">
        <v>1878540</v>
      </c>
      <c r="AV89" s="34">
        <v>3828780</v>
      </c>
      <c r="AW89" s="34"/>
      <c r="AX89" s="34">
        <v>1089840</v>
      </c>
      <c r="AY89" s="34">
        <v>3226500</v>
      </c>
      <c r="AZ89" s="34">
        <v>544920</v>
      </c>
      <c r="BA89" s="34">
        <v>258120</v>
      </c>
      <c r="BB89" s="34">
        <v>1075500</v>
      </c>
      <c r="BC89" s="35"/>
    </row>
    <row r="90" spans="1:55" x14ac:dyDescent="0.4">
      <c r="A90" s="20">
        <v>43683</v>
      </c>
      <c r="B90" s="21">
        <v>43683.458634259259</v>
      </c>
      <c r="C90" s="22" t="s">
        <v>73</v>
      </c>
      <c r="D90" s="23" t="s">
        <v>74</v>
      </c>
      <c r="E90" s="24">
        <v>28.48</v>
      </c>
      <c r="F90" s="25">
        <v>25</v>
      </c>
      <c r="G90" s="25">
        <v>31</v>
      </c>
      <c r="H90" s="25">
        <v>28.27</v>
      </c>
      <c r="I90" s="25">
        <v>28.27</v>
      </c>
      <c r="J90" s="26">
        <v>1387500</v>
      </c>
      <c r="K90" s="27">
        <v>4948500</v>
      </c>
      <c r="L90" s="28">
        <v>99</v>
      </c>
      <c r="M90" s="28">
        <v>19</v>
      </c>
      <c r="N90" s="29">
        <v>3.67</v>
      </c>
      <c r="O90" s="27">
        <v>49985</v>
      </c>
      <c r="P90" s="27">
        <v>183278</v>
      </c>
      <c r="Q90" s="27">
        <v>268276</v>
      </c>
      <c r="R90" s="27">
        <v>77083</v>
      </c>
      <c r="S90" s="27">
        <v>103651</v>
      </c>
      <c r="T90" s="30">
        <v>3.57</v>
      </c>
      <c r="U90" s="31">
        <v>27</v>
      </c>
      <c r="V90" s="28">
        <v>18</v>
      </c>
      <c r="W90" s="32">
        <v>39516000</v>
      </c>
      <c r="X90" s="23" t="s">
        <v>75</v>
      </c>
      <c r="Y90" s="33">
        <v>768960</v>
      </c>
      <c r="Z90" s="34">
        <v>1509440</v>
      </c>
      <c r="AA90" s="34">
        <v>1879680</v>
      </c>
      <c r="AB90" s="34">
        <v>128160</v>
      </c>
      <c r="AC90" s="34">
        <v>2677120</v>
      </c>
      <c r="AD90" s="34"/>
      <c r="AE90" s="34">
        <v>683520</v>
      </c>
      <c r="AF90" s="34">
        <v>598080</v>
      </c>
      <c r="AG90" s="34">
        <v>2150240</v>
      </c>
      <c r="AH90" s="34">
        <v>5254560</v>
      </c>
      <c r="AI90" s="34">
        <v>925600</v>
      </c>
      <c r="AJ90" s="34">
        <v>3047360</v>
      </c>
      <c r="AK90" s="34">
        <v>313280</v>
      </c>
      <c r="AL90" s="34">
        <v>968320</v>
      </c>
      <c r="AM90" s="34">
        <v>512640</v>
      </c>
      <c r="AN90" s="34">
        <v>185120</v>
      </c>
      <c r="AO90" s="34">
        <v>5411200</v>
      </c>
      <c r="AP90" s="34"/>
      <c r="AQ90" s="34">
        <v>384480</v>
      </c>
      <c r="AR90" s="34">
        <v>85440</v>
      </c>
      <c r="AS90" s="34">
        <v>185120</v>
      </c>
      <c r="AT90" s="34">
        <v>28480</v>
      </c>
      <c r="AU90" s="34">
        <v>1865440</v>
      </c>
      <c r="AV90" s="34">
        <v>3802080</v>
      </c>
      <c r="AW90" s="34"/>
      <c r="AX90" s="34">
        <v>1082240</v>
      </c>
      <c r="AY90" s="34">
        <v>3204000</v>
      </c>
      <c r="AZ90" s="34">
        <v>541120</v>
      </c>
      <c r="BA90" s="34">
        <v>256320</v>
      </c>
      <c r="BB90" s="34">
        <v>1068000</v>
      </c>
      <c r="BC90" s="35"/>
    </row>
    <row r="91" spans="1:55" x14ac:dyDescent="0.4">
      <c r="A91" s="20">
        <v>43682</v>
      </c>
      <c r="B91" s="21">
        <v>43682.458657407406</v>
      </c>
      <c r="C91" s="22" t="s">
        <v>73</v>
      </c>
      <c r="D91" s="23" t="s">
        <v>74</v>
      </c>
      <c r="E91" s="24">
        <v>28.82</v>
      </c>
      <c r="F91" s="25">
        <v>25</v>
      </c>
      <c r="G91" s="25">
        <v>31</v>
      </c>
      <c r="H91" s="25">
        <v>28.66</v>
      </c>
      <c r="I91" s="25">
        <v>28.69</v>
      </c>
      <c r="J91" s="26">
        <v>1387500</v>
      </c>
      <c r="K91" s="27">
        <v>3622500</v>
      </c>
      <c r="L91" s="28">
        <v>81</v>
      </c>
      <c r="M91" s="28">
        <v>21</v>
      </c>
      <c r="N91" s="29">
        <v>3.68</v>
      </c>
      <c r="O91" s="27">
        <v>44722</v>
      </c>
      <c r="P91" s="27">
        <v>164659</v>
      </c>
      <c r="Q91" s="27">
        <v>268299</v>
      </c>
      <c r="R91" s="27">
        <v>81618</v>
      </c>
      <c r="S91" s="27">
        <v>104082</v>
      </c>
      <c r="T91" s="30">
        <v>2.61</v>
      </c>
      <c r="U91" s="31">
        <v>22</v>
      </c>
      <c r="V91" s="28">
        <v>17</v>
      </c>
      <c r="W91" s="32">
        <v>39987750</v>
      </c>
      <c r="X91" s="23" t="s">
        <v>75</v>
      </c>
      <c r="Y91" s="33">
        <v>778140</v>
      </c>
      <c r="Z91" s="34">
        <v>1527460</v>
      </c>
      <c r="AA91" s="34">
        <v>1902120</v>
      </c>
      <c r="AB91" s="34">
        <v>129690</v>
      </c>
      <c r="AC91" s="34">
        <v>2709080</v>
      </c>
      <c r="AD91" s="34"/>
      <c r="AE91" s="34">
        <v>691680</v>
      </c>
      <c r="AF91" s="34">
        <v>605220</v>
      </c>
      <c r="AG91" s="34">
        <v>2175910</v>
      </c>
      <c r="AH91" s="34">
        <v>5317290</v>
      </c>
      <c r="AI91" s="34">
        <v>936650</v>
      </c>
      <c r="AJ91" s="34">
        <v>3083740</v>
      </c>
      <c r="AK91" s="34">
        <v>317020</v>
      </c>
      <c r="AL91" s="34">
        <v>979880</v>
      </c>
      <c r="AM91" s="34">
        <v>518760</v>
      </c>
      <c r="AN91" s="34">
        <v>187330</v>
      </c>
      <c r="AO91" s="34">
        <v>5475800</v>
      </c>
      <c r="AP91" s="34"/>
      <c r="AQ91" s="34">
        <v>389070</v>
      </c>
      <c r="AR91" s="34">
        <v>86460</v>
      </c>
      <c r="AS91" s="34">
        <v>187330</v>
      </c>
      <c r="AT91" s="34">
        <v>28820</v>
      </c>
      <c r="AU91" s="34">
        <v>1887710</v>
      </c>
      <c r="AV91" s="34">
        <v>3847470</v>
      </c>
      <c r="AW91" s="34"/>
      <c r="AX91" s="34">
        <v>1095160</v>
      </c>
      <c r="AY91" s="34">
        <v>3242250</v>
      </c>
      <c r="AZ91" s="34">
        <v>547580</v>
      </c>
      <c r="BA91" s="34">
        <v>259380</v>
      </c>
      <c r="BB91" s="34">
        <v>1080750</v>
      </c>
      <c r="BC91" s="35"/>
    </row>
    <row r="92" spans="1:55" x14ac:dyDescent="0.4">
      <c r="A92" s="20">
        <v>43679</v>
      </c>
      <c r="B92" s="21">
        <v>43679.458692129629</v>
      </c>
      <c r="C92" s="22" t="s">
        <v>76</v>
      </c>
      <c r="D92" s="23" t="s">
        <v>74</v>
      </c>
      <c r="E92" s="24">
        <v>29.1</v>
      </c>
      <c r="F92" s="25">
        <v>25</v>
      </c>
      <c r="G92" s="25">
        <v>30</v>
      </c>
      <c r="H92" s="25">
        <v>28.92</v>
      </c>
      <c r="I92" s="25">
        <v>29.02</v>
      </c>
      <c r="J92" s="26">
        <v>1604500</v>
      </c>
      <c r="K92" s="27">
        <v>4604000</v>
      </c>
      <c r="L92" s="28">
        <v>81</v>
      </c>
      <c r="M92" s="28">
        <v>27</v>
      </c>
      <c r="N92" s="29">
        <v>3.38</v>
      </c>
      <c r="O92" s="27">
        <v>56840</v>
      </c>
      <c r="P92" s="27">
        <v>191833</v>
      </c>
      <c r="Q92" s="27">
        <v>347727</v>
      </c>
      <c r="R92" s="27">
        <v>100281</v>
      </c>
      <c r="S92" s="27">
        <v>165871</v>
      </c>
      <c r="T92" s="30">
        <v>2.87</v>
      </c>
      <c r="U92" s="31">
        <v>24</v>
      </c>
      <c r="V92" s="28">
        <v>16</v>
      </c>
      <c r="W92" s="32">
        <v>46690950</v>
      </c>
      <c r="X92" s="23" t="s">
        <v>77</v>
      </c>
      <c r="Y92" s="33"/>
      <c r="Z92" s="34"/>
      <c r="AA92" s="34"/>
      <c r="AB92" s="34"/>
      <c r="AC92" s="34"/>
      <c r="AD92" s="34">
        <v>46690950</v>
      </c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5"/>
    </row>
    <row r="93" spans="1:55" x14ac:dyDescent="0.4">
      <c r="A93" s="20">
        <v>43678</v>
      </c>
      <c r="B93" s="21">
        <v>43678.458761574075</v>
      </c>
      <c r="C93" s="22" t="s">
        <v>73</v>
      </c>
      <c r="D93" s="23" t="s">
        <v>74</v>
      </c>
      <c r="E93" s="24">
        <v>28.9</v>
      </c>
      <c r="F93" s="25">
        <v>25</v>
      </c>
      <c r="G93" s="25">
        <v>31</v>
      </c>
      <c r="H93" s="25">
        <v>28.61</v>
      </c>
      <c r="I93" s="25">
        <v>28.69</v>
      </c>
      <c r="J93" s="26">
        <v>1387500</v>
      </c>
      <c r="K93" s="27">
        <v>4658500</v>
      </c>
      <c r="L93" s="28">
        <v>92</v>
      </c>
      <c r="M93" s="28">
        <v>19</v>
      </c>
      <c r="N93" s="29">
        <v>3.17</v>
      </c>
      <c r="O93" s="27">
        <v>50636</v>
      </c>
      <c r="P93" s="27">
        <v>160638</v>
      </c>
      <c r="Q93" s="27">
        <v>239441</v>
      </c>
      <c r="R93" s="27">
        <v>81618</v>
      </c>
      <c r="S93" s="27">
        <v>81974</v>
      </c>
      <c r="T93" s="30">
        <v>3.36</v>
      </c>
      <c r="U93" s="31">
        <v>29</v>
      </c>
      <c r="V93" s="28">
        <v>17</v>
      </c>
      <c r="W93" s="32">
        <v>40098750</v>
      </c>
      <c r="X93" s="23" t="s">
        <v>75</v>
      </c>
      <c r="Y93" s="33">
        <v>780300</v>
      </c>
      <c r="Z93" s="34">
        <v>1531700</v>
      </c>
      <c r="AA93" s="34">
        <v>1907400</v>
      </c>
      <c r="AB93" s="34">
        <v>130050</v>
      </c>
      <c r="AC93" s="34">
        <v>2716600</v>
      </c>
      <c r="AD93" s="34"/>
      <c r="AE93" s="34">
        <v>693600</v>
      </c>
      <c r="AF93" s="34">
        <v>606900</v>
      </c>
      <c r="AG93" s="34">
        <v>2181950</v>
      </c>
      <c r="AH93" s="34">
        <v>5332050</v>
      </c>
      <c r="AI93" s="34">
        <v>939250</v>
      </c>
      <c r="AJ93" s="34">
        <v>3092300</v>
      </c>
      <c r="AK93" s="34">
        <v>317900</v>
      </c>
      <c r="AL93" s="34">
        <v>982600</v>
      </c>
      <c r="AM93" s="34">
        <v>520200</v>
      </c>
      <c r="AN93" s="34">
        <v>187850</v>
      </c>
      <c r="AO93" s="34">
        <v>5491000</v>
      </c>
      <c r="AP93" s="34"/>
      <c r="AQ93" s="34">
        <v>390150</v>
      </c>
      <c r="AR93" s="34">
        <v>86700</v>
      </c>
      <c r="AS93" s="34">
        <v>187850</v>
      </c>
      <c r="AT93" s="34">
        <v>28900</v>
      </c>
      <c r="AU93" s="34">
        <v>1892950</v>
      </c>
      <c r="AV93" s="34">
        <v>3858150</v>
      </c>
      <c r="AW93" s="34"/>
      <c r="AX93" s="34">
        <v>1098200</v>
      </c>
      <c r="AY93" s="34">
        <v>3251250</v>
      </c>
      <c r="AZ93" s="34">
        <v>549100</v>
      </c>
      <c r="BA93" s="34">
        <v>260100</v>
      </c>
      <c r="BB93" s="34">
        <v>1083750</v>
      </c>
      <c r="BC93" s="35"/>
    </row>
    <row r="94" spans="1:55" x14ac:dyDescent="0.4">
      <c r="A94" s="20">
        <v>43677</v>
      </c>
      <c r="B94" s="21">
        <v>43677.458784722221</v>
      </c>
      <c r="C94" s="22" t="s">
        <v>78</v>
      </c>
      <c r="D94" s="23" t="s">
        <v>74</v>
      </c>
      <c r="E94" s="24">
        <v>28.04</v>
      </c>
      <c r="F94" s="25">
        <v>25</v>
      </c>
      <c r="G94" s="25">
        <v>30</v>
      </c>
      <c r="H94" s="25">
        <v>27.99</v>
      </c>
      <c r="I94" s="25">
        <v>27.97</v>
      </c>
      <c r="J94" s="26">
        <v>4428500</v>
      </c>
      <c r="K94" s="27">
        <v>8722500</v>
      </c>
      <c r="L94" s="28">
        <v>97</v>
      </c>
      <c r="M94" s="28">
        <v>36</v>
      </c>
      <c r="N94" s="29">
        <v>4.22</v>
      </c>
      <c r="O94" s="27">
        <v>89923</v>
      </c>
      <c r="P94" s="27">
        <v>379239</v>
      </c>
      <c r="Q94" s="27">
        <v>705591</v>
      </c>
      <c r="R94" s="27">
        <v>260500</v>
      </c>
      <c r="S94" s="27">
        <v>486903</v>
      </c>
      <c r="T94" s="30">
        <v>1.97</v>
      </c>
      <c r="U94" s="31">
        <v>23</v>
      </c>
      <c r="V94" s="28">
        <v>17</v>
      </c>
      <c r="W94" s="32">
        <v>124175140</v>
      </c>
      <c r="X94" s="23" t="s">
        <v>79</v>
      </c>
      <c r="Y94" s="33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>
        <v>124175140</v>
      </c>
      <c r="AX94" s="34"/>
      <c r="AY94" s="34"/>
      <c r="AZ94" s="34"/>
      <c r="BA94" s="34"/>
      <c r="BB94" s="34"/>
      <c r="BC94" s="35"/>
    </row>
    <row r="95" spans="1:55" x14ac:dyDescent="0.4">
      <c r="A95" s="20">
        <v>43676</v>
      </c>
      <c r="B95" s="21">
        <v>43676.458553240744</v>
      </c>
      <c r="C95" s="22" t="s">
        <v>73</v>
      </c>
      <c r="D95" s="23" t="s">
        <v>74</v>
      </c>
      <c r="E95" s="24">
        <v>28.18</v>
      </c>
      <c r="F95" s="25">
        <v>22.86</v>
      </c>
      <c r="G95" s="25">
        <v>30</v>
      </c>
      <c r="H95" s="25">
        <v>28.02</v>
      </c>
      <c r="I95" s="25">
        <v>28.1</v>
      </c>
      <c r="J95" s="26">
        <v>2775000</v>
      </c>
      <c r="K95" s="27">
        <v>5881500</v>
      </c>
      <c r="L95" s="28">
        <v>94</v>
      </c>
      <c r="M95" s="28">
        <v>31</v>
      </c>
      <c r="N95" s="29">
        <v>3.76</v>
      </c>
      <c r="O95" s="27">
        <v>62569</v>
      </c>
      <c r="P95" s="27">
        <v>235260</v>
      </c>
      <c r="Q95" s="27">
        <v>415833</v>
      </c>
      <c r="R95" s="27">
        <v>163235</v>
      </c>
      <c r="S95" s="27">
        <v>208979</v>
      </c>
      <c r="T95" s="30">
        <v>2.12</v>
      </c>
      <c r="U95" s="31">
        <v>25</v>
      </c>
      <c r="V95" s="28">
        <v>17</v>
      </c>
      <c r="W95" s="32">
        <v>78199500</v>
      </c>
      <c r="X95" s="23" t="s">
        <v>75</v>
      </c>
      <c r="Y95" s="33">
        <v>1521720</v>
      </c>
      <c r="Z95" s="34">
        <v>2987080</v>
      </c>
      <c r="AA95" s="34">
        <v>3719760</v>
      </c>
      <c r="AB95" s="34">
        <v>197260</v>
      </c>
      <c r="AC95" s="34">
        <v>5326020</v>
      </c>
      <c r="AD95" s="34"/>
      <c r="AE95" s="34">
        <v>1366730</v>
      </c>
      <c r="AF95" s="34">
        <v>1197650</v>
      </c>
      <c r="AG95" s="34">
        <v>4269270</v>
      </c>
      <c r="AH95" s="34">
        <v>10384330</v>
      </c>
      <c r="AI95" s="34">
        <v>1831700</v>
      </c>
      <c r="AJ95" s="34">
        <v>6030520</v>
      </c>
      <c r="AK95" s="34">
        <v>605870</v>
      </c>
      <c r="AL95" s="34">
        <v>1916240</v>
      </c>
      <c r="AM95" s="34">
        <v>1028570</v>
      </c>
      <c r="AN95" s="34">
        <v>366340</v>
      </c>
      <c r="AO95" s="34">
        <v>10764760</v>
      </c>
      <c r="AP95" s="34">
        <v>0</v>
      </c>
      <c r="AQ95" s="34">
        <v>704500</v>
      </c>
      <c r="AR95" s="34">
        <v>140900</v>
      </c>
      <c r="AS95" s="34">
        <v>352250</v>
      </c>
      <c r="AT95" s="34">
        <v>126810</v>
      </c>
      <c r="AU95" s="34">
        <v>3691580</v>
      </c>
      <c r="AV95" s="34">
        <v>7524060</v>
      </c>
      <c r="AW95" s="34"/>
      <c r="AX95" s="34">
        <v>2141680</v>
      </c>
      <c r="AY95" s="34">
        <v>6340500</v>
      </c>
      <c r="AZ95" s="34">
        <v>1042660</v>
      </c>
      <c r="BA95" s="34">
        <v>549510</v>
      </c>
      <c r="BB95" s="34">
        <v>2071230</v>
      </c>
      <c r="BC95" s="35"/>
    </row>
    <row r="96" spans="1:55" x14ac:dyDescent="0.4">
      <c r="A96" s="20">
        <v>43675</v>
      </c>
      <c r="B96" s="21">
        <v>43675.458680555559</v>
      </c>
      <c r="C96" s="22" t="s">
        <v>73</v>
      </c>
      <c r="D96" s="23" t="s">
        <v>74</v>
      </c>
      <c r="E96" s="24">
        <v>28.8</v>
      </c>
      <c r="F96" s="25">
        <v>22.96</v>
      </c>
      <c r="G96" s="25">
        <v>31.01</v>
      </c>
      <c r="H96" s="25">
        <v>28.65</v>
      </c>
      <c r="I96" s="25">
        <v>28.71</v>
      </c>
      <c r="J96" s="26">
        <v>2775000</v>
      </c>
      <c r="K96" s="27">
        <v>5290000</v>
      </c>
      <c r="L96" s="28">
        <v>89</v>
      </c>
      <c r="M96" s="28">
        <v>30</v>
      </c>
      <c r="N96" s="29">
        <v>3.3</v>
      </c>
      <c r="O96" s="27">
        <v>59438</v>
      </c>
      <c r="P96" s="27">
        <v>195926</v>
      </c>
      <c r="Q96" s="27">
        <v>273731</v>
      </c>
      <c r="R96" s="27">
        <v>138750</v>
      </c>
      <c r="S96" s="27">
        <v>193114</v>
      </c>
      <c r="T96" s="30">
        <v>1.91</v>
      </c>
      <c r="U96" s="31">
        <v>27</v>
      </c>
      <c r="V96" s="28">
        <v>20</v>
      </c>
      <c r="W96" s="32">
        <v>79920000</v>
      </c>
      <c r="X96" s="23" t="s">
        <v>75</v>
      </c>
      <c r="Y96" s="33">
        <v>1555200</v>
      </c>
      <c r="Z96" s="34">
        <v>3052800</v>
      </c>
      <c r="AA96" s="34">
        <v>3801600</v>
      </c>
      <c r="AB96" s="34">
        <v>201600</v>
      </c>
      <c r="AC96" s="34">
        <v>5443200</v>
      </c>
      <c r="AD96" s="34"/>
      <c r="AE96" s="34">
        <v>1396800</v>
      </c>
      <c r="AF96" s="34">
        <v>1224000</v>
      </c>
      <c r="AG96" s="34">
        <v>4363200</v>
      </c>
      <c r="AH96" s="34">
        <v>10612800</v>
      </c>
      <c r="AI96" s="34">
        <v>1872000</v>
      </c>
      <c r="AJ96" s="34">
        <v>6163200</v>
      </c>
      <c r="AK96" s="34">
        <v>619200</v>
      </c>
      <c r="AL96" s="34">
        <v>1958400</v>
      </c>
      <c r="AM96" s="34">
        <v>1051200</v>
      </c>
      <c r="AN96" s="34">
        <v>374400</v>
      </c>
      <c r="AO96" s="34">
        <v>11001600</v>
      </c>
      <c r="AP96" s="34">
        <v>0</v>
      </c>
      <c r="AQ96" s="34">
        <v>720000</v>
      </c>
      <c r="AR96" s="34">
        <v>144000</v>
      </c>
      <c r="AS96" s="34">
        <v>360000</v>
      </c>
      <c r="AT96" s="34">
        <v>129600</v>
      </c>
      <c r="AU96" s="34">
        <v>3772800</v>
      </c>
      <c r="AV96" s="34">
        <v>7689600</v>
      </c>
      <c r="AW96" s="34"/>
      <c r="AX96" s="34">
        <v>2188800</v>
      </c>
      <c r="AY96" s="34">
        <v>6480000</v>
      </c>
      <c r="AZ96" s="34">
        <v>1065600</v>
      </c>
      <c r="BA96" s="34">
        <v>561600</v>
      </c>
      <c r="BB96" s="34">
        <v>2116800</v>
      </c>
      <c r="BC96" s="35"/>
    </row>
    <row r="97" spans="1:55" x14ac:dyDescent="0.4">
      <c r="A97" s="20">
        <v>43672</v>
      </c>
      <c r="B97" s="21">
        <v>43672.458622685182</v>
      </c>
      <c r="C97" s="22" t="s">
        <v>76</v>
      </c>
      <c r="D97" s="23" t="s">
        <v>74</v>
      </c>
      <c r="E97" s="24">
        <v>28.51</v>
      </c>
      <c r="F97" s="25">
        <v>23.02</v>
      </c>
      <c r="G97" s="25">
        <v>30</v>
      </c>
      <c r="H97" s="25">
        <v>28.24</v>
      </c>
      <c r="I97" s="25">
        <v>28.44</v>
      </c>
      <c r="J97" s="26">
        <v>3209000</v>
      </c>
      <c r="K97" s="27">
        <v>5547000</v>
      </c>
      <c r="L97" s="28">
        <v>87</v>
      </c>
      <c r="M97" s="28">
        <v>30</v>
      </c>
      <c r="N97" s="29">
        <v>3.78</v>
      </c>
      <c r="O97" s="27">
        <v>63759</v>
      </c>
      <c r="P97" s="27">
        <v>241174</v>
      </c>
      <c r="Q97" s="27">
        <v>402616</v>
      </c>
      <c r="R97" s="27">
        <v>178278</v>
      </c>
      <c r="S97" s="27">
        <v>283976</v>
      </c>
      <c r="T97" s="30">
        <v>1.73</v>
      </c>
      <c r="U97" s="31">
        <v>23</v>
      </c>
      <c r="V97" s="28">
        <v>18</v>
      </c>
      <c r="W97" s="32">
        <v>91488590</v>
      </c>
      <c r="X97" s="23" t="s">
        <v>77</v>
      </c>
      <c r="Y97" s="33"/>
      <c r="Z97" s="34"/>
      <c r="AA97" s="34"/>
      <c r="AB97" s="34"/>
      <c r="AC97" s="34"/>
      <c r="AD97" s="34">
        <v>91488590</v>
      </c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5"/>
    </row>
    <row r="98" spans="1:55" x14ac:dyDescent="0.4">
      <c r="A98" s="20">
        <v>43671</v>
      </c>
      <c r="B98" s="21">
        <v>43671.458761574075</v>
      </c>
      <c r="C98" s="22" t="s">
        <v>73</v>
      </c>
      <c r="D98" s="23" t="s">
        <v>74</v>
      </c>
      <c r="E98" s="24">
        <v>29.46</v>
      </c>
      <c r="F98" s="25">
        <v>23.04</v>
      </c>
      <c r="G98" s="25">
        <v>30.5</v>
      </c>
      <c r="H98" s="25">
        <v>29.1</v>
      </c>
      <c r="I98" s="25">
        <v>29.42</v>
      </c>
      <c r="J98" s="26">
        <v>2775000</v>
      </c>
      <c r="K98" s="27">
        <v>6613000</v>
      </c>
      <c r="L98" s="28">
        <v>83</v>
      </c>
      <c r="M98" s="28">
        <v>38</v>
      </c>
      <c r="N98" s="29">
        <v>3.46</v>
      </c>
      <c r="O98" s="27">
        <v>79675</v>
      </c>
      <c r="P98" s="27">
        <v>275542</v>
      </c>
      <c r="Q98" s="27">
        <v>551358</v>
      </c>
      <c r="R98" s="27">
        <v>154167</v>
      </c>
      <c r="S98" s="27">
        <v>316524</v>
      </c>
      <c r="T98" s="30">
        <v>2.38</v>
      </c>
      <c r="U98" s="31">
        <v>24</v>
      </c>
      <c r="V98" s="28">
        <v>18</v>
      </c>
      <c r="W98" s="32">
        <v>81751500</v>
      </c>
      <c r="X98" s="23" t="s">
        <v>75</v>
      </c>
      <c r="Y98" s="33">
        <v>1590840</v>
      </c>
      <c r="Z98" s="34">
        <v>3122760</v>
      </c>
      <c r="AA98" s="34">
        <v>3888720</v>
      </c>
      <c r="AB98" s="34">
        <v>206220</v>
      </c>
      <c r="AC98" s="34">
        <v>5567940</v>
      </c>
      <c r="AD98" s="34"/>
      <c r="AE98" s="34">
        <v>1428810</v>
      </c>
      <c r="AF98" s="34">
        <v>1252050</v>
      </c>
      <c r="AG98" s="34">
        <v>4463190</v>
      </c>
      <c r="AH98" s="34">
        <v>10856010</v>
      </c>
      <c r="AI98" s="34">
        <v>1914900</v>
      </c>
      <c r="AJ98" s="34">
        <v>6304440</v>
      </c>
      <c r="AK98" s="34">
        <v>633390</v>
      </c>
      <c r="AL98" s="34">
        <v>2003280</v>
      </c>
      <c r="AM98" s="34">
        <v>1075290</v>
      </c>
      <c r="AN98" s="34">
        <v>382980</v>
      </c>
      <c r="AO98" s="34">
        <v>11253720</v>
      </c>
      <c r="AP98" s="34">
        <v>0</v>
      </c>
      <c r="AQ98" s="34">
        <v>736500</v>
      </c>
      <c r="AR98" s="34">
        <v>147300</v>
      </c>
      <c r="AS98" s="34">
        <v>368250</v>
      </c>
      <c r="AT98" s="34">
        <v>132570</v>
      </c>
      <c r="AU98" s="34">
        <v>3859260</v>
      </c>
      <c r="AV98" s="34">
        <v>7865820</v>
      </c>
      <c r="AW98" s="34"/>
      <c r="AX98" s="34">
        <v>2238960</v>
      </c>
      <c r="AY98" s="34">
        <v>6628500</v>
      </c>
      <c r="AZ98" s="34">
        <v>1090020</v>
      </c>
      <c r="BA98" s="34">
        <v>574470</v>
      </c>
      <c r="BB98" s="34">
        <v>2165310</v>
      </c>
      <c r="BC98" s="35"/>
    </row>
    <row r="99" spans="1:55" x14ac:dyDescent="0.4">
      <c r="A99" s="20">
        <v>43669</v>
      </c>
      <c r="B99" s="21">
        <v>43669.458761574075</v>
      </c>
      <c r="C99" s="22" t="s">
        <v>73</v>
      </c>
      <c r="D99" s="23" t="s">
        <v>74</v>
      </c>
      <c r="E99" s="24">
        <v>29.05</v>
      </c>
      <c r="F99" s="25">
        <v>23.1</v>
      </c>
      <c r="G99" s="25">
        <v>32</v>
      </c>
      <c r="H99" s="25">
        <v>28.71</v>
      </c>
      <c r="I99" s="25">
        <v>28.89</v>
      </c>
      <c r="J99" s="26">
        <v>2775000</v>
      </c>
      <c r="K99" s="27">
        <v>7307000</v>
      </c>
      <c r="L99" s="28">
        <v>90</v>
      </c>
      <c r="M99" s="28">
        <v>23</v>
      </c>
      <c r="N99" s="29">
        <v>3.21</v>
      </c>
      <c r="O99" s="27">
        <v>81189</v>
      </c>
      <c r="P99" s="27">
        <v>260964</v>
      </c>
      <c r="Q99" s="27">
        <v>445168</v>
      </c>
      <c r="R99" s="27">
        <v>185000</v>
      </c>
      <c r="S99" s="27">
        <v>252682</v>
      </c>
      <c r="T99" s="30">
        <v>2.63</v>
      </c>
      <c r="U99" s="31">
        <v>28</v>
      </c>
      <c r="V99" s="28">
        <v>15</v>
      </c>
      <c r="W99" s="32">
        <v>80613750</v>
      </c>
      <c r="X99" s="23" t="s">
        <v>75</v>
      </c>
      <c r="Y99" s="33">
        <v>1568700</v>
      </c>
      <c r="Z99" s="34">
        <v>3079300</v>
      </c>
      <c r="AA99" s="34">
        <v>3834600</v>
      </c>
      <c r="AB99" s="34">
        <v>203350</v>
      </c>
      <c r="AC99" s="34">
        <v>5490450</v>
      </c>
      <c r="AD99" s="34"/>
      <c r="AE99" s="34">
        <v>1408925</v>
      </c>
      <c r="AF99" s="34">
        <v>1234625</v>
      </c>
      <c r="AG99" s="34">
        <v>4401075</v>
      </c>
      <c r="AH99" s="34">
        <v>10704925</v>
      </c>
      <c r="AI99" s="34">
        <v>1888250</v>
      </c>
      <c r="AJ99" s="34">
        <v>6216700</v>
      </c>
      <c r="AK99" s="34">
        <v>624575</v>
      </c>
      <c r="AL99" s="34">
        <v>1975400</v>
      </c>
      <c r="AM99" s="34">
        <v>1060325</v>
      </c>
      <c r="AN99" s="34">
        <v>377650</v>
      </c>
      <c r="AO99" s="34">
        <v>11097100</v>
      </c>
      <c r="AP99" s="34">
        <v>0</v>
      </c>
      <c r="AQ99" s="34">
        <v>726250</v>
      </c>
      <c r="AR99" s="34">
        <v>145250</v>
      </c>
      <c r="AS99" s="34">
        <v>363125</v>
      </c>
      <c r="AT99" s="34">
        <v>130725</v>
      </c>
      <c r="AU99" s="34">
        <v>3805550</v>
      </c>
      <c r="AV99" s="34">
        <v>7756350</v>
      </c>
      <c r="AW99" s="34"/>
      <c r="AX99" s="34">
        <v>2207800</v>
      </c>
      <c r="AY99" s="34">
        <v>6536250</v>
      </c>
      <c r="AZ99" s="34">
        <v>1074850</v>
      </c>
      <c r="BA99" s="34">
        <v>566475</v>
      </c>
      <c r="BB99" s="34">
        <v>2135175</v>
      </c>
      <c r="BC99" s="35"/>
    </row>
    <row r="100" spans="1:55" x14ac:dyDescent="0.4">
      <c r="A100" s="20">
        <v>43668</v>
      </c>
      <c r="B100" s="21">
        <v>43668.458541666667</v>
      </c>
      <c r="C100" s="22" t="s">
        <v>73</v>
      </c>
      <c r="D100" s="23" t="s">
        <v>74</v>
      </c>
      <c r="E100" s="24">
        <v>28.96</v>
      </c>
      <c r="F100" s="25">
        <v>24</v>
      </c>
      <c r="G100" s="25">
        <v>35</v>
      </c>
      <c r="H100" s="25">
        <v>28.98</v>
      </c>
      <c r="I100" s="25">
        <v>29.02</v>
      </c>
      <c r="J100" s="26">
        <v>2775000</v>
      </c>
      <c r="K100" s="27">
        <v>3675500</v>
      </c>
      <c r="L100" s="28">
        <v>61</v>
      </c>
      <c r="M100" s="28">
        <v>41</v>
      </c>
      <c r="N100" s="29">
        <v>3.05</v>
      </c>
      <c r="O100" s="27">
        <v>60254</v>
      </c>
      <c r="P100" s="27">
        <v>183775</v>
      </c>
      <c r="Q100" s="27">
        <v>277491</v>
      </c>
      <c r="R100" s="27">
        <v>138750</v>
      </c>
      <c r="S100" s="27">
        <v>210273</v>
      </c>
      <c r="T100" s="30">
        <v>1.32</v>
      </c>
      <c r="U100" s="31">
        <v>20</v>
      </c>
      <c r="V100" s="28">
        <v>20</v>
      </c>
      <c r="W100" s="32">
        <v>80364000</v>
      </c>
      <c r="X100" s="23" t="s">
        <v>75</v>
      </c>
      <c r="Y100" s="33">
        <v>1563840</v>
      </c>
      <c r="Z100" s="34">
        <v>3069760</v>
      </c>
      <c r="AA100" s="34">
        <v>3822720</v>
      </c>
      <c r="AB100" s="34">
        <v>202720</v>
      </c>
      <c r="AC100" s="34">
        <v>5473440</v>
      </c>
      <c r="AD100" s="34"/>
      <c r="AE100" s="34">
        <v>1404560</v>
      </c>
      <c r="AF100" s="34">
        <v>1230800</v>
      </c>
      <c r="AG100" s="34">
        <v>4387440</v>
      </c>
      <c r="AH100" s="34">
        <v>10671760</v>
      </c>
      <c r="AI100" s="34">
        <v>1882400</v>
      </c>
      <c r="AJ100" s="34">
        <v>6197440</v>
      </c>
      <c r="AK100" s="34">
        <v>622640</v>
      </c>
      <c r="AL100" s="34">
        <v>1969280</v>
      </c>
      <c r="AM100" s="34">
        <v>1057040</v>
      </c>
      <c r="AN100" s="34">
        <v>376480</v>
      </c>
      <c r="AO100" s="34">
        <v>11062720</v>
      </c>
      <c r="AP100" s="34">
        <v>0</v>
      </c>
      <c r="AQ100" s="34">
        <v>724000</v>
      </c>
      <c r="AR100" s="34">
        <v>144800</v>
      </c>
      <c r="AS100" s="34">
        <v>362000</v>
      </c>
      <c r="AT100" s="34">
        <v>130320</v>
      </c>
      <c r="AU100" s="34">
        <v>3793760</v>
      </c>
      <c r="AV100" s="34">
        <v>7732320</v>
      </c>
      <c r="AW100" s="34"/>
      <c r="AX100" s="34">
        <v>2200960</v>
      </c>
      <c r="AY100" s="34">
        <v>6516000</v>
      </c>
      <c r="AZ100" s="34">
        <v>1071520</v>
      </c>
      <c r="BA100" s="34">
        <v>564720</v>
      </c>
      <c r="BB100" s="34">
        <v>2128560</v>
      </c>
      <c r="BC100" s="35"/>
    </row>
    <row r="101" spans="1:55" x14ac:dyDescent="0.4">
      <c r="A101" s="20">
        <v>43665</v>
      </c>
      <c r="B101" s="21">
        <v>43665.458749999998</v>
      </c>
      <c r="C101" s="22" t="s">
        <v>76</v>
      </c>
      <c r="D101" s="23" t="s">
        <v>74</v>
      </c>
      <c r="E101" s="24">
        <v>28.15</v>
      </c>
      <c r="F101" s="25">
        <v>23.04</v>
      </c>
      <c r="G101" s="25">
        <v>32</v>
      </c>
      <c r="H101" s="25">
        <v>27.93</v>
      </c>
      <c r="I101" s="25">
        <v>28</v>
      </c>
      <c r="J101" s="26">
        <v>3209000</v>
      </c>
      <c r="K101" s="27">
        <v>6461000</v>
      </c>
      <c r="L101" s="28">
        <v>92</v>
      </c>
      <c r="M101" s="28">
        <v>23</v>
      </c>
      <c r="N101" s="29">
        <v>3.68</v>
      </c>
      <c r="O101" s="27">
        <v>70228</v>
      </c>
      <c r="P101" s="27">
        <v>258440</v>
      </c>
      <c r="Q101" s="27">
        <v>408798</v>
      </c>
      <c r="R101" s="27">
        <v>200563</v>
      </c>
      <c r="S101" s="27">
        <v>329157</v>
      </c>
      <c r="T101" s="30">
        <v>2.0099999999999998</v>
      </c>
      <c r="U101" s="31">
        <v>25</v>
      </c>
      <c r="V101" s="28">
        <v>16</v>
      </c>
      <c r="W101" s="32">
        <v>90333350</v>
      </c>
      <c r="X101" s="23" t="s">
        <v>77</v>
      </c>
      <c r="Y101" s="33"/>
      <c r="Z101" s="34"/>
      <c r="AA101" s="34"/>
      <c r="AB101" s="34"/>
      <c r="AC101" s="34"/>
      <c r="AD101" s="34">
        <v>90333350</v>
      </c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5"/>
    </row>
    <row r="102" spans="1:55" x14ac:dyDescent="0.4">
      <c r="A102" s="20">
        <v>43664</v>
      </c>
      <c r="B102" s="21">
        <v>43664.458553240744</v>
      </c>
      <c r="C102" s="22" t="s">
        <v>73</v>
      </c>
      <c r="D102" s="23" t="s">
        <v>74</v>
      </c>
      <c r="E102" s="24">
        <v>27.99</v>
      </c>
      <c r="F102" s="25">
        <v>23.02</v>
      </c>
      <c r="G102" s="25">
        <v>30</v>
      </c>
      <c r="H102" s="25">
        <v>27.88</v>
      </c>
      <c r="I102" s="25">
        <v>27.96</v>
      </c>
      <c r="J102" s="26">
        <v>2775000</v>
      </c>
      <c r="K102" s="27">
        <v>4471500</v>
      </c>
      <c r="L102" s="28">
        <v>79</v>
      </c>
      <c r="M102" s="28">
        <v>32</v>
      </c>
      <c r="N102" s="29">
        <v>3.16</v>
      </c>
      <c r="O102" s="27">
        <v>56601</v>
      </c>
      <c r="P102" s="27">
        <v>178860</v>
      </c>
      <c r="Q102" s="27">
        <v>291922</v>
      </c>
      <c r="R102" s="27">
        <v>138750</v>
      </c>
      <c r="S102" s="27">
        <v>232974</v>
      </c>
      <c r="T102" s="30">
        <v>1.61</v>
      </c>
      <c r="U102" s="31">
        <v>25</v>
      </c>
      <c r="V102" s="28">
        <v>20</v>
      </c>
      <c r="W102" s="32">
        <v>77672250</v>
      </c>
      <c r="X102" s="23" t="s">
        <v>75</v>
      </c>
      <c r="Y102" s="33">
        <v>1511460</v>
      </c>
      <c r="Z102" s="34">
        <v>2966940</v>
      </c>
      <c r="AA102" s="34">
        <v>3694680</v>
      </c>
      <c r="AB102" s="34">
        <v>195930</v>
      </c>
      <c r="AC102" s="34">
        <v>5290110</v>
      </c>
      <c r="AD102" s="34"/>
      <c r="AE102" s="34">
        <v>1357515</v>
      </c>
      <c r="AF102" s="34">
        <v>1189575</v>
      </c>
      <c r="AG102" s="34">
        <v>4240485</v>
      </c>
      <c r="AH102" s="34">
        <v>10314315</v>
      </c>
      <c r="AI102" s="34">
        <v>1819350</v>
      </c>
      <c r="AJ102" s="34">
        <v>5989860</v>
      </c>
      <c r="AK102" s="34">
        <v>601785</v>
      </c>
      <c r="AL102" s="34">
        <v>1903320</v>
      </c>
      <c r="AM102" s="34">
        <v>1021635</v>
      </c>
      <c r="AN102" s="34">
        <v>363870</v>
      </c>
      <c r="AO102" s="34">
        <v>10692180</v>
      </c>
      <c r="AP102" s="34">
        <v>0</v>
      </c>
      <c r="AQ102" s="34">
        <v>699750</v>
      </c>
      <c r="AR102" s="34">
        <v>139950</v>
      </c>
      <c r="AS102" s="34">
        <v>349875</v>
      </c>
      <c r="AT102" s="34">
        <v>125955</v>
      </c>
      <c r="AU102" s="34">
        <v>3666690</v>
      </c>
      <c r="AV102" s="34">
        <v>7473330</v>
      </c>
      <c r="AW102" s="34"/>
      <c r="AX102" s="34">
        <v>2127240</v>
      </c>
      <c r="AY102" s="34">
        <v>6297750</v>
      </c>
      <c r="AZ102" s="34">
        <v>1035630</v>
      </c>
      <c r="BA102" s="34">
        <v>545805</v>
      </c>
      <c r="BB102" s="34">
        <v>2057265</v>
      </c>
      <c r="BC102" s="35"/>
    </row>
    <row r="103" spans="1:55" x14ac:dyDescent="0.4">
      <c r="A103" s="20">
        <v>43663</v>
      </c>
      <c r="B103" s="21">
        <v>43663.625405092593</v>
      </c>
      <c r="C103" s="22" t="s">
        <v>80</v>
      </c>
      <c r="D103" s="23" t="s">
        <v>81</v>
      </c>
      <c r="E103" s="24">
        <v>28.37</v>
      </c>
      <c r="F103" s="25">
        <v>28.14</v>
      </c>
      <c r="G103" s="25">
        <v>28.8</v>
      </c>
      <c r="H103" s="25">
        <v>28.41</v>
      </c>
      <c r="I103" s="25">
        <v>28.4</v>
      </c>
      <c r="J103" s="26">
        <v>892000</v>
      </c>
      <c r="K103" s="27">
        <v>1512000</v>
      </c>
      <c r="L103" s="28">
        <v>24</v>
      </c>
      <c r="M103" s="28">
        <v>14</v>
      </c>
      <c r="N103" s="29">
        <v>3.43</v>
      </c>
      <c r="O103" s="27">
        <v>63000</v>
      </c>
      <c r="P103" s="27">
        <v>216000</v>
      </c>
      <c r="Q103" s="27">
        <v>141690</v>
      </c>
      <c r="R103" s="27">
        <v>148667</v>
      </c>
      <c r="S103" s="27">
        <v>78754</v>
      </c>
      <c r="T103" s="30">
        <v>1.7</v>
      </c>
      <c r="U103" s="31">
        <v>7</v>
      </c>
      <c r="V103" s="28">
        <v>6</v>
      </c>
      <c r="W103" s="32">
        <v>25306040</v>
      </c>
      <c r="X103" s="23" t="s">
        <v>75</v>
      </c>
      <c r="Y103" s="33">
        <v>539030</v>
      </c>
      <c r="Z103" s="34">
        <v>624140</v>
      </c>
      <c r="AA103" s="34">
        <v>212775</v>
      </c>
      <c r="AB103" s="34">
        <v>326255</v>
      </c>
      <c r="AC103" s="34">
        <v>269515</v>
      </c>
      <c r="AD103" s="34"/>
      <c r="AE103" s="34">
        <v>624140</v>
      </c>
      <c r="AF103" s="34">
        <v>42555</v>
      </c>
      <c r="AG103" s="34">
        <v>1148985</v>
      </c>
      <c r="AH103" s="34">
        <v>3744840</v>
      </c>
      <c r="AI103" s="34">
        <v>482290</v>
      </c>
      <c r="AJ103" s="34">
        <v>2794445</v>
      </c>
      <c r="AK103" s="34">
        <v>141850</v>
      </c>
      <c r="AL103" s="34">
        <v>226960</v>
      </c>
      <c r="AM103" s="34">
        <v>496475</v>
      </c>
      <c r="AN103" s="34">
        <v>666695</v>
      </c>
      <c r="AO103" s="34">
        <v>3305105</v>
      </c>
      <c r="AP103" s="34">
        <v>0</v>
      </c>
      <c r="AQ103" s="34">
        <v>70925</v>
      </c>
      <c r="AR103" s="34">
        <v>56740</v>
      </c>
      <c r="AS103" s="34">
        <v>127665</v>
      </c>
      <c r="AT103" s="34">
        <v>127665</v>
      </c>
      <c r="AU103" s="34">
        <v>851100</v>
      </c>
      <c r="AV103" s="34">
        <v>6482545</v>
      </c>
      <c r="AW103" s="34"/>
      <c r="AX103" s="34">
        <v>666695</v>
      </c>
      <c r="AY103" s="34">
        <v>368810</v>
      </c>
      <c r="AZ103" s="34">
        <v>836915</v>
      </c>
      <c r="BA103" s="34">
        <v>28370</v>
      </c>
      <c r="BB103" s="34">
        <v>42555</v>
      </c>
      <c r="BC103" s="35"/>
    </row>
    <row r="104" spans="1:55" x14ac:dyDescent="0.4">
      <c r="A104" s="20">
        <v>43663</v>
      </c>
      <c r="B104" s="21">
        <v>43663.458692129629</v>
      </c>
      <c r="C104" s="22" t="s">
        <v>78</v>
      </c>
      <c r="D104" s="23" t="s">
        <v>74</v>
      </c>
      <c r="E104" s="24">
        <v>27.97</v>
      </c>
      <c r="F104" s="25">
        <v>23.02</v>
      </c>
      <c r="G104" s="25">
        <v>30</v>
      </c>
      <c r="H104" s="25">
        <v>27.92</v>
      </c>
      <c r="I104" s="25">
        <v>28.03</v>
      </c>
      <c r="J104" s="26">
        <v>4428500</v>
      </c>
      <c r="K104" s="27">
        <v>5934000</v>
      </c>
      <c r="L104" s="28">
        <v>90</v>
      </c>
      <c r="M104" s="28">
        <v>58</v>
      </c>
      <c r="N104" s="29">
        <v>3.33</v>
      </c>
      <c r="O104" s="27">
        <v>65933</v>
      </c>
      <c r="P104" s="27">
        <v>219778</v>
      </c>
      <c r="Q104" s="27">
        <v>351108</v>
      </c>
      <c r="R104" s="27">
        <v>177140</v>
      </c>
      <c r="S104" s="27">
        <v>255880</v>
      </c>
      <c r="T104" s="30">
        <v>1.34</v>
      </c>
      <c r="U104" s="31">
        <v>27</v>
      </c>
      <c r="V104" s="28">
        <v>25</v>
      </c>
      <c r="W104" s="32">
        <v>123865145</v>
      </c>
      <c r="X104" s="23" t="s">
        <v>79</v>
      </c>
      <c r="Y104" s="33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>
        <v>123865145</v>
      </c>
      <c r="AX104" s="34"/>
      <c r="AY104" s="34"/>
      <c r="AZ104" s="34"/>
      <c r="BA104" s="34"/>
      <c r="BB104" s="34"/>
      <c r="BC104" s="35"/>
    </row>
    <row r="105" spans="1:55" x14ac:dyDescent="0.4">
      <c r="A105" s="20">
        <v>43662</v>
      </c>
      <c r="B105" s="21">
        <v>43662.458564814813</v>
      </c>
      <c r="C105" s="22" t="s">
        <v>73</v>
      </c>
      <c r="D105" s="23" t="s">
        <v>74</v>
      </c>
      <c r="E105" s="24">
        <v>29.1</v>
      </c>
      <c r="F105" s="25">
        <v>23.02</v>
      </c>
      <c r="G105" s="25">
        <v>31</v>
      </c>
      <c r="H105" s="25">
        <v>28.91</v>
      </c>
      <c r="I105" s="25">
        <v>29.12</v>
      </c>
      <c r="J105" s="26">
        <v>2775000</v>
      </c>
      <c r="K105" s="27">
        <v>4029500</v>
      </c>
      <c r="L105" s="28">
        <v>69</v>
      </c>
      <c r="M105" s="28">
        <v>38</v>
      </c>
      <c r="N105" s="29">
        <v>2.76</v>
      </c>
      <c r="O105" s="27">
        <v>58399</v>
      </c>
      <c r="P105" s="27">
        <v>161180</v>
      </c>
      <c r="Q105" s="27">
        <v>213137</v>
      </c>
      <c r="R105" s="27">
        <v>138750</v>
      </c>
      <c r="S105" s="27">
        <v>205720</v>
      </c>
      <c r="T105" s="30">
        <v>1.45</v>
      </c>
      <c r="U105" s="31">
        <v>25</v>
      </c>
      <c r="V105" s="28">
        <v>20</v>
      </c>
      <c r="W105" s="32">
        <v>80752500</v>
      </c>
      <c r="X105" s="23" t="s">
        <v>75</v>
      </c>
      <c r="Y105" s="33">
        <v>1571400</v>
      </c>
      <c r="Z105" s="34">
        <v>3084600</v>
      </c>
      <c r="AA105" s="34">
        <v>3841200</v>
      </c>
      <c r="AB105" s="34">
        <v>203700</v>
      </c>
      <c r="AC105" s="34">
        <v>5499900</v>
      </c>
      <c r="AD105" s="34"/>
      <c r="AE105" s="34">
        <v>1411350</v>
      </c>
      <c r="AF105" s="34">
        <v>1236750</v>
      </c>
      <c r="AG105" s="34">
        <v>4408650</v>
      </c>
      <c r="AH105" s="34">
        <v>10723350</v>
      </c>
      <c r="AI105" s="34">
        <v>1891500</v>
      </c>
      <c r="AJ105" s="34">
        <v>6227400</v>
      </c>
      <c r="AK105" s="34">
        <v>625650</v>
      </c>
      <c r="AL105" s="34">
        <v>1978800</v>
      </c>
      <c r="AM105" s="34">
        <v>1062150</v>
      </c>
      <c r="AN105" s="34">
        <v>378300</v>
      </c>
      <c r="AO105" s="34">
        <v>11116200</v>
      </c>
      <c r="AP105" s="34">
        <v>0</v>
      </c>
      <c r="AQ105" s="34">
        <v>727500</v>
      </c>
      <c r="AR105" s="34">
        <v>145500</v>
      </c>
      <c r="AS105" s="34">
        <v>363750</v>
      </c>
      <c r="AT105" s="34">
        <v>130950</v>
      </c>
      <c r="AU105" s="34">
        <v>3812100</v>
      </c>
      <c r="AV105" s="34">
        <v>7769700</v>
      </c>
      <c r="AW105" s="34"/>
      <c r="AX105" s="34">
        <v>2211600</v>
      </c>
      <c r="AY105" s="34">
        <v>6547500</v>
      </c>
      <c r="AZ105" s="34">
        <v>1076700</v>
      </c>
      <c r="BA105" s="34">
        <v>567450</v>
      </c>
      <c r="BB105" s="34">
        <v>2138850</v>
      </c>
      <c r="BC105" s="35"/>
    </row>
    <row r="106" spans="1:55" x14ac:dyDescent="0.4">
      <c r="A106" s="20">
        <v>43661</v>
      </c>
      <c r="B106" s="21">
        <v>43661.458645833336</v>
      </c>
      <c r="C106" s="22" t="s">
        <v>73</v>
      </c>
      <c r="D106" s="23" t="s">
        <v>74</v>
      </c>
      <c r="E106" s="24">
        <v>29.15</v>
      </c>
      <c r="F106" s="25">
        <v>22.99</v>
      </c>
      <c r="G106" s="25">
        <v>30.01</v>
      </c>
      <c r="H106" s="25">
        <v>28.77</v>
      </c>
      <c r="I106" s="25">
        <v>28.95</v>
      </c>
      <c r="J106" s="26">
        <v>2775500</v>
      </c>
      <c r="K106" s="27">
        <v>5191500</v>
      </c>
      <c r="L106" s="28">
        <v>77</v>
      </c>
      <c r="M106" s="28">
        <v>18</v>
      </c>
      <c r="N106" s="29">
        <v>3.08</v>
      </c>
      <c r="O106" s="27">
        <v>67422</v>
      </c>
      <c r="P106" s="27">
        <v>207660</v>
      </c>
      <c r="Q106" s="27">
        <v>249582</v>
      </c>
      <c r="R106" s="27">
        <v>173469</v>
      </c>
      <c r="S106" s="27">
        <v>260659</v>
      </c>
      <c r="T106" s="30">
        <v>1.87</v>
      </c>
      <c r="U106" s="31">
        <v>25</v>
      </c>
      <c r="V106" s="28">
        <v>16</v>
      </c>
      <c r="W106" s="32">
        <v>80905825</v>
      </c>
      <c r="X106" s="23" t="s">
        <v>75</v>
      </c>
      <c r="Y106" s="33">
        <v>1574100</v>
      </c>
      <c r="Z106" s="34">
        <v>3089900</v>
      </c>
      <c r="AA106" s="34">
        <v>3847800</v>
      </c>
      <c r="AB106" s="34">
        <v>204050</v>
      </c>
      <c r="AC106" s="34">
        <v>5509350</v>
      </c>
      <c r="AD106" s="34"/>
      <c r="AE106" s="34">
        <v>1413775</v>
      </c>
      <c r="AF106" s="34">
        <v>1238875</v>
      </c>
      <c r="AG106" s="34">
        <v>4416225</v>
      </c>
      <c r="AH106" s="34">
        <v>10741775</v>
      </c>
      <c r="AI106" s="34">
        <v>1894750</v>
      </c>
      <c r="AJ106" s="34">
        <v>6238100</v>
      </c>
      <c r="AK106" s="34">
        <v>626725</v>
      </c>
      <c r="AL106" s="34">
        <v>1982200</v>
      </c>
      <c r="AM106" s="34">
        <v>1063975</v>
      </c>
      <c r="AN106" s="34">
        <v>378950</v>
      </c>
      <c r="AO106" s="34">
        <v>11135300</v>
      </c>
      <c r="AP106" s="34">
        <v>14575</v>
      </c>
      <c r="AQ106" s="34">
        <v>728750</v>
      </c>
      <c r="AR106" s="34">
        <v>145750</v>
      </c>
      <c r="AS106" s="34">
        <v>364375</v>
      </c>
      <c r="AT106" s="34">
        <v>131175</v>
      </c>
      <c r="AU106" s="34">
        <v>3818650</v>
      </c>
      <c r="AV106" s="34">
        <v>7783050</v>
      </c>
      <c r="AW106" s="34"/>
      <c r="AX106" s="34">
        <v>2215400</v>
      </c>
      <c r="AY106" s="34">
        <v>6558750</v>
      </c>
      <c r="AZ106" s="34">
        <v>1078550</v>
      </c>
      <c r="BA106" s="34">
        <v>568425</v>
      </c>
      <c r="BB106" s="34">
        <v>2142525</v>
      </c>
      <c r="BC106" s="35"/>
    </row>
    <row r="107" spans="1:55" x14ac:dyDescent="0.4">
      <c r="A107" s="20">
        <v>43658</v>
      </c>
      <c r="B107" s="21">
        <v>43658.458692129629</v>
      </c>
      <c r="C107" s="22" t="s">
        <v>76</v>
      </c>
      <c r="D107" s="23" t="s">
        <v>74</v>
      </c>
      <c r="E107" s="24">
        <v>28.25</v>
      </c>
      <c r="F107" s="25">
        <v>22.99</v>
      </c>
      <c r="G107" s="25">
        <v>32</v>
      </c>
      <c r="H107" s="25">
        <v>28.01</v>
      </c>
      <c r="I107" s="25">
        <v>28.11</v>
      </c>
      <c r="J107" s="26">
        <v>3209000</v>
      </c>
      <c r="K107" s="27">
        <v>8064500</v>
      </c>
      <c r="L107" s="28">
        <v>77</v>
      </c>
      <c r="M107" s="28">
        <v>26</v>
      </c>
      <c r="N107" s="29">
        <v>3.08</v>
      </c>
      <c r="O107" s="27">
        <v>104734</v>
      </c>
      <c r="P107" s="27">
        <v>322580</v>
      </c>
      <c r="Q107" s="27">
        <v>683644</v>
      </c>
      <c r="R107" s="27">
        <v>178278</v>
      </c>
      <c r="S107" s="27">
        <v>256550</v>
      </c>
      <c r="T107" s="30">
        <v>2.5099999999999998</v>
      </c>
      <c r="U107" s="31">
        <v>25</v>
      </c>
      <c r="V107" s="28">
        <v>18</v>
      </c>
      <c r="W107" s="32">
        <v>90654250</v>
      </c>
      <c r="X107" s="23" t="s">
        <v>77</v>
      </c>
      <c r="Y107" s="33"/>
      <c r="Z107" s="34"/>
      <c r="AA107" s="34"/>
      <c r="AB107" s="34"/>
      <c r="AC107" s="34"/>
      <c r="AD107" s="34">
        <v>90654250</v>
      </c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5"/>
    </row>
    <row r="108" spans="1:55" x14ac:dyDescent="0.4">
      <c r="A108" s="20">
        <v>43657</v>
      </c>
      <c r="B108" s="21">
        <v>43657.45884259259</v>
      </c>
      <c r="C108" s="22" t="s">
        <v>73</v>
      </c>
      <c r="D108" s="23" t="s">
        <v>74</v>
      </c>
      <c r="E108" s="24">
        <v>28.5</v>
      </c>
      <c r="F108" s="25">
        <v>22.99</v>
      </c>
      <c r="G108" s="25">
        <v>32</v>
      </c>
      <c r="H108" s="25">
        <v>28.31</v>
      </c>
      <c r="I108" s="25">
        <v>28.32</v>
      </c>
      <c r="J108" s="26">
        <v>2775500</v>
      </c>
      <c r="K108" s="27">
        <v>8744500</v>
      </c>
      <c r="L108" s="28">
        <v>97</v>
      </c>
      <c r="M108" s="28">
        <v>29</v>
      </c>
      <c r="N108" s="29">
        <v>3.59</v>
      </c>
      <c r="O108" s="27">
        <v>90149</v>
      </c>
      <c r="P108" s="27">
        <v>323870</v>
      </c>
      <c r="Q108" s="27">
        <v>578961</v>
      </c>
      <c r="R108" s="27">
        <v>163265</v>
      </c>
      <c r="S108" s="27">
        <v>215970</v>
      </c>
      <c r="T108" s="30">
        <v>3.15</v>
      </c>
      <c r="U108" s="31">
        <v>27</v>
      </c>
      <c r="V108" s="28">
        <v>17</v>
      </c>
      <c r="W108" s="32">
        <v>79101750</v>
      </c>
      <c r="X108" s="23" t="s">
        <v>75</v>
      </c>
      <c r="Y108" s="33">
        <v>1539000</v>
      </c>
      <c r="Z108" s="34">
        <v>3021000</v>
      </c>
      <c r="AA108" s="34">
        <v>3762000</v>
      </c>
      <c r="AB108" s="34">
        <v>199500</v>
      </c>
      <c r="AC108" s="34">
        <v>5386500</v>
      </c>
      <c r="AD108" s="34"/>
      <c r="AE108" s="34">
        <v>1382250</v>
      </c>
      <c r="AF108" s="34">
        <v>1211250</v>
      </c>
      <c r="AG108" s="34">
        <v>4317750</v>
      </c>
      <c r="AH108" s="34">
        <v>10502250</v>
      </c>
      <c r="AI108" s="34">
        <v>1852500</v>
      </c>
      <c r="AJ108" s="34">
        <v>6099000</v>
      </c>
      <c r="AK108" s="34">
        <v>612750</v>
      </c>
      <c r="AL108" s="34">
        <v>1938000</v>
      </c>
      <c r="AM108" s="34">
        <v>1040250</v>
      </c>
      <c r="AN108" s="34">
        <v>370500</v>
      </c>
      <c r="AO108" s="34">
        <v>10887000</v>
      </c>
      <c r="AP108" s="34">
        <v>14250</v>
      </c>
      <c r="AQ108" s="34">
        <v>712500</v>
      </c>
      <c r="AR108" s="34">
        <v>142500</v>
      </c>
      <c r="AS108" s="34">
        <v>356250</v>
      </c>
      <c r="AT108" s="34">
        <v>128250</v>
      </c>
      <c r="AU108" s="34">
        <v>3733500</v>
      </c>
      <c r="AV108" s="34">
        <v>7609500</v>
      </c>
      <c r="AW108" s="34"/>
      <c r="AX108" s="34">
        <v>2166000</v>
      </c>
      <c r="AY108" s="34">
        <v>6412500</v>
      </c>
      <c r="AZ108" s="34">
        <v>1054500</v>
      </c>
      <c r="BA108" s="34">
        <v>555750</v>
      </c>
      <c r="BB108" s="34">
        <v>2094750</v>
      </c>
      <c r="BC108" s="35"/>
    </row>
    <row r="109" spans="1:55" x14ac:dyDescent="0.4">
      <c r="A109" s="20">
        <v>43655</v>
      </c>
      <c r="B109" s="21">
        <v>43655.458587962959</v>
      </c>
      <c r="C109" s="22" t="s">
        <v>73</v>
      </c>
      <c r="D109" s="23" t="s">
        <v>74</v>
      </c>
      <c r="E109" s="24">
        <v>26.68</v>
      </c>
      <c r="F109" s="25">
        <v>23.04</v>
      </c>
      <c r="G109" s="25">
        <v>29</v>
      </c>
      <c r="H109" s="25">
        <v>26.59</v>
      </c>
      <c r="I109" s="25">
        <v>26.56</v>
      </c>
      <c r="J109" s="26">
        <v>2775500</v>
      </c>
      <c r="K109" s="27">
        <v>7321500</v>
      </c>
      <c r="L109" s="28">
        <v>82</v>
      </c>
      <c r="M109" s="28">
        <v>22</v>
      </c>
      <c r="N109" s="29">
        <v>3.04</v>
      </c>
      <c r="O109" s="27">
        <v>89287</v>
      </c>
      <c r="P109" s="27">
        <v>271167</v>
      </c>
      <c r="Q109" s="27">
        <v>578095</v>
      </c>
      <c r="R109" s="27">
        <v>173469</v>
      </c>
      <c r="S109" s="27">
        <v>218879</v>
      </c>
      <c r="T109" s="30">
        <v>2.64</v>
      </c>
      <c r="U109" s="31">
        <v>27</v>
      </c>
      <c r="V109" s="28">
        <v>16</v>
      </c>
      <c r="W109" s="32">
        <v>74050340</v>
      </c>
      <c r="X109" s="23" t="s">
        <v>75</v>
      </c>
      <c r="Y109" s="33">
        <v>1440720</v>
      </c>
      <c r="Z109" s="34">
        <v>2828080</v>
      </c>
      <c r="AA109" s="34">
        <v>3521760</v>
      </c>
      <c r="AB109" s="34">
        <v>186760</v>
      </c>
      <c r="AC109" s="34">
        <v>5042520</v>
      </c>
      <c r="AD109" s="34"/>
      <c r="AE109" s="34">
        <v>1293980</v>
      </c>
      <c r="AF109" s="34">
        <v>1133900</v>
      </c>
      <c r="AG109" s="34">
        <v>4042020</v>
      </c>
      <c r="AH109" s="34">
        <v>9831580</v>
      </c>
      <c r="AI109" s="34">
        <v>1734200</v>
      </c>
      <c r="AJ109" s="34">
        <v>5709520</v>
      </c>
      <c r="AK109" s="34">
        <v>573620</v>
      </c>
      <c r="AL109" s="34">
        <v>1814240</v>
      </c>
      <c r="AM109" s="34">
        <v>973820</v>
      </c>
      <c r="AN109" s="34">
        <v>346840</v>
      </c>
      <c r="AO109" s="34">
        <v>10191760</v>
      </c>
      <c r="AP109" s="34">
        <v>13340</v>
      </c>
      <c r="AQ109" s="34">
        <v>667000</v>
      </c>
      <c r="AR109" s="34">
        <v>133400</v>
      </c>
      <c r="AS109" s="34">
        <v>333500</v>
      </c>
      <c r="AT109" s="34">
        <v>120060</v>
      </c>
      <c r="AU109" s="34">
        <v>3495080</v>
      </c>
      <c r="AV109" s="34">
        <v>7123560</v>
      </c>
      <c r="AW109" s="34"/>
      <c r="AX109" s="34">
        <v>2027680</v>
      </c>
      <c r="AY109" s="34">
        <v>6003000</v>
      </c>
      <c r="AZ109" s="34">
        <v>987160</v>
      </c>
      <c r="BA109" s="34">
        <v>520260</v>
      </c>
      <c r="BB109" s="34">
        <v>1960980</v>
      </c>
      <c r="BC109" s="35"/>
    </row>
    <row r="110" spans="1:55" x14ac:dyDescent="0.4">
      <c r="A110" s="20">
        <v>43654</v>
      </c>
      <c r="B110" s="21">
        <v>43654.45857638889</v>
      </c>
      <c r="C110" s="22" t="s">
        <v>73</v>
      </c>
      <c r="D110" s="23" t="s">
        <v>74</v>
      </c>
      <c r="E110" s="24">
        <v>26.6</v>
      </c>
      <c r="F110" s="25">
        <v>23.07</v>
      </c>
      <c r="G110" s="25">
        <v>29</v>
      </c>
      <c r="H110" s="25">
        <v>26.63</v>
      </c>
      <c r="I110" s="25">
        <v>26.52</v>
      </c>
      <c r="J110" s="26">
        <v>2775500</v>
      </c>
      <c r="K110" s="27">
        <v>5459500</v>
      </c>
      <c r="L110" s="28">
        <v>75</v>
      </c>
      <c r="M110" s="28">
        <v>28</v>
      </c>
      <c r="N110" s="29">
        <v>3.13</v>
      </c>
      <c r="O110" s="27">
        <v>72793</v>
      </c>
      <c r="P110" s="27">
        <v>227479</v>
      </c>
      <c r="Q110" s="27">
        <v>340135</v>
      </c>
      <c r="R110" s="27">
        <v>173469</v>
      </c>
      <c r="S110" s="27">
        <v>243555</v>
      </c>
      <c r="T110" s="30">
        <v>1.97</v>
      </c>
      <c r="U110" s="31">
        <v>24</v>
      </c>
      <c r="V110" s="28">
        <v>16</v>
      </c>
      <c r="W110" s="32">
        <v>73828300</v>
      </c>
      <c r="X110" s="23" t="s">
        <v>75</v>
      </c>
      <c r="Y110" s="33">
        <v>1436400</v>
      </c>
      <c r="Z110" s="34">
        <v>2819600</v>
      </c>
      <c r="AA110" s="34">
        <v>3511200</v>
      </c>
      <c r="AB110" s="34">
        <v>186200</v>
      </c>
      <c r="AC110" s="34">
        <v>5027400</v>
      </c>
      <c r="AD110" s="34"/>
      <c r="AE110" s="34">
        <v>1290100</v>
      </c>
      <c r="AF110" s="34">
        <v>1130500</v>
      </c>
      <c r="AG110" s="34">
        <v>4029900</v>
      </c>
      <c r="AH110" s="34">
        <v>9802100</v>
      </c>
      <c r="AI110" s="34">
        <v>1729000</v>
      </c>
      <c r="AJ110" s="34">
        <v>5692400</v>
      </c>
      <c r="AK110" s="34">
        <v>571900</v>
      </c>
      <c r="AL110" s="34">
        <v>1808800</v>
      </c>
      <c r="AM110" s="34">
        <v>970900</v>
      </c>
      <c r="AN110" s="34">
        <v>345800</v>
      </c>
      <c r="AO110" s="34">
        <v>10161200</v>
      </c>
      <c r="AP110" s="34">
        <v>13300</v>
      </c>
      <c r="AQ110" s="34">
        <v>665000</v>
      </c>
      <c r="AR110" s="34">
        <v>133000</v>
      </c>
      <c r="AS110" s="34">
        <v>332500</v>
      </c>
      <c r="AT110" s="34">
        <v>119700</v>
      </c>
      <c r="AU110" s="34">
        <v>3484600</v>
      </c>
      <c r="AV110" s="34">
        <v>7102200</v>
      </c>
      <c r="AW110" s="34"/>
      <c r="AX110" s="34">
        <v>2021600</v>
      </c>
      <c r="AY110" s="34">
        <v>5985000</v>
      </c>
      <c r="AZ110" s="34">
        <v>984200</v>
      </c>
      <c r="BA110" s="34">
        <v>518700</v>
      </c>
      <c r="BB110" s="34">
        <v>1955100</v>
      </c>
      <c r="BC110" s="35"/>
    </row>
    <row r="111" spans="1:55" x14ac:dyDescent="0.4">
      <c r="A111" s="20">
        <v>43651</v>
      </c>
      <c r="B111" s="21">
        <v>43651.458657407406</v>
      </c>
      <c r="C111" s="22" t="s">
        <v>76</v>
      </c>
      <c r="D111" s="23" t="s">
        <v>74</v>
      </c>
      <c r="E111" s="24">
        <v>25.84</v>
      </c>
      <c r="F111" s="25">
        <v>23.15</v>
      </c>
      <c r="G111" s="25">
        <v>29.4</v>
      </c>
      <c r="H111" s="25">
        <v>26.01</v>
      </c>
      <c r="I111" s="25">
        <v>25.73</v>
      </c>
      <c r="J111" s="26">
        <v>3209000</v>
      </c>
      <c r="K111" s="27">
        <v>7334500</v>
      </c>
      <c r="L111" s="28">
        <v>86</v>
      </c>
      <c r="M111" s="28">
        <v>32</v>
      </c>
      <c r="N111" s="29">
        <v>3.74</v>
      </c>
      <c r="O111" s="27">
        <v>85285</v>
      </c>
      <c r="P111" s="27">
        <v>318891</v>
      </c>
      <c r="Q111" s="27">
        <v>627325</v>
      </c>
      <c r="R111" s="27">
        <v>200563</v>
      </c>
      <c r="S111" s="27">
        <v>260675</v>
      </c>
      <c r="T111" s="30">
        <v>2.29</v>
      </c>
      <c r="U111" s="31">
        <v>23</v>
      </c>
      <c r="V111" s="28">
        <v>16</v>
      </c>
      <c r="W111" s="32">
        <v>82920560</v>
      </c>
      <c r="X111" s="23" t="s">
        <v>77</v>
      </c>
      <c r="Y111" s="33"/>
      <c r="Z111" s="34"/>
      <c r="AA111" s="34"/>
      <c r="AB111" s="34"/>
      <c r="AC111" s="34"/>
      <c r="AD111" s="34">
        <v>82920560</v>
      </c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5"/>
    </row>
    <row r="112" spans="1:55" x14ac:dyDescent="0.4">
      <c r="A112" s="20">
        <v>43650</v>
      </c>
      <c r="B112" s="21">
        <v>43650.458634259259</v>
      </c>
      <c r="C112" s="22" t="s">
        <v>73</v>
      </c>
      <c r="D112" s="23" t="s">
        <v>74</v>
      </c>
      <c r="E112" s="24">
        <v>26.22</v>
      </c>
      <c r="F112" s="25">
        <v>23.15</v>
      </c>
      <c r="G112" s="25">
        <v>30</v>
      </c>
      <c r="H112" s="25">
        <v>26.44</v>
      </c>
      <c r="I112" s="25">
        <v>26.25</v>
      </c>
      <c r="J112" s="26">
        <v>3470500</v>
      </c>
      <c r="K112" s="27">
        <v>7123500</v>
      </c>
      <c r="L112" s="28">
        <v>86</v>
      </c>
      <c r="M112" s="28">
        <v>49</v>
      </c>
      <c r="N112" s="29">
        <v>3.44</v>
      </c>
      <c r="O112" s="27">
        <v>82831</v>
      </c>
      <c r="P112" s="27">
        <v>284940</v>
      </c>
      <c r="Q112" s="27">
        <v>587821</v>
      </c>
      <c r="R112" s="27">
        <v>165262</v>
      </c>
      <c r="S112" s="27">
        <v>269546</v>
      </c>
      <c r="T112" s="30">
        <v>2.0499999999999998</v>
      </c>
      <c r="U112" s="31">
        <v>25</v>
      </c>
      <c r="V112" s="28">
        <v>21</v>
      </c>
      <c r="W112" s="32">
        <v>90996510</v>
      </c>
      <c r="X112" s="23" t="s">
        <v>75</v>
      </c>
      <c r="Y112" s="33">
        <v>1769850</v>
      </c>
      <c r="Z112" s="34">
        <v>3474150</v>
      </c>
      <c r="AA112" s="34">
        <v>4326300</v>
      </c>
      <c r="AB112" s="34">
        <v>249090</v>
      </c>
      <c r="AC112" s="34">
        <v>6174810</v>
      </c>
      <c r="AD112" s="34"/>
      <c r="AE112" s="34">
        <v>1599420</v>
      </c>
      <c r="AF112" s="34">
        <v>1402770</v>
      </c>
      <c r="AG112" s="34">
        <v>4955580</v>
      </c>
      <c r="AH112" s="34">
        <v>12087420</v>
      </c>
      <c r="AI112" s="34">
        <v>2150040</v>
      </c>
      <c r="AJ112" s="34">
        <v>7013850</v>
      </c>
      <c r="AK112" s="34">
        <v>694830</v>
      </c>
      <c r="AL112" s="34">
        <v>2228700</v>
      </c>
      <c r="AM112" s="34">
        <v>1206120</v>
      </c>
      <c r="AN112" s="34">
        <v>406410</v>
      </c>
      <c r="AO112" s="34">
        <v>12520050</v>
      </c>
      <c r="AP112" s="34">
        <v>26220</v>
      </c>
      <c r="AQ112" s="34">
        <v>839040</v>
      </c>
      <c r="AR112" s="34">
        <v>144210</v>
      </c>
      <c r="AS112" s="34">
        <v>419520</v>
      </c>
      <c r="AT112" s="34">
        <v>157320</v>
      </c>
      <c r="AU112" s="34">
        <v>4313190</v>
      </c>
      <c r="AV112" s="34">
        <v>8731260</v>
      </c>
      <c r="AW112" s="34"/>
      <c r="AX112" s="34">
        <v>2490900</v>
      </c>
      <c r="AY112" s="34">
        <v>7394040</v>
      </c>
      <c r="AZ112" s="34">
        <v>1193010</v>
      </c>
      <c r="BA112" s="34">
        <v>629280</v>
      </c>
      <c r="BB112" s="34">
        <v>2399130</v>
      </c>
      <c r="BC112" s="35"/>
    </row>
    <row r="113" spans="1:55" x14ac:dyDescent="0.4">
      <c r="A113" s="20">
        <v>43649</v>
      </c>
      <c r="B113" s="21">
        <v>43649.458587962959</v>
      </c>
      <c r="C113" s="22" t="s">
        <v>78</v>
      </c>
      <c r="D113" s="23" t="s">
        <v>74</v>
      </c>
      <c r="E113" s="24">
        <v>26.33</v>
      </c>
      <c r="F113" s="25">
        <v>23.12</v>
      </c>
      <c r="G113" s="25">
        <v>29.5</v>
      </c>
      <c r="H113" s="25">
        <v>26.57</v>
      </c>
      <c r="I113" s="25">
        <v>26.49</v>
      </c>
      <c r="J113" s="26">
        <v>4428500</v>
      </c>
      <c r="K113" s="27">
        <v>7821500</v>
      </c>
      <c r="L113" s="28">
        <v>83</v>
      </c>
      <c r="M113" s="28">
        <v>67</v>
      </c>
      <c r="N113" s="29">
        <v>3.77</v>
      </c>
      <c r="O113" s="27">
        <v>94235</v>
      </c>
      <c r="P113" s="27">
        <v>355523</v>
      </c>
      <c r="Q113" s="27">
        <v>766040</v>
      </c>
      <c r="R113" s="27">
        <v>246028</v>
      </c>
      <c r="S113" s="27">
        <v>351102</v>
      </c>
      <c r="T113" s="30">
        <v>1.77</v>
      </c>
      <c r="U113" s="31">
        <v>22</v>
      </c>
      <c r="V113" s="28">
        <v>18</v>
      </c>
      <c r="W113" s="32">
        <v>116602405</v>
      </c>
      <c r="X113" s="23" t="s">
        <v>79</v>
      </c>
      <c r="Y113" s="33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>
        <v>116602405</v>
      </c>
      <c r="AX113" s="34"/>
      <c r="AY113" s="34"/>
      <c r="AZ113" s="34"/>
      <c r="BA113" s="34"/>
      <c r="BB113" s="34"/>
      <c r="BC113" s="35"/>
    </row>
    <row r="114" spans="1:55" x14ac:dyDescent="0.4">
      <c r="A114" s="20">
        <v>43648</v>
      </c>
      <c r="B114" s="21">
        <v>43648.458564814813</v>
      </c>
      <c r="C114" s="22" t="s">
        <v>73</v>
      </c>
      <c r="D114" s="23" t="s">
        <v>74</v>
      </c>
      <c r="E114" s="24">
        <v>27.22</v>
      </c>
      <c r="F114" s="25">
        <v>23.12</v>
      </c>
      <c r="G114" s="25">
        <v>29.9</v>
      </c>
      <c r="H114" s="25">
        <v>27.09</v>
      </c>
      <c r="I114" s="25">
        <v>27.01</v>
      </c>
      <c r="J114" s="26">
        <v>3469000</v>
      </c>
      <c r="K114" s="27">
        <v>8486500</v>
      </c>
      <c r="L114" s="28">
        <v>101</v>
      </c>
      <c r="M114" s="28">
        <v>22</v>
      </c>
      <c r="N114" s="29">
        <v>3.88</v>
      </c>
      <c r="O114" s="27">
        <v>84025</v>
      </c>
      <c r="P114" s="27">
        <v>326404</v>
      </c>
      <c r="Q114" s="27">
        <v>560676</v>
      </c>
      <c r="R114" s="27">
        <v>266846</v>
      </c>
      <c r="S114" s="27">
        <v>302213</v>
      </c>
      <c r="T114" s="30">
        <v>2.4500000000000002</v>
      </c>
      <c r="U114" s="31">
        <v>26</v>
      </c>
      <c r="V114" s="28">
        <v>13</v>
      </c>
      <c r="W114" s="32">
        <v>94426180</v>
      </c>
      <c r="X114" s="23" t="s">
        <v>75</v>
      </c>
      <c r="Y114" s="33">
        <v>1837350</v>
      </c>
      <c r="Z114" s="34">
        <v>3606650</v>
      </c>
      <c r="AA114" s="34">
        <v>4491300</v>
      </c>
      <c r="AB114" s="34">
        <v>231370</v>
      </c>
      <c r="AC114" s="34">
        <v>6437530</v>
      </c>
      <c r="AD114" s="34"/>
      <c r="AE114" s="34">
        <v>1646810</v>
      </c>
      <c r="AF114" s="34">
        <v>1442660</v>
      </c>
      <c r="AG114" s="34">
        <v>5158190</v>
      </c>
      <c r="AH114" s="34">
        <v>12534810</v>
      </c>
      <c r="AI114" s="34">
        <v>2204820</v>
      </c>
      <c r="AJ114" s="34">
        <v>7281350</v>
      </c>
      <c r="AK114" s="34">
        <v>734940</v>
      </c>
      <c r="AL114" s="34">
        <v>2313700</v>
      </c>
      <c r="AM114" s="34">
        <v>1238510</v>
      </c>
      <c r="AN114" s="34">
        <v>449130</v>
      </c>
      <c r="AO114" s="34">
        <v>12997550</v>
      </c>
      <c r="AP114" s="34">
        <v>13610</v>
      </c>
      <c r="AQ114" s="34">
        <v>843820</v>
      </c>
      <c r="AR114" s="34">
        <v>176930</v>
      </c>
      <c r="AS114" s="34">
        <v>421910</v>
      </c>
      <c r="AT114" s="34">
        <v>149710</v>
      </c>
      <c r="AU114" s="34">
        <v>4450470</v>
      </c>
      <c r="AV114" s="34">
        <v>9091480</v>
      </c>
      <c r="AW114" s="34"/>
      <c r="AX114" s="34">
        <v>2585900</v>
      </c>
      <c r="AY114" s="34">
        <v>7648820</v>
      </c>
      <c r="AZ114" s="34">
        <v>1265730</v>
      </c>
      <c r="BA114" s="34">
        <v>666890</v>
      </c>
      <c r="BB114" s="34">
        <v>2504240</v>
      </c>
      <c r="BC114" s="35"/>
    </row>
    <row r="115" spans="1:55" x14ac:dyDescent="0.4">
      <c r="A115" s="20">
        <v>43647</v>
      </c>
      <c r="B115" s="21">
        <v>43647.458495370367</v>
      </c>
      <c r="C115" s="22" t="s">
        <v>73</v>
      </c>
      <c r="D115" s="23" t="s">
        <v>74</v>
      </c>
      <c r="E115" s="24">
        <v>26.72</v>
      </c>
      <c r="F115" s="25">
        <v>23.12</v>
      </c>
      <c r="G115" s="25">
        <v>29.5</v>
      </c>
      <c r="H115" s="25">
        <v>26.8</v>
      </c>
      <c r="I115" s="25">
        <v>26.72</v>
      </c>
      <c r="J115" s="26">
        <v>3469000</v>
      </c>
      <c r="K115" s="27">
        <v>7253500</v>
      </c>
      <c r="L115" s="28">
        <v>93</v>
      </c>
      <c r="M115" s="28">
        <v>46</v>
      </c>
      <c r="N115" s="29">
        <v>4.43</v>
      </c>
      <c r="O115" s="27">
        <v>77995</v>
      </c>
      <c r="P115" s="27">
        <v>345405</v>
      </c>
      <c r="Q115" s="27">
        <v>625773</v>
      </c>
      <c r="R115" s="27">
        <v>204059</v>
      </c>
      <c r="S115" s="27">
        <v>266479</v>
      </c>
      <c r="T115" s="30">
        <v>2.09</v>
      </c>
      <c r="U115" s="31">
        <v>21</v>
      </c>
      <c r="V115" s="28">
        <v>17</v>
      </c>
      <c r="W115" s="32">
        <v>92691680</v>
      </c>
      <c r="X115" s="23" t="s">
        <v>75</v>
      </c>
      <c r="Y115" s="33">
        <v>1803600</v>
      </c>
      <c r="Z115" s="34">
        <v>3540400</v>
      </c>
      <c r="AA115" s="34">
        <v>4408800</v>
      </c>
      <c r="AB115" s="34">
        <v>227120</v>
      </c>
      <c r="AC115" s="34">
        <v>6319280</v>
      </c>
      <c r="AD115" s="34"/>
      <c r="AE115" s="34">
        <v>1616560</v>
      </c>
      <c r="AF115" s="34">
        <v>1416160</v>
      </c>
      <c r="AG115" s="34">
        <v>5063440</v>
      </c>
      <c r="AH115" s="34">
        <v>12304560</v>
      </c>
      <c r="AI115" s="34">
        <v>2164320</v>
      </c>
      <c r="AJ115" s="34">
        <v>7147600</v>
      </c>
      <c r="AK115" s="34">
        <v>721440</v>
      </c>
      <c r="AL115" s="34">
        <v>2271200</v>
      </c>
      <c r="AM115" s="34">
        <v>1215760</v>
      </c>
      <c r="AN115" s="34">
        <v>440880</v>
      </c>
      <c r="AO115" s="34">
        <v>12758800</v>
      </c>
      <c r="AP115" s="34">
        <v>13360</v>
      </c>
      <c r="AQ115" s="34">
        <v>828320</v>
      </c>
      <c r="AR115" s="34">
        <v>173680</v>
      </c>
      <c r="AS115" s="34">
        <v>414160</v>
      </c>
      <c r="AT115" s="34">
        <v>146960</v>
      </c>
      <c r="AU115" s="34">
        <v>4368720</v>
      </c>
      <c r="AV115" s="34">
        <v>8924480</v>
      </c>
      <c r="AW115" s="34"/>
      <c r="AX115" s="34">
        <v>2538400</v>
      </c>
      <c r="AY115" s="34">
        <v>7508320</v>
      </c>
      <c r="AZ115" s="34">
        <v>1242480</v>
      </c>
      <c r="BA115" s="34">
        <v>654640</v>
      </c>
      <c r="BB115" s="34">
        <v>2458240</v>
      </c>
      <c r="BC115" s="35"/>
    </row>
    <row r="116" spans="1:55" x14ac:dyDescent="0.4">
      <c r="A116" s="20">
        <v>43644</v>
      </c>
      <c r="B116" s="21">
        <v>43644.458611111113</v>
      </c>
      <c r="C116" s="22" t="s">
        <v>76</v>
      </c>
      <c r="D116" s="23" t="s">
        <v>74</v>
      </c>
      <c r="E116" s="24">
        <v>26.4</v>
      </c>
      <c r="F116" s="25">
        <v>25.9</v>
      </c>
      <c r="G116" s="25">
        <v>29</v>
      </c>
      <c r="H116" s="25">
        <v>26.4</v>
      </c>
      <c r="I116" s="25">
        <v>26.32</v>
      </c>
      <c r="J116" s="26">
        <v>3209000</v>
      </c>
      <c r="K116" s="27">
        <v>7318000</v>
      </c>
      <c r="L116" s="28">
        <v>63</v>
      </c>
      <c r="M116" s="28">
        <v>22</v>
      </c>
      <c r="N116" s="29">
        <v>4.2</v>
      </c>
      <c r="O116" s="27">
        <v>116159</v>
      </c>
      <c r="P116" s="27">
        <v>487867</v>
      </c>
      <c r="Q116" s="27">
        <v>734040</v>
      </c>
      <c r="R116" s="27">
        <v>246846</v>
      </c>
      <c r="S116" s="27">
        <v>267962</v>
      </c>
      <c r="T116" s="30">
        <v>2.2799999999999998</v>
      </c>
      <c r="U116" s="31">
        <v>15</v>
      </c>
      <c r="V116" s="28">
        <v>13</v>
      </c>
      <c r="W116" s="32">
        <v>84717600</v>
      </c>
      <c r="X116" s="23" t="s">
        <v>77</v>
      </c>
      <c r="Y116" s="33"/>
      <c r="Z116" s="34"/>
      <c r="AA116" s="34"/>
      <c r="AB116" s="34"/>
      <c r="AC116" s="34"/>
      <c r="AD116" s="34">
        <v>84717600</v>
      </c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5"/>
    </row>
    <row r="117" spans="1:55" x14ac:dyDescent="0.4">
      <c r="A117" s="20">
        <v>43643</v>
      </c>
      <c r="B117" s="21">
        <v>43643.45884259259</v>
      </c>
      <c r="C117" s="22" t="s">
        <v>73</v>
      </c>
      <c r="D117" s="23" t="s">
        <v>74</v>
      </c>
      <c r="E117" s="24">
        <v>27.1</v>
      </c>
      <c r="F117" s="25">
        <v>24</v>
      </c>
      <c r="G117" s="25">
        <v>29</v>
      </c>
      <c r="H117" s="25">
        <v>27.1</v>
      </c>
      <c r="I117" s="25">
        <v>27.02</v>
      </c>
      <c r="J117" s="26">
        <v>3469000</v>
      </c>
      <c r="K117" s="27">
        <v>8037500</v>
      </c>
      <c r="L117" s="28">
        <v>72</v>
      </c>
      <c r="M117" s="28">
        <v>28</v>
      </c>
      <c r="N117" s="29">
        <v>3.79</v>
      </c>
      <c r="O117" s="27">
        <v>111632</v>
      </c>
      <c r="P117" s="27">
        <v>423026</v>
      </c>
      <c r="Q117" s="27">
        <v>849796</v>
      </c>
      <c r="R117" s="27">
        <v>216813</v>
      </c>
      <c r="S117" s="27">
        <v>397079</v>
      </c>
      <c r="T117" s="30">
        <v>2.3199999999999998</v>
      </c>
      <c r="U117" s="31">
        <v>19</v>
      </c>
      <c r="V117" s="28">
        <v>16</v>
      </c>
      <c r="W117" s="32">
        <v>94009900</v>
      </c>
      <c r="X117" s="23" t="s">
        <v>75</v>
      </c>
      <c r="Y117" s="33">
        <v>1829250</v>
      </c>
      <c r="Z117" s="34">
        <v>3590750</v>
      </c>
      <c r="AA117" s="34">
        <v>4471500</v>
      </c>
      <c r="AB117" s="34">
        <v>230350</v>
      </c>
      <c r="AC117" s="34">
        <v>6409150</v>
      </c>
      <c r="AD117" s="34"/>
      <c r="AE117" s="34">
        <v>1639550</v>
      </c>
      <c r="AF117" s="34">
        <v>1436300</v>
      </c>
      <c r="AG117" s="34">
        <v>5135450</v>
      </c>
      <c r="AH117" s="34">
        <v>12479550</v>
      </c>
      <c r="AI117" s="34">
        <v>2195100</v>
      </c>
      <c r="AJ117" s="34">
        <v>7249250</v>
      </c>
      <c r="AK117" s="34">
        <v>731700</v>
      </c>
      <c r="AL117" s="34">
        <v>2303500</v>
      </c>
      <c r="AM117" s="34">
        <v>1233050</v>
      </c>
      <c r="AN117" s="34">
        <v>447150</v>
      </c>
      <c r="AO117" s="34">
        <v>12940250</v>
      </c>
      <c r="AP117" s="34">
        <v>13550</v>
      </c>
      <c r="AQ117" s="34">
        <v>840100</v>
      </c>
      <c r="AR117" s="34">
        <v>176150</v>
      </c>
      <c r="AS117" s="34">
        <v>420050</v>
      </c>
      <c r="AT117" s="34">
        <v>149050</v>
      </c>
      <c r="AU117" s="34">
        <v>4430850</v>
      </c>
      <c r="AV117" s="34">
        <v>9051400</v>
      </c>
      <c r="AW117" s="34"/>
      <c r="AX117" s="34">
        <v>2574500</v>
      </c>
      <c r="AY117" s="34">
        <v>7615100</v>
      </c>
      <c r="AZ117" s="34">
        <v>1260150</v>
      </c>
      <c r="BA117" s="34">
        <v>663950</v>
      </c>
      <c r="BB117" s="34">
        <v>2493200</v>
      </c>
      <c r="BC117" s="35"/>
    </row>
    <row r="118" spans="1:55" x14ac:dyDescent="0.4">
      <c r="A118" s="20">
        <v>43640</v>
      </c>
      <c r="B118" s="21">
        <v>43640.45857638889</v>
      </c>
      <c r="C118" s="22" t="s">
        <v>73</v>
      </c>
      <c r="D118" s="23" t="s">
        <v>74</v>
      </c>
      <c r="E118" s="24">
        <v>25.64</v>
      </c>
      <c r="F118" s="25">
        <v>24.25</v>
      </c>
      <c r="G118" s="25">
        <v>27</v>
      </c>
      <c r="H118" s="25">
        <v>25.61</v>
      </c>
      <c r="I118" s="25">
        <v>25.57</v>
      </c>
      <c r="J118" s="26">
        <v>2775500</v>
      </c>
      <c r="K118" s="27">
        <v>4500000</v>
      </c>
      <c r="L118" s="28">
        <v>60</v>
      </c>
      <c r="M118" s="28">
        <v>22</v>
      </c>
      <c r="N118" s="29">
        <v>3.16</v>
      </c>
      <c r="O118" s="27">
        <v>75000</v>
      </c>
      <c r="P118" s="27">
        <v>236842</v>
      </c>
      <c r="Q118" s="27">
        <v>385115</v>
      </c>
      <c r="R118" s="27">
        <v>252318</v>
      </c>
      <c r="S118" s="27">
        <v>394856</v>
      </c>
      <c r="T118" s="30">
        <v>1.62</v>
      </c>
      <c r="U118" s="31">
        <v>19</v>
      </c>
      <c r="V118" s="28">
        <v>11</v>
      </c>
      <c r="W118" s="32">
        <v>71163820</v>
      </c>
      <c r="X118" s="23" t="s">
        <v>75</v>
      </c>
      <c r="Y118" s="33">
        <v>1384560</v>
      </c>
      <c r="Z118" s="34">
        <v>2717840</v>
      </c>
      <c r="AA118" s="34">
        <v>3384480</v>
      </c>
      <c r="AB118" s="34">
        <v>179480</v>
      </c>
      <c r="AC118" s="34">
        <v>4845960</v>
      </c>
      <c r="AD118" s="34"/>
      <c r="AE118" s="34">
        <v>1243540</v>
      </c>
      <c r="AF118" s="34">
        <v>1089700</v>
      </c>
      <c r="AG118" s="34">
        <v>3884460</v>
      </c>
      <c r="AH118" s="34">
        <v>9448340</v>
      </c>
      <c r="AI118" s="34">
        <v>1666600</v>
      </c>
      <c r="AJ118" s="34">
        <v>5486960</v>
      </c>
      <c r="AK118" s="34">
        <v>551260</v>
      </c>
      <c r="AL118" s="34">
        <v>1743520</v>
      </c>
      <c r="AM118" s="34">
        <v>935860</v>
      </c>
      <c r="AN118" s="34">
        <v>333320</v>
      </c>
      <c r="AO118" s="34">
        <v>9794480</v>
      </c>
      <c r="AP118" s="34">
        <v>12820</v>
      </c>
      <c r="AQ118" s="34">
        <v>641000</v>
      </c>
      <c r="AR118" s="34">
        <v>128200</v>
      </c>
      <c r="AS118" s="34">
        <v>320500</v>
      </c>
      <c r="AT118" s="34">
        <v>115380</v>
      </c>
      <c r="AU118" s="34">
        <v>3358840</v>
      </c>
      <c r="AV118" s="34">
        <v>6845880</v>
      </c>
      <c r="AW118" s="34"/>
      <c r="AX118" s="34">
        <v>1948640</v>
      </c>
      <c r="AY118" s="34">
        <v>5769000</v>
      </c>
      <c r="AZ118" s="34">
        <v>948680</v>
      </c>
      <c r="BA118" s="34">
        <v>499980</v>
      </c>
      <c r="BB118" s="34">
        <v>1884540</v>
      </c>
      <c r="BC118" s="35"/>
    </row>
    <row r="119" spans="1:55" x14ac:dyDescent="0.4">
      <c r="A119" s="20">
        <v>43637</v>
      </c>
      <c r="B119" s="21">
        <v>43637.458634259259</v>
      </c>
      <c r="C119" s="22" t="s">
        <v>76</v>
      </c>
      <c r="D119" s="23" t="s">
        <v>74</v>
      </c>
      <c r="E119" s="24">
        <v>24.87</v>
      </c>
      <c r="F119" s="25">
        <v>24</v>
      </c>
      <c r="G119" s="25">
        <v>28</v>
      </c>
      <c r="H119" s="25">
        <v>24.93</v>
      </c>
      <c r="I119" s="25">
        <v>24.8</v>
      </c>
      <c r="J119" s="26">
        <v>3209000</v>
      </c>
      <c r="K119" s="27">
        <v>5400500</v>
      </c>
      <c r="L119" s="28">
        <v>76</v>
      </c>
      <c r="M119" s="28">
        <v>28</v>
      </c>
      <c r="N119" s="29">
        <v>3.62</v>
      </c>
      <c r="O119" s="27">
        <v>71059</v>
      </c>
      <c r="P119" s="27">
        <v>257167</v>
      </c>
      <c r="Q119" s="27">
        <v>402285</v>
      </c>
      <c r="R119" s="27">
        <v>200563</v>
      </c>
      <c r="S119" s="27">
        <v>275183</v>
      </c>
      <c r="T119" s="30">
        <v>1.68</v>
      </c>
      <c r="U119" s="31">
        <v>21</v>
      </c>
      <c r="V119" s="28">
        <v>16</v>
      </c>
      <c r="W119" s="32">
        <v>79807830</v>
      </c>
      <c r="X119" s="23" t="s">
        <v>77</v>
      </c>
      <c r="Y119" s="33"/>
      <c r="Z119" s="34"/>
      <c r="AA119" s="34"/>
      <c r="AB119" s="34"/>
      <c r="AC119" s="34"/>
      <c r="AD119" s="34">
        <v>79807830</v>
      </c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5"/>
    </row>
    <row r="120" spans="1:55" x14ac:dyDescent="0.4">
      <c r="A120" s="20">
        <v>43636</v>
      </c>
      <c r="B120" s="21">
        <v>43636.458622685182</v>
      </c>
      <c r="C120" s="22" t="s">
        <v>73</v>
      </c>
      <c r="D120" s="23" t="s">
        <v>74</v>
      </c>
      <c r="E120" s="24">
        <v>24.86</v>
      </c>
      <c r="F120" s="25">
        <v>23.76</v>
      </c>
      <c r="G120" s="25">
        <v>27</v>
      </c>
      <c r="H120" s="25">
        <v>24.82</v>
      </c>
      <c r="I120" s="25">
        <v>24.78</v>
      </c>
      <c r="J120" s="26">
        <v>2775500</v>
      </c>
      <c r="K120" s="27">
        <v>5346500</v>
      </c>
      <c r="L120" s="28">
        <v>69</v>
      </c>
      <c r="M120" s="28">
        <v>24</v>
      </c>
      <c r="N120" s="29">
        <v>3.29</v>
      </c>
      <c r="O120" s="27">
        <v>77486</v>
      </c>
      <c r="P120" s="27">
        <v>254595</v>
      </c>
      <c r="Q120" s="27">
        <v>337996</v>
      </c>
      <c r="R120" s="27">
        <v>163265</v>
      </c>
      <c r="S120" s="27">
        <v>206271</v>
      </c>
      <c r="T120" s="30">
        <v>1.93</v>
      </c>
      <c r="U120" s="31">
        <v>21</v>
      </c>
      <c r="V120" s="28">
        <v>17</v>
      </c>
      <c r="W120" s="32">
        <v>68998930</v>
      </c>
      <c r="X120" s="23" t="s">
        <v>75</v>
      </c>
      <c r="Y120" s="33">
        <v>1342440</v>
      </c>
      <c r="Z120" s="34">
        <v>2635160</v>
      </c>
      <c r="AA120" s="34">
        <v>3281520</v>
      </c>
      <c r="AB120" s="34">
        <v>174020</v>
      </c>
      <c r="AC120" s="34">
        <v>4698540</v>
      </c>
      <c r="AD120" s="34"/>
      <c r="AE120" s="34">
        <v>1205710</v>
      </c>
      <c r="AF120" s="34">
        <v>1056550</v>
      </c>
      <c r="AG120" s="34">
        <v>3766290</v>
      </c>
      <c r="AH120" s="34">
        <v>9160910</v>
      </c>
      <c r="AI120" s="34">
        <v>1615900</v>
      </c>
      <c r="AJ120" s="34">
        <v>5320040</v>
      </c>
      <c r="AK120" s="34">
        <v>534490</v>
      </c>
      <c r="AL120" s="34">
        <v>1690480</v>
      </c>
      <c r="AM120" s="34">
        <v>907390</v>
      </c>
      <c r="AN120" s="34">
        <v>323180</v>
      </c>
      <c r="AO120" s="34">
        <v>9496520</v>
      </c>
      <c r="AP120" s="34">
        <v>12430</v>
      </c>
      <c r="AQ120" s="34">
        <v>621500</v>
      </c>
      <c r="AR120" s="34">
        <v>124300</v>
      </c>
      <c r="AS120" s="34">
        <v>310750</v>
      </c>
      <c r="AT120" s="34">
        <v>111870</v>
      </c>
      <c r="AU120" s="34">
        <v>3256660</v>
      </c>
      <c r="AV120" s="34">
        <v>6637620</v>
      </c>
      <c r="AW120" s="34"/>
      <c r="AX120" s="34">
        <v>1889360</v>
      </c>
      <c r="AY120" s="34">
        <v>5593500</v>
      </c>
      <c r="AZ120" s="34">
        <v>919820</v>
      </c>
      <c r="BA120" s="34">
        <v>484770</v>
      </c>
      <c r="BB120" s="34">
        <v>1827210</v>
      </c>
      <c r="BC120" s="35"/>
    </row>
    <row r="121" spans="1:55" x14ac:dyDescent="0.4">
      <c r="A121" s="20">
        <v>43635</v>
      </c>
      <c r="B121" s="21">
        <v>43635.458634259259</v>
      </c>
      <c r="C121" s="22" t="s">
        <v>78</v>
      </c>
      <c r="D121" s="23" t="s">
        <v>74</v>
      </c>
      <c r="E121" s="24">
        <v>24.98</v>
      </c>
      <c r="F121" s="25">
        <v>24</v>
      </c>
      <c r="G121" s="25">
        <v>28</v>
      </c>
      <c r="H121" s="25">
        <v>25.02</v>
      </c>
      <c r="I121" s="25">
        <v>24.93</v>
      </c>
      <c r="J121" s="26">
        <v>4428500</v>
      </c>
      <c r="K121" s="27">
        <v>7328000</v>
      </c>
      <c r="L121" s="28">
        <v>84</v>
      </c>
      <c r="M121" s="28">
        <v>36</v>
      </c>
      <c r="N121" s="29">
        <v>3.36</v>
      </c>
      <c r="O121" s="27">
        <v>87238</v>
      </c>
      <c r="P121" s="27">
        <v>293120</v>
      </c>
      <c r="Q121" s="27">
        <v>420300</v>
      </c>
      <c r="R121" s="27">
        <v>246028</v>
      </c>
      <c r="S121" s="27">
        <v>337422</v>
      </c>
      <c r="T121" s="30">
        <v>1.65</v>
      </c>
      <c r="U121" s="31">
        <v>25</v>
      </c>
      <c r="V121" s="28">
        <v>18</v>
      </c>
      <c r="W121" s="32">
        <v>110623930</v>
      </c>
      <c r="X121" s="23" t="s">
        <v>79</v>
      </c>
      <c r="Y121" s="33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>
        <v>110623930</v>
      </c>
      <c r="AX121" s="34"/>
      <c r="AY121" s="34"/>
      <c r="AZ121" s="34"/>
      <c r="BA121" s="34"/>
      <c r="BB121" s="34"/>
      <c r="BC121" s="35"/>
    </row>
    <row r="122" spans="1:55" x14ac:dyDescent="0.4">
      <c r="A122" s="20">
        <v>43634</v>
      </c>
      <c r="B122" s="21">
        <v>43634.458506944444</v>
      </c>
      <c r="C122" s="22" t="s">
        <v>73</v>
      </c>
      <c r="D122" s="23" t="s">
        <v>74</v>
      </c>
      <c r="E122" s="24">
        <v>24.98</v>
      </c>
      <c r="F122" s="25">
        <v>24.55</v>
      </c>
      <c r="G122" s="25">
        <v>29</v>
      </c>
      <c r="H122" s="25">
        <v>25</v>
      </c>
      <c r="I122" s="25">
        <v>24.85</v>
      </c>
      <c r="J122" s="26">
        <v>2775500</v>
      </c>
      <c r="K122" s="27">
        <v>5587000</v>
      </c>
      <c r="L122" s="28">
        <v>79</v>
      </c>
      <c r="M122" s="28">
        <v>22</v>
      </c>
      <c r="N122" s="29">
        <v>3.16</v>
      </c>
      <c r="O122" s="27">
        <v>70722</v>
      </c>
      <c r="P122" s="27">
        <v>223480</v>
      </c>
      <c r="Q122" s="27">
        <v>296213</v>
      </c>
      <c r="R122" s="27">
        <v>163265</v>
      </c>
      <c r="S122" s="27">
        <v>208056</v>
      </c>
      <c r="T122" s="30">
        <v>2.0099999999999998</v>
      </c>
      <c r="U122" s="31">
        <v>25</v>
      </c>
      <c r="V122" s="28">
        <v>17</v>
      </c>
      <c r="W122" s="32">
        <v>69331990</v>
      </c>
      <c r="X122" s="23" t="s">
        <v>75</v>
      </c>
      <c r="Y122" s="33">
        <v>1348920</v>
      </c>
      <c r="Z122" s="34">
        <v>2647880</v>
      </c>
      <c r="AA122" s="34">
        <v>3297360</v>
      </c>
      <c r="AB122" s="34">
        <v>174860</v>
      </c>
      <c r="AC122" s="34">
        <v>4721220</v>
      </c>
      <c r="AD122" s="34"/>
      <c r="AE122" s="34">
        <v>1211530</v>
      </c>
      <c r="AF122" s="34">
        <v>1061650</v>
      </c>
      <c r="AG122" s="34">
        <v>3784470</v>
      </c>
      <c r="AH122" s="34">
        <v>9205130</v>
      </c>
      <c r="AI122" s="34">
        <v>1623700</v>
      </c>
      <c r="AJ122" s="34">
        <v>5345720</v>
      </c>
      <c r="AK122" s="34">
        <v>537070</v>
      </c>
      <c r="AL122" s="34">
        <v>1698640</v>
      </c>
      <c r="AM122" s="34">
        <v>911770</v>
      </c>
      <c r="AN122" s="34">
        <v>324740</v>
      </c>
      <c r="AO122" s="34">
        <v>9542360</v>
      </c>
      <c r="AP122" s="34">
        <v>12490</v>
      </c>
      <c r="AQ122" s="34">
        <v>624500</v>
      </c>
      <c r="AR122" s="34">
        <v>124900</v>
      </c>
      <c r="AS122" s="34">
        <v>312250</v>
      </c>
      <c r="AT122" s="34">
        <v>112410</v>
      </c>
      <c r="AU122" s="34">
        <v>3272380</v>
      </c>
      <c r="AV122" s="34">
        <v>6669660</v>
      </c>
      <c r="AW122" s="34"/>
      <c r="AX122" s="34">
        <v>1898480</v>
      </c>
      <c r="AY122" s="34">
        <v>5620500</v>
      </c>
      <c r="AZ122" s="34">
        <v>924260</v>
      </c>
      <c r="BA122" s="34">
        <v>487110</v>
      </c>
      <c r="BB122" s="34">
        <v>1836030</v>
      </c>
      <c r="BC122" s="35"/>
    </row>
    <row r="123" spans="1:55" x14ac:dyDescent="0.4">
      <c r="A123" s="20">
        <v>43633</v>
      </c>
      <c r="B123" s="21">
        <v>43633.459386574075</v>
      </c>
      <c r="C123" s="22" t="s">
        <v>73</v>
      </c>
      <c r="D123" s="23" t="s">
        <v>74</v>
      </c>
      <c r="E123" s="24">
        <v>24.78</v>
      </c>
      <c r="F123" s="25">
        <v>24</v>
      </c>
      <c r="G123" s="25">
        <v>29</v>
      </c>
      <c r="H123" s="25">
        <v>24.87</v>
      </c>
      <c r="I123" s="25">
        <v>24.75</v>
      </c>
      <c r="J123" s="26">
        <v>2775500</v>
      </c>
      <c r="K123" s="27">
        <v>4214000</v>
      </c>
      <c r="L123" s="28">
        <v>71</v>
      </c>
      <c r="M123" s="28">
        <v>30</v>
      </c>
      <c r="N123" s="29">
        <v>2.84</v>
      </c>
      <c r="O123" s="27">
        <v>59352</v>
      </c>
      <c r="P123" s="27">
        <v>168560</v>
      </c>
      <c r="Q123" s="27">
        <v>266083</v>
      </c>
      <c r="R123" s="27">
        <v>146079</v>
      </c>
      <c r="S123" s="27">
        <v>236704</v>
      </c>
      <c r="T123" s="30">
        <v>1.52</v>
      </c>
      <c r="U123" s="31">
        <v>25</v>
      </c>
      <c r="V123" s="28">
        <v>19</v>
      </c>
      <c r="W123" s="32">
        <v>68776890</v>
      </c>
      <c r="X123" s="23" t="s">
        <v>75</v>
      </c>
      <c r="Y123" s="33">
        <v>1338120</v>
      </c>
      <c r="Z123" s="34">
        <v>2626680</v>
      </c>
      <c r="AA123" s="34">
        <v>3270960</v>
      </c>
      <c r="AB123" s="34">
        <v>173460</v>
      </c>
      <c r="AC123" s="34">
        <v>4683420</v>
      </c>
      <c r="AD123" s="34"/>
      <c r="AE123" s="34">
        <v>1201830</v>
      </c>
      <c r="AF123" s="34">
        <v>1053150</v>
      </c>
      <c r="AG123" s="34">
        <v>3754170</v>
      </c>
      <c r="AH123" s="34">
        <v>9131430</v>
      </c>
      <c r="AI123" s="34">
        <v>1610700</v>
      </c>
      <c r="AJ123" s="34">
        <v>5302920</v>
      </c>
      <c r="AK123" s="34">
        <v>532770</v>
      </c>
      <c r="AL123" s="34">
        <v>1685040</v>
      </c>
      <c r="AM123" s="34">
        <v>904470</v>
      </c>
      <c r="AN123" s="34">
        <v>322140</v>
      </c>
      <c r="AO123" s="34">
        <v>9465960</v>
      </c>
      <c r="AP123" s="34">
        <v>12390</v>
      </c>
      <c r="AQ123" s="34">
        <v>619500</v>
      </c>
      <c r="AR123" s="34">
        <v>123900</v>
      </c>
      <c r="AS123" s="34">
        <v>309750</v>
      </c>
      <c r="AT123" s="34">
        <v>111510</v>
      </c>
      <c r="AU123" s="34">
        <v>3246180</v>
      </c>
      <c r="AV123" s="34">
        <v>6616260</v>
      </c>
      <c r="AW123" s="34"/>
      <c r="AX123" s="34">
        <v>1883280</v>
      </c>
      <c r="AY123" s="34">
        <v>5575500</v>
      </c>
      <c r="AZ123" s="34">
        <v>916860</v>
      </c>
      <c r="BA123" s="34">
        <v>483210</v>
      </c>
      <c r="BB123" s="34">
        <v>1821330</v>
      </c>
      <c r="BC123" s="35"/>
    </row>
    <row r="124" spans="1:55" x14ac:dyDescent="0.4">
      <c r="A124" s="20">
        <v>43630</v>
      </c>
      <c r="B124" s="21">
        <v>43630.45884259259</v>
      </c>
      <c r="C124" s="22" t="s">
        <v>76</v>
      </c>
      <c r="D124" s="23" t="s">
        <v>74</v>
      </c>
      <c r="E124" s="24">
        <v>24.67</v>
      </c>
      <c r="F124" s="25">
        <v>24</v>
      </c>
      <c r="G124" s="25">
        <v>29</v>
      </c>
      <c r="H124" s="25">
        <v>24.84</v>
      </c>
      <c r="I124" s="25">
        <v>24.67</v>
      </c>
      <c r="J124" s="26">
        <v>3209000</v>
      </c>
      <c r="K124" s="27">
        <v>4763500</v>
      </c>
      <c r="L124" s="28">
        <v>85</v>
      </c>
      <c r="M124" s="28">
        <v>43</v>
      </c>
      <c r="N124" s="29">
        <v>3.4</v>
      </c>
      <c r="O124" s="27">
        <v>56041</v>
      </c>
      <c r="P124" s="27">
        <v>190540</v>
      </c>
      <c r="Q124" s="27">
        <v>275316</v>
      </c>
      <c r="R124" s="27">
        <v>160450</v>
      </c>
      <c r="S124" s="27">
        <v>258942</v>
      </c>
      <c r="T124" s="30">
        <v>1.48</v>
      </c>
      <c r="U124" s="31">
        <v>25</v>
      </c>
      <c r="V124" s="28">
        <v>20</v>
      </c>
      <c r="W124" s="32">
        <v>79166030</v>
      </c>
      <c r="X124" s="23" t="s">
        <v>77</v>
      </c>
      <c r="Y124" s="33"/>
      <c r="Z124" s="34"/>
      <c r="AA124" s="34"/>
      <c r="AB124" s="34"/>
      <c r="AC124" s="34"/>
      <c r="AD124" s="34">
        <v>79166030</v>
      </c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5"/>
    </row>
    <row r="125" spans="1:55" x14ac:dyDescent="0.4">
      <c r="A125" s="20">
        <v>43629</v>
      </c>
      <c r="B125" s="21">
        <v>43629.458749999998</v>
      </c>
      <c r="C125" s="22" t="s">
        <v>73</v>
      </c>
      <c r="D125" s="23" t="s">
        <v>74</v>
      </c>
      <c r="E125" s="24">
        <v>24.92</v>
      </c>
      <c r="F125" s="25">
        <v>24</v>
      </c>
      <c r="G125" s="25">
        <v>31</v>
      </c>
      <c r="H125" s="25">
        <v>25.15</v>
      </c>
      <c r="I125" s="25">
        <v>24.83</v>
      </c>
      <c r="J125" s="26">
        <v>2775500</v>
      </c>
      <c r="K125" s="27">
        <v>4827500</v>
      </c>
      <c r="L125" s="28">
        <v>73</v>
      </c>
      <c r="M125" s="28">
        <v>25</v>
      </c>
      <c r="N125" s="29">
        <v>2.92</v>
      </c>
      <c r="O125" s="27">
        <v>66130</v>
      </c>
      <c r="P125" s="27">
        <v>193100</v>
      </c>
      <c r="Q125" s="27">
        <v>269516</v>
      </c>
      <c r="R125" s="27">
        <v>173469</v>
      </c>
      <c r="S125" s="27">
        <v>241394</v>
      </c>
      <c r="T125" s="30">
        <v>1.74</v>
      </c>
      <c r="U125" s="31">
        <v>25</v>
      </c>
      <c r="V125" s="28">
        <v>16</v>
      </c>
      <c r="W125" s="32">
        <v>69165460</v>
      </c>
      <c r="X125" s="23" t="s">
        <v>75</v>
      </c>
      <c r="Y125" s="33">
        <v>1345680</v>
      </c>
      <c r="Z125" s="34">
        <v>2641520</v>
      </c>
      <c r="AA125" s="34">
        <v>3289440</v>
      </c>
      <c r="AB125" s="34">
        <v>174440</v>
      </c>
      <c r="AC125" s="34">
        <v>4709880</v>
      </c>
      <c r="AD125" s="34"/>
      <c r="AE125" s="34">
        <v>1208620</v>
      </c>
      <c r="AF125" s="34">
        <v>1059100</v>
      </c>
      <c r="AG125" s="34">
        <v>3775380</v>
      </c>
      <c r="AH125" s="34">
        <v>9183020</v>
      </c>
      <c r="AI125" s="34">
        <v>1619800</v>
      </c>
      <c r="AJ125" s="34">
        <v>5332880</v>
      </c>
      <c r="AK125" s="34">
        <v>535780</v>
      </c>
      <c r="AL125" s="34">
        <v>1694560</v>
      </c>
      <c r="AM125" s="34">
        <v>909580</v>
      </c>
      <c r="AN125" s="34">
        <v>323960</v>
      </c>
      <c r="AO125" s="34">
        <v>9519440</v>
      </c>
      <c r="AP125" s="34">
        <v>12460</v>
      </c>
      <c r="AQ125" s="34">
        <v>623000</v>
      </c>
      <c r="AR125" s="34">
        <v>124600</v>
      </c>
      <c r="AS125" s="34">
        <v>311500</v>
      </c>
      <c r="AT125" s="34">
        <v>112140</v>
      </c>
      <c r="AU125" s="34">
        <v>3264520</v>
      </c>
      <c r="AV125" s="34">
        <v>6653640</v>
      </c>
      <c r="AW125" s="34"/>
      <c r="AX125" s="34">
        <v>1893920</v>
      </c>
      <c r="AY125" s="34">
        <v>5607000</v>
      </c>
      <c r="AZ125" s="34">
        <v>922040</v>
      </c>
      <c r="BA125" s="34">
        <v>485940</v>
      </c>
      <c r="BB125" s="34">
        <v>1831620</v>
      </c>
      <c r="BC125" s="35"/>
    </row>
    <row r="126" spans="1:55" x14ac:dyDescent="0.4">
      <c r="A126" s="20">
        <v>43627</v>
      </c>
      <c r="B126" s="21">
        <v>43627.459027777775</v>
      </c>
      <c r="C126" s="22" t="s">
        <v>73</v>
      </c>
      <c r="D126" s="23" t="s">
        <v>74</v>
      </c>
      <c r="E126" s="24">
        <v>25.12</v>
      </c>
      <c r="F126" s="25">
        <v>15</v>
      </c>
      <c r="G126" s="25">
        <v>30</v>
      </c>
      <c r="H126" s="25">
        <v>24.99</v>
      </c>
      <c r="I126" s="25">
        <v>24.97</v>
      </c>
      <c r="J126" s="26">
        <v>2775500</v>
      </c>
      <c r="K126" s="27">
        <v>5303500</v>
      </c>
      <c r="L126" s="28">
        <v>89</v>
      </c>
      <c r="M126" s="28">
        <v>25</v>
      </c>
      <c r="N126" s="29">
        <v>3.18</v>
      </c>
      <c r="O126" s="27">
        <v>59590</v>
      </c>
      <c r="P126" s="27">
        <v>189411</v>
      </c>
      <c r="Q126" s="27">
        <v>230580</v>
      </c>
      <c r="R126" s="27">
        <v>146079</v>
      </c>
      <c r="S126" s="27">
        <v>210157</v>
      </c>
      <c r="T126" s="30">
        <v>1.91</v>
      </c>
      <c r="U126" s="31">
        <v>28</v>
      </c>
      <c r="V126" s="28">
        <v>19</v>
      </c>
      <c r="W126" s="32">
        <v>69720560</v>
      </c>
      <c r="X126" s="23" t="s">
        <v>75</v>
      </c>
      <c r="Y126" s="33">
        <v>1356480</v>
      </c>
      <c r="Z126" s="34">
        <v>2662720</v>
      </c>
      <c r="AA126" s="34">
        <v>3315840</v>
      </c>
      <c r="AB126" s="34">
        <v>175840</v>
      </c>
      <c r="AC126" s="34">
        <v>4747680</v>
      </c>
      <c r="AD126" s="34"/>
      <c r="AE126" s="34">
        <v>1218320</v>
      </c>
      <c r="AF126" s="34">
        <v>1067600</v>
      </c>
      <c r="AG126" s="34">
        <v>3805680</v>
      </c>
      <c r="AH126" s="34">
        <v>9256720</v>
      </c>
      <c r="AI126" s="34">
        <v>1632800</v>
      </c>
      <c r="AJ126" s="34">
        <v>5375680</v>
      </c>
      <c r="AK126" s="34">
        <v>540080</v>
      </c>
      <c r="AL126" s="34">
        <v>1708160</v>
      </c>
      <c r="AM126" s="34">
        <v>916880</v>
      </c>
      <c r="AN126" s="34">
        <v>326560</v>
      </c>
      <c r="AO126" s="34">
        <v>9595840</v>
      </c>
      <c r="AP126" s="34">
        <v>12560</v>
      </c>
      <c r="AQ126" s="34">
        <v>628000</v>
      </c>
      <c r="AR126" s="34">
        <v>125600</v>
      </c>
      <c r="AS126" s="34">
        <v>314000</v>
      </c>
      <c r="AT126" s="34">
        <v>113040</v>
      </c>
      <c r="AU126" s="34">
        <v>3290720</v>
      </c>
      <c r="AV126" s="34">
        <v>6707040</v>
      </c>
      <c r="AW126" s="34"/>
      <c r="AX126" s="34">
        <v>1909120</v>
      </c>
      <c r="AY126" s="34">
        <v>5652000</v>
      </c>
      <c r="AZ126" s="34">
        <v>929440</v>
      </c>
      <c r="BA126" s="34">
        <v>489840</v>
      </c>
      <c r="BB126" s="34">
        <v>1846320</v>
      </c>
      <c r="BC126" s="35"/>
    </row>
    <row r="127" spans="1:55" x14ac:dyDescent="0.4">
      <c r="A127" s="20">
        <v>43623</v>
      </c>
      <c r="B127" s="21">
        <v>43623.45857638889</v>
      </c>
      <c r="C127" s="22" t="s">
        <v>76</v>
      </c>
      <c r="D127" s="23" t="s">
        <v>74</v>
      </c>
      <c r="E127" s="24">
        <v>24.24</v>
      </c>
      <c r="F127" s="25">
        <v>23.68</v>
      </c>
      <c r="G127" s="25">
        <v>30</v>
      </c>
      <c r="H127" s="25">
        <v>24.31</v>
      </c>
      <c r="I127" s="25">
        <v>24.1</v>
      </c>
      <c r="J127" s="26">
        <v>3209000</v>
      </c>
      <c r="K127" s="27">
        <v>5409500</v>
      </c>
      <c r="L127" s="28">
        <v>79</v>
      </c>
      <c r="M127" s="28">
        <v>25</v>
      </c>
      <c r="N127" s="29">
        <v>3.59</v>
      </c>
      <c r="O127" s="27">
        <v>68475</v>
      </c>
      <c r="P127" s="27">
        <v>245886</v>
      </c>
      <c r="Q127" s="27">
        <v>376192</v>
      </c>
      <c r="R127" s="27">
        <v>213933</v>
      </c>
      <c r="S127" s="27">
        <v>338414</v>
      </c>
      <c r="T127" s="30">
        <v>1.69</v>
      </c>
      <c r="U127" s="31">
        <v>22</v>
      </c>
      <c r="V127" s="28">
        <v>15</v>
      </c>
      <c r="W127" s="32">
        <v>77786160</v>
      </c>
      <c r="X127" s="23" t="s">
        <v>77</v>
      </c>
      <c r="Y127" s="33"/>
      <c r="Z127" s="34"/>
      <c r="AA127" s="34"/>
      <c r="AB127" s="34"/>
      <c r="AC127" s="34"/>
      <c r="AD127" s="34">
        <v>77786160</v>
      </c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5"/>
    </row>
    <row r="128" spans="1:55" x14ac:dyDescent="0.4">
      <c r="A128" s="20">
        <v>43622</v>
      </c>
      <c r="B128" s="21">
        <v>43622.458564814813</v>
      </c>
      <c r="C128" s="22" t="s">
        <v>73</v>
      </c>
      <c r="D128" s="23" t="s">
        <v>74</v>
      </c>
      <c r="E128" s="24">
        <v>24.07</v>
      </c>
      <c r="F128" s="25">
        <v>23.5</v>
      </c>
      <c r="G128" s="25">
        <v>30</v>
      </c>
      <c r="H128" s="25">
        <v>24.17</v>
      </c>
      <c r="I128" s="25">
        <v>23.95</v>
      </c>
      <c r="J128" s="26">
        <v>2775500</v>
      </c>
      <c r="K128" s="27">
        <v>5185000</v>
      </c>
      <c r="L128" s="28">
        <v>96</v>
      </c>
      <c r="M128" s="28">
        <v>27</v>
      </c>
      <c r="N128" s="29">
        <v>3.69</v>
      </c>
      <c r="O128" s="27">
        <v>54010</v>
      </c>
      <c r="P128" s="27">
        <v>199423</v>
      </c>
      <c r="Q128" s="27">
        <v>297807</v>
      </c>
      <c r="R128" s="27">
        <v>163265</v>
      </c>
      <c r="S128" s="27">
        <v>248915</v>
      </c>
      <c r="T128" s="30">
        <v>1.87</v>
      </c>
      <c r="U128" s="31">
        <v>26</v>
      </c>
      <c r="V128" s="28">
        <v>17</v>
      </c>
      <c r="W128" s="32">
        <v>66806285</v>
      </c>
      <c r="X128" s="23" t="s">
        <v>75</v>
      </c>
      <c r="Y128" s="33">
        <v>1299780</v>
      </c>
      <c r="Z128" s="34">
        <v>2551420</v>
      </c>
      <c r="AA128" s="34">
        <v>3177240</v>
      </c>
      <c r="AB128" s="34">
        <v>168490</v>
      </c>
      <c r="AC128" s="34">
        <v>4549230</v>
      </c>
      <c r="AD128" s="34"/>
      <c r="AE128" s="34">
        <v>1167395</v>
      </c>
      <c r="AF128" s="34">
        <v>1022975</v>
      </c>
      <c r="AG128" s="34">
        <v>3646605</v>
      </c>
      <c r="AH128" s="34">
        <v>8869795</v>
      </c>
      <c r="AI128" s="34">
        <v>1564550</v>
      </c>
      <c r="AJ128" s="34">
        <v>5150980</v>
      </c>
      <c r="AK128" s="34">
        <v>517505</v>
      </c>
      <c r="AL128" s="34">
        <v>1636760</v>
      </c>
      <c r="AM128" s="34">
        <v>878555</v>
      </c>
      <c r="AN128" s="34">
        <v>312910</v>
      </c>
      <c r="AO128" s="34">
        <v>9194740</v>
      </c>
      <c r="AP128" s="34">
        <v>12035</v>
      </c>
      <c r="AQ128" s="34">
        <v>601750</v>
      </c>
      <c r="AR128" s="34">
        <v>120350</v>
      </c>
      <c r="AS128" s="34">
        <v>300875</v>
      </c>
      <c r="AT128" s="34">
        <v>108315</v>
      </c>
      <c r="AU128" s="34">
        <v>3153170</v>
      </c>
      <c r="AV128" s="34">
        <v>6426690</v>
      </c>
      <c r="AW128" s="34"/>
      <c r="AX128" s="34">
        <v>1829320</v>
      </c>
      <c r="AY128" s="34">
        <v>5415750</v>
      </c>
      <c r="AZ128" s="34">
        <v>890590</v>
      </c>
      <c r="BA128" s="34">
        <v>469365</v>
      </c>
      <c r="BB128" s="34">
        <v>1769145</v>
      </c>
      <c r="BC128" s="35"/>
    </row>
    <row r="129" spans="1:55" x14ac:dyDescent="0.4">
      <c r="A129" s="20">
        <v>43621</v>
      </c>
      <c r="B129" s="21">
        <v>43621.458657407406</v>
      </c>
      <c r="C129" s="22" t="s">
        <v>78</v>
      </c>
      <c r="D129" s="23" t="s">
        <v>74</v>
      </c>
      <c r="E129" s="24">
        <v>24.42</v>
      </c>
      <c r="F129" s="25">
        <v>23.89</v>
      </c>
      <c r="G129" s="25">
        <v>30</v>
      </c>
      <c r="H129" s="25">
        <v>24.54</v>
      </c>
      <c r="I129" s="25">
        <v>24.32</v>
      </c>
      <c r="J129" s="26">
        <v>4428500</v>
      </c>
      <c r="K129" s="27">
        <v>7045000</v>
      </c>
      <c r="L129" s="28">
        <v>82</v>
      </c>
      <c r="M129" s="28">
        <v>32</v>
      </c>
      <c r="N129" s="29">
        <v>3.28</v>
      </c>
      <c r="O129" s="27">
        <v>85915</v>
      </c>
      <c r="P129" s="27">
        <v>281800</v>
      </c>
      <c r="Q129" s="27">
        <v>387935</v>
      </c>
      <c r="R129" s="27">
        <v>276781</v>
      </c>
      <c r="S129" s="27">
        <v>326407</v>
      </c>
      <c r="T129" s="30">
        <v>1.59</v>
      </c>
      <c r="U129" s="31">
        <v>25</v>
      </c>
      <c r="V129" s="28">
        <v>16</v>
      </c>
      <c r="W129" s="32">
        <v>108143970</v>
      </c>
      <c r="X129" s="23" t="s">
        <v>79</v>
      </c>
      <c r="Y129" s="33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>
        <v>108143970</v>
      </c>
      <c r="AX129" s="34"/>
      <c r="AY129" s="34"/>
      <c r="AZ129" s="34"/>
      <c r="BA129" s="34"/>
      <c r="BB129" s="34"/>
      <c r="BC129" s="35"/>
    </row>
    <row r="130" spans="1:55" x14ac:dyDescent="0.4">
      <c r="A130" s="20">
        <v>43620</v>
      </c>
      <c r="B130" s="21">
        <v>43620.458773148152</v>
      </c>
      <c r="C130" s="22" t="s">
        <v>73</v>
      </c>
      <c r="D130" s="23" t="s">
        <v>74</v>
      </c>
      <c r="E130" s="24">
        <v>23.86</v>
      </c>
      <c r="F130" s="25">
        <v>23.34</v>
      </c>
      <c r="G130" s="25">
        <v>30</v>
      </c>
      <c r="H130" s="25">
        <v>23.93</v>
      </c>
      <c r="I130" s="25">
        <v>23.78</v>
      </c>
      <c r="J130" s="26">
        <v>2775500</v>
      </c>
      <c r="K130" s="27">
        <v>4441500</v>
      </c>
      <c r="L130" s="28">
        <v>81</v>
      </c>
      <c r="M130" s="28">
        <v>33</v>
      </c>
      <c r="N130" s="29">
        <v>2.89</v>
      </c>
      <c r="O130" s="27">
        <v>54833</v>
      </c>
      <c r="P130" s="27">
        <v>158625</v>
      </c>
      <c r="Q130" s="27">
        <v>203112</v>
      </c>
      <c r="R130" s="27">
        <v>138775</v>
      </c>
      <c r="S130" s="27">
        <v>175227</v>
      </c>
      <c r="T130" s="30">
        <v>1.6</v>
      </c>
      <c r="U130" s="31">
        <v>28</v>
      </c>
      <c r="V130" s="28">
        <v>20</v>
      </c>
      <c r="W130" s="32">
        <v>66223430</v>
      </c>
      <c r="X130" s="23" t="s">
        <v>75</v>
      </c>
      <c r="Y130" s="33">
        <v>1288440</v>
      </c>
      <c r="Z130" s="34">
        <v>2529160</v>
      </c>
      <c r="AA130" s="34">
        <v>3149520</v>
      </c>
      <c r="AB130" s="34">
        <v>167020</v>
      </c>
      <c r="AC130" s="34">
        <v>4509540</v>
      </c>
      <c r="AD130" s="34"/>
      <c r="AE130" s="34">
        <v>1157210</v>
      </c>
      <c r="AF130" s="34">
        <v>1014050</v>
      </c>
      <c r="AG130" s="34">
        <v>3614790</v>
      </c>
      <c r="AH130" s="34">
        <v>8792410</v>
      </c>
      <c r="AI130" s="34">
        <v>1550900</v>
      </c>
      <c r="AJ130" s="34">
        <v>5106040</v>
      </c>
      <c r="AK130" s="34">
        <v>512990</v>
      </c>
      <c r="AL130" s="34">
        <v>1622480</v>
      </c>
      <c r="AM130" s="34">
        <v>870890</v>
      </c>
      <c r="AN130" s="34">
        <v>310180</v>
      </c>
      <c r="AO130" s="34">
        <v>9114520</v>
      </c>
      <c r="AP130" s="34">
        <v>11930</v>
      </c>
      <c r="AQ130" s="34">
        <v>596500</v>
      </c>
      <c r="AR130" s="34">
        <v>119300</v>
      </c>
      <c r="AS130" s="34">
        <v>298250</v>
      </c>
      <c r="AT130" s="34">
        <v>107370</v>
      </c>
      <c r="AU130" s="34">
        <v>3125660</v>
      </c>
      <c r="AV130" s="34">
        <v>6370620</v>
      </c>
      <c r="AW130" s="34"/>
      <c r="AX130" s="34">
        <v>1813360</v>
      </c>
      <c r="AY130" s="34">
        <v>5368500</v>
      </c>
      <c r="AZ130" s="34">
        <v>882820</v>
      </c>
      <c r="BA130" s="34">
        <v>465270</v>
      </c>
      <c r="BB130" s="34">
        <v>1753710</v>
      </c>
      <c r="BC130" s="35"/>
    </row>
    <row r="131" spans="1:55" x14ac:dyDescent="0.4">
      <c r="A131" s="20">
        <v>43619</v>
      </c>
      <c r="B131" s="21">
        <v>43619.45857638889</v>
      </c>
      <c r="C131" s="22" t="s">
        <v>73</v>
      </c>
      <c r="D131" s="23" t="s">
        <v>74</v>
      </c>
      <c r="E131" s="24">
        <v>23.96</v>
      </c>
      <c r="F131" s="25">
        <v>23.65</v>
      </c>
      <c r="G131" s="25">
        <v>30</v>
      </c>
      <c r="H131" s="25">
        <v>24.21</v>
      </c>
      <c r="I131" s="25">
        <v>24.01</v>
      </c>
      <c r="J131" s="26">
        <v>2775500</v>
      </c>
      <c r="K131" s="27">
        <v>4395000</v>
      </c>
      <c r="L131" s="28">
        <v>83</v>
      </c>
      <c r="M131" s="28">
        <v>49</v>
      </c>
      <c r="N131" s="29">
        <v>2.86</v>
      </c>
      <c r="O131" s="27">
        <v>52952</v>
      </c>
      <c r="P131" s="27">
        <v>151552</v>
      </c>
      <c r="Q131" s="27">
        <v>191318</v>
      </c>
      <c r="R131" s="27">
        <v>120674</v>
      </c>
      <c r="S131" s="27">
        <v>167949</v>
      </c>
      <c r="T131" s="30">
        <v>1.58</v>
      </c>
      <c r="U131" s="31">
        <v>29</v>
      </c>
      <c r="V131" s="28">
        <v>23</v>
      </c>
      <c r="W131" s="32">
        <v>66500980</v>
      </c>
      <c r="X131" s="23" t="s">
        <v>75</v>
      </c>
      <c r="Y131" s="33">
        <v>1293840</v>
      </c>
      <c r="Z131" s="34">
        <v>2539760</v>
      </c>
      <c r="AA131" s="34">
        <v>3162720</v>
      </c>
      <c r="AB131" s="34">
        <v>167720</v>
      </c>
      <c r="AC131" s="34">
        <v>4528440</v>
      </c>
      <c r="AD131" s="34"/>
      <c r="AE131" s="34">
        <v>1162060</v>
      </c>
      <c r="AF131" s="34">
        <v>1018300</v>
      </c>
      <c r="AG131" s="34">
        <v>3629940</v>
      </c>
      <c r="AH131" s="34">
        <v>8829260</v>
      </c>
      <c r="AI131" s="34">
        <v>1557400</v>
      </c>
      <c r="AJ131" s="34">
        <v>5127440</v>
      </c>
      <c r="AK131" s="34">
        <v>515140</v>
      </c>
      <c r="AL131" s="34">
        <v>1629280</v>
      </c>
      <c r="AM131" s="34">
        <v>874540</v>
      </c>
      <c r="AN131" s="34">
        <v>311480</v>
      </c>
      <c r="AO131" s="34">
        <v>9152720</v>
      </c>
      <c r="AP131" s="34">
        <v>11980</v>
      </c>
      <c r="AQ131" s="34">
        <v>599000</v>
      </c>
      <c r="AR131" s="34">
        <v>119800</v>
      </c>
      <c r="AS131" s="34">
        <v>299500</v>
      </c>
      <c r="AT131" s="34">
        <v>107820</v>
      </c>
      <c r="AU131" s="34">
        <v>3138760</v>
      </c>
      <c r="AV131" s="34">
        <v>6397320</v>
      </c>
      <c r="AW131" s="34"/>
      <c r="AX131" s="34">
        <v>1820960</v>
      </c>
      <c r="AY131" s="34">
        <v>5391000</v>
      </c>
      <c r="AZ131" s="34">
        <v>886520</v>
      </c>
      <c r="BA131" s="34">
        <v>467220</v>
      </c>
      <c r="BB131" s="34">
        <v>1761060</v>
      </c>
      <c r="BC131" s="35"/>
    </row>
    <row r="132" spans="1:55" x14ac:dyDescent="0.4">
      <c r="A132" s="20">
        <v>43613</v>
      </c>
      <c r="B132" s="21">
        <v>43613.458634259259</v>
      </c>
      <c r="C132" s="22" t="s">
        <v>73</v>
      </c>
      <c r="D132" s="23" t="s">
        <v>74</v>
      </c>
      <c r="E132" s="24">
        <v>25.3</v>
      </c>
      <c r="F132" s="25">
        <v>13.5</v>
      </c>
      <c r="G132" s="25">
        <v>30</v>
      </c>
      <c r="H132" s="25">
        <v>24.74</v>
      </c>
      <c r="I132" s="25">
        <v>25.17</v>
      </c>
      <c r="J132" s="26">
        <v>2495000</v>
      </c>
      <c r="K132" s="27">
        <v>5199000</v>
      </c>
      <c r="L132" s="28">
        <v>82</v>
      </c>
      <c r="M132" s="28">
        <v>23</v>
      </c>
      <c r="N132" s="29">
        <v>3.42</v>
      </c>
      <c r="O132" s="27">
        <v>63402</v>
      </c>
      <c r="P132" s="27">
        <v>216625</v>
      </c>
      <c r="Q132" s="27">
        <v>275376</v>
      </c>
      <c r="R132" s="27">
        <v>146765</v>
      </c>
      <c r="S132" s="27">
        <v>194988</v>
      </c>
      <c r="T132" s="30">
        <v>2.08</v>
      </c>
      <c r="U132" s="31">
        <v>24</v>
      </c>
      <c r="V132" s="28">
        <v>17</v>
      </c>
      <c r="W132" s="32">
        <v>63123500</v>
      </c>
      <c r="X132" s="23" t="s">
        <v>75</v>
      </c>
      <c r="Y132" s="33">
        <v>1366200</v>
      </c>
      <c r="Z132" s="34">
        <v>2681800</v>
      </c>
      <c r="AA132" s="34">
        <v>3339600</v>
      </c>
      <c r="AB132" s="34">
        <v>177100</v>
      </c>
      <c r="AC132" s="34">
        <v>4781700</v>
      </c>
      <c r="AD132" s="34"/>
      <c r="AE132" s="34">
        <v>1227050</v>
      </c>
      <c r="AF132" s="34">
        <v>1075250</v>
      </c>
      <c r="AG132" s="34">
        <v>3832950</v>
      </c>
      <c r="AH132" s="34">
        <v>9323050</v>
      </c>
      <c r="AI132" s="34">
        <v>1644500</v>
      </c>
      <c r="AJ132" s="34">
        <v>5414200</v>
      </c>
      <c r="AK132" s="34">
        <v>543950</v>
      </c>
      <c r="AL132" s="34">
        <v>1720400</v>
      </c>
      <c r="AM132" s="34">
        <v>923450</v>
      </c>
      <c r="AN132" s="34"/>
      <c r="AO132" s="34">
        <v>9664600</v>
      </c>
      <c r="AP132" s="34"/>
      <c r="AQ132" s="34">
        <v>632500</v>
      </c>
      <c r="AR132" s="34">
        <v>126500</v>
      </c>
      <c r="AS132" s="34">
        <v>316250</v>
      </c>
      <c r="AT132" s="34">
        <v>113850</v>
      </c>
      <c r="AU132" s="34">
        <v>3314300</v>
      </c>
      <c r="AV132" s="34"/>
      <c r="AW132" s="34"/>
      <c r="AX132" s="34">
        <v>1922800</v>
      </c>
      <c r="AY132" s="34">
        <v>5692500</v>
      </c>
      <c r="AZ132" s="34">
        <v>936100</v>
      </c>
      <c r="BA132" s="34">
        <v>493350</v>
      </c>
      <c r="BB132" s="34">
        <v>1859550</v>
      </c>
      <c r="BC132" s="35"/>
    </row>
    <row r="133" spans="1:55" x14ac:dyDescent="0.4">
      <c r="A133" s="20">
        <v>43609</v>
      </c>
      <c r="B133" s="21">
        <v>43609.459131944444</v>
      </c>
      <c r="C133" s="22" t="s">
        <v>76</v>
      </c>
      <c r="D133" s="23" t="s">
        <v>74</v>
      </c>
      <c r="E133" s="24">
        <v>25.61</v>
      </c>
      <c r="F133" s="25">
        <v>13.5</v>
      </c>
      <c r="G133" s="25">
        <v>35</v>
      </c>
      <c r="H133" s="25">
        <v>25.41</v>
      </c>
      <c r="I133" s="25">
        <v>25.65</v>
      </c>
      <c r="J133" s="26">
        <v>3209000</v>
      </c>
      <c r="K133" s="27">
        <v>5282000</v>
      </c>
      <c r="L133" s="28">
        <v>86</v>
      </c>
      <c r="M133" s="28">
        <v>50</v>
      </c>
      <c r="N133" s="29">
        <v>3.31</v>
      </c>
      <c r="O133" s="27">
        <v>61419</v>
      </c>
      <c r="P133" s="27">
        <v>203154</v>
      </c>
      <c r="Q133" s="27">
        <v>265166</v>
      </c>
      <c r="R133" s="27">
        <v>145864</v>
      </c>
      <c r="S133" s="27">
        <v>211924</v>
      </c>
      <c r="T133" s="30">
        <v>1.65</v>
      </c>
      <c r="U133" s="31">
        <v>26</v>
      </c>
      <c r="V133" s="28">
        <v>22</v>
      </c>
      <c r="W133" s="32">
        <v>82182490</v>
      </c>
      <c r="X133" s="23" t="s">
        <v>77</v>
      </c>
      <c r="Y133" s="33"/>
      <c r="Z133" s="34"/>
      <c r="AA133" s="34"/>
      <c r="AB133" s="34"/>
      <c r="AC133" s="34"/>
      <c r="AD133" s="34">
        <v>82182490</v>
      </c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5"/>
    </row>
    <row r="134" spans="1:55" x14ac:dyDescent="0.4">
      <c r="A134" s="20">
        <v>43608</v>
      </c>
      <c r="B134" s="21">
        <v>43608.458680555559</v>
      </c>
      <c r="C134" s="22" t="s">
        <v>73</v>
      </c>
      <c r="D134" s="23" t="s">
        <v>74</v>
      </c>
      <c r="E134" s="24">
        <v>26.05</v>
      </c>
      <c r="F134" s="25">
        <v>13.5</v>
      </c>
      <c r="G134" s="25">
        <v>35</v>
      </c>
      <c r="H134" s="25">
        <v>25.74</v>
      </c>
      <c r="I134" s="25">
        <v>26.05</v>
      </c>
      <c r="J134" s="26">
        <v>2495000</v>
      </c>
      <c r="K134" s="27">
        <v>4540500</v>
      </c>
      <c r="L134" s="28">
        <v>84</v>
      </c>
      <c r="M134" s="28">
        <v>43</v>
      </c>
      <c r="N134" s="29">
        <v>3.23</v>
      </c>
      <c r="O134" s="27">
        <v>54054</v>
      </c>
      <c r="P134" s="27">
        <v>174635</v>
      </c>
      <c r="Q134" s="27">
        <v>223258</v>
      </c>
      <c r="R134" s="27">
        <v>99800</v>
      </c>
      <c r="S134" s="27">
        <v>151428</v>
      </c>
      <c r="T134" s="30">
        <v>1.82</v>
      </c>
      <c r="U134" s="31">
        <v>26</v>
      </c>
      <c r="V134" s="28">
        <v>25</v>
      </c>
      <c r="W134" s="32">
        <v>64994750</v>
      </c>
      <c r="X134" s="23" t="s">
        <v>75</v>
      </c>
      <c r="Y134" s="33">
        <v>1406700</v>
      </c>
      <c r="Z134" s="34">
        <v>2761300</v>
      </c>
      <c r="AA134" s="34">
        <v>3438600</v>
      </c>
      <c r="AB134" s="34">
        <v>182350</v>
      </c>
      <c r="AC134" s="34">
        <v>4923450</v>
      </c>
      <c r="AD134" s="34"/>
      <c r="AE134" s="34">
        <v>1263425</v>
      </c>
      <c r="AF134" s="34">
        <v>1107125</v>
      </c>
      <c r="AG134" s="34">
        <v>3946575</v>
      </c>
      <c r="AH134" s="34">
        <v>9599425</v>
      </c>
      <c r="AI134" s="34">
        <v>1693250</v>
      </c>
      <c r="AJ134" s="34">
        <v>5574700</v>
      </c>
      <c r="AK134" s="34">
        <v>560075</v>
      </c>
      <c r="AL134" s="34">
        <v>1771400</v>
      </c>
      <c r="AM134" s="34">
        <v>950825</v>
      </c>
      <c r="AN134" s="34"/>
      <c r="AO134" s="34">
        <v>9951100</v>
      </c>
      <c r="AP134" s="34"/>
      <c r="AQ134" s="34">
        <v>651250</v>
      </c>
      <c r="AR134" s="34">
        <v>130250</v>
      </c>
      <c r="AS134" s="34">
        <v>325625</v>
      </c>
      <c r="AT134" s="34">
        <v>117225</v>
      </c>
      <c r="AU134" s="34">
        <v>3412550</v>
      </c>
      <c r="AV134" s="34"/>
      <c r="AW134" s="34"/>
      <c r="AX134" s="34">
        <v>1979800</v>
      </c>
      <c r="AY134" s="34">
        <v>5861250</v>
      </c>
      <c r="AZ134" s="34">
        <v>963850</v>
      </c>
      <c r="BA134" s="34">
        <v>507975</v>
      </c>
      <c r="BB134" s="34">
        <v>1914675</v>
      </c>
      <c r="BC134" s="35"/>
    </row>
    <row r="135" spans="1:55" x14ac:dyDescent="0.4">
      <c r="A135" s="20">
        <v>43607</v>
      </c>
      <c r="B135" s="21">
        <v>43607.62537037037</v>
      </c>
      <c r="C135" s="22" t="s">
        <v>83</v>
      </c>
      <c r="D135" s="23" t="s">
        <v>81</v>
      </c>
      <c r="E135" s="24">
        <v>25.65</v>
      </c>
      <c r="F135" s="25">
        <v>25.23</v>
      </c>
      <c r="G135" s="25">
        <v>25.82</v>
      </c>
      <c r="H135" s="25">
        <v>25.51</v>
      </c>
      <c r="I135" s="25">
        <v>25.53</v>
      </c>
      <c r="J135" s="26">
        <v>112500</v>
      </c>
      <c r="K135" s="27">
        <v>512500</v>
      </c>
      <c r="L135" s="28">
        <v>29</v>
      </c>
      <c r="M135" s="28">
        <v>4</v>
      </c>
      <c r="N135" s="29">
        <v>4.83</v>
      </c>
      <c r="O135" s="27">
        <v>17672</v>
      </c>
      <c r="P135" s="27">
        <v>85417</v>
      </c>
      <c r="Q135" s="27">
        <v>31801</v>
      </c>
      <c r="R135" s="27">
        <v>56250</v>
      </c>
      <c r="S135" s="27">
        <v>18750</v>
      </c>
      <c r="T135" s="30">
        <v>4.5599999999999996</v>
      </c>
      <c r="U135" s="31">
        <v>6</v>
      </c>
      <c r="V135" s="28">
        <v>2</v>
      </c>
      <c r="W135" s="32">
        <v>2885625</v>
      </c>
      <c r="X135" s="23" t="s">
        <v>79</v>
      </c>
      <c r="Y135" s="33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>
        <v>2885625</v>
      </c>
      <c r="AX135" s="34"/>
      <c r="AY135" s="34"/>
      <c r="AZ135" s="34"/>
      <c r="BA135" s="34"/>
      <c r="BB135" s="34"/>
      <c r="BC135" s="35"/>
    </row>
    <row r="136" spans="1:55" x14ac:dyDescent="0.4">
      <c r="A136" s="20">
        <v>43607</v>
      </c>
      <c r="B136" s="21">
        <v>43607.458518518521</v>
      </c>
      <c r="C136" s="22" t="s">
        <v>78</v>
      </c>
      <c r="D136" s="23" t="s">
        <v>74</v>
      </c>
      <c r="E136" s="24">
        <v>25.4</v>
      </c>
      <c r="F136" s="25">
        <v>13.5</v>
      </c>
      <c r="G136" s="25">
        <v>31</v>
      </c>
      <c r="H136" s="25">
        <v>25.05</v>
      </c>
      <c r="I136" s="25">
        <v>25.24</v>
      </c>
      <c r="J136" s="26">
        <v>4428500</v>
      </c>
      <c r="K136" s="27">
        <v>9305500</v>
      </c>
      <c r="L136" s="28">
        <v>105</v>
      </c>
      <c r="M136" s="28">
        <v>32</v>
      </c>
      <c r="N136" s="29">
        <v>4.38</v>
      </c>
      <c r="O136" s="27">
        <v>88624</v>
      </c>
      <c r="P136" s="27">
        <v>387729</v>
      </c>
      <c r="Q136" s="27">
        <v>556212</v>
      </c>
      <c r="R136" s="27">
        <v>260500</v>
      </c>
      <c r="S136" s="27">
        <v>313843</v>
      </c>
      <c r="T136" s="30">
        <v>2.1</v>
      </c>
      <c r="U136" s="31">
        <v>24</v>
      </c>
      <c r="V136" s="28">
        <v>17</v>
      </c>
      <c r="W136" s="32">
        <v>112483900</v>
      </c>
      <c r="X136" s="23" t="s">
        <v>79</v>
      </c>
      <c r="Y136" s="33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>
        <v>112483900</v>
      </c>
      <c r="AX136" s="34"/>
      <c r="AY136" s="34"/>
      <c r="AZ136" s="34"/>
      <c r="BA136" s="34"/>
      <c r="BB136" s="34"/>
      <c r="BC136" s="35"/>
    </row>
    <row r="137" spans="1:55" x14ac:dyDescent="0.4">
      <c r="A137" s="20">
        <v>43606</v>
      </c>
      <c r="B137" s="21">
        <v>43606.458680555559</v>
      </c>
      <c r="C137" s="22" t="s">
        <v>73</v>
      </c>
      <c r="D137" s="23" t="s">
        <v>74</v>
      </c>
      <c r="E137" s="24">
        <v>25.01</v>
      </c>
      <c r="F137" s="25">
        <v>13.5</v>
      </c>
      <c r="G137" s="25">
        <v>30</v>
      </c>
      <c r="H137" s="25">
        <v>24.57</v>
      </c>
      <c r="I137" s="25">
        <v>24.94</v>
      </c>
      <c r="J137" s="26">
        <v>2495000</v>
      </c>
      <c r="K137" s="27">
        <v>5328000</v>
      </c>
      <c r="L137" s="28">
        <v>94</v>
      </c>
      <c r="M137" s="28">
        <v>36</v>
      </c>
      <c r="N137" s="29">
        <v>3.36</v>
      </c>
      <c r="O137" s="27">
        <v>56681</v>
      </c>
      <c r="P137" s="27">
        <v>190286</v>
      </c>
      <c r="Q137" s="27">
        <v>276592</v>
      </c>
      <c r="R137" s="27">
        <v>118810</v>
      </c>
      <c r="S137" s="27">
        <v>165428</v>
      </c>
      <c r="T137" s="30">
        <v>2.14</v>
      </c>
      <c r="U137" s="31">
        <v>28</v>
      </c>
      <c r="V137" s="28">
        <v>21</v>
      </c>
      <c r="W137" s="32">
        <v>62399950</v>
      </c>
      <c r="X137" s="23" t="s">
        <v>75</v>
      </c>
      <c r="Y137" s="33">
        <v>1350540</v>
      </c>
      <c r="Z137" s="34">
        <v>2651060</v>
      </c>
      <c r="AA137" s="34">
        <v>3301320</v>
      </c>
      <c r="AB137" s="34">
        <v>175070</v>
      </c>
      <c r="AC137" s="34">
        <v>4726890</v>
      </c>
      <c r="AD137" s="34"/>
      <c r="AE137" s="34">
        <v>1212985</v>
      </c>
      <c r="AF137" s="34">
        <v>1062925</v>
      </c>
      <c r="AG137" s="34">
        <v>3789015</v>
      </c>
      <c r="AH137" s="34">
        <v>9216185</v>
      </c>
      <c r="AI137" s="34">
        <v>1625650</v>
      </c>
      <c r="AJ137" s="34">
        <v>5352140</v>
      </c>
      <c r="AK137" s="34">
        <v>537715</v>
      </c>
      <c r="AL137" s="34">
        <v>1700680</v>
      </c>
      <c r="AM137" s="34">
        <v>912865</v>
      </c>
      <c r="AN137" s="34"/>
      <c r="AO137" s="34">
        <v>9553820</v>
      </c>
      <c r="AP137" s="34"/>
      <c r="AQ137" s="34">
        <v>625250</v>
      </c>
      <c r="AR137" s="34">
        <v>125050</v>
      </c>
      <c r="AS137" s="34">
        <v>312625</v>
      </c>
      <c r="AT137" s="34">
        <v>112545</v>
      </c>
      <c r="AU137" s="34">
        <v>3276310</v>
      </c>
      <c r="AV137" s="34"/>
      <c r="AW137" s="34"/>
      <c r="AX137" s="34">
        <v>1900760</v>
      </c>
      <c r="AY137" s="34">
        <v>5627250</v>
      </c>
      <c r="AZ137" s="34">
        <v>925370</v>
      </c>
      <c r="BA137" s="34">
        <v>487695</v>
      </c>
      <c r="BB137" s="34">
        <v>1838235</v>
      </c>
      <c r="BC137" s="35"/>
    </row>
    <row r="138" spans="1:55" x14ac:dyDescent="0.4">
      <c r="A138" s="20">
        <v>43605</v>
      </c>
      <c r="B138" s="21">
        <v>43605.458599537036</v>
      </c>
      <c r="C138" s="22" t="s">
        <v>73</v>
      </c>
      <c r="D138" s="23" t="s">
        <v>74</v>
      </c>
      <c r="E138" s="24">
        <v>24.91</v>
      </c>
      <c r="F138" s="25">
        <v>13.5</v>
      </c>
      <c r="G138" s="25">
        <v>30</v>
      </c>
      <c r="H138" s="25">
        <v>24.48</v>
      </c>
      <c r="I138" s="25">
        <v>24.75</v>
      </c>
      <c r="J138" s="26">
        <v>2495000</v>
      </c>
      <c r="K138" s="27">
        <v>6123000</v>
      </c>
      <c r="L138" s="28">
        <v>112</v>
      </c>
      <c r="M138" s="28">
        <v>28</v>
      </c>
      <c r="N138" s="29">
        <v>3.86</v>
      </c>
      <c r="O138" s="27">
        <v>54670</v>
      </c>
      <c r="P138" s="27">
        <v>211138</v>
      </c>
      <c r="Q138" s="27">
        <v>265551</v>
      </c>
      <c r="R138" s="27">
        <v>118810</v>
      </c>
      <c r="S138" s="27">
        <v>137368</v>
      </c>
      <c r="T138" s="30">
        <v>2.4500000000000002</v>
      </c>
      <c r="U138" s="31">
        <v>29</v>
      </c>
      <c r="V138" s="28">
        <v>21</v>
      </c>
      <c r="W138" s="32">
        <v>62150450</v>
      </c>
      <c r="X138" s="23" t="s">
        <v>75</v>
      </c>
      <c r="Y138" s="33">
        <v>1345140</v>
      </c>
      <c r="Z138" s="34">
        <v>2640460</v>
      </c>
      <c r="AA138" s="34">
        <v>3288120</v>
      </c>
      <c r="AB138" s="34">
        <v>174370</v>
      </c>
      <c r="AC138" s="34">
        <v>4707990</v>
      </c>
      <c r="AD138" s="34"/>
      <c r="AE138" s="34">
        <v>1208135</v>
      </c>
      <c r="AF138" s="34">
        <v>1058675</v>
      </c>
      <c r="AG138" s="34">
        <v>3773865</v>
      </c>
      <c r="AH138" s="34">
        <v>9179335</v>
      </c>
      <c r="AI138" s="34">
        <v>1619150</v>
      </c>
      <c r="AJ138" s="34">
        <v>5330740</v>
      </c>
      <c r="AK138" s="34">
        <v>535565</v>
      </c>
      <c r="AL138" s="34">
        <v>1693880</v>
      </c>
      <c r="AM138" s="34">
        <v>909215</v>
      </c>
      <c r="AN138" s="34"/>
      <c r="AO138" s="34">
        <v>9515620</v>
      </c>
      <c r="AP138" s="34"/>
      <c r="AQ138" s="34">
        <v>622750</v>
      </c>
      <c r="AR138" s="34">
        <v>124550</v>
      </c>
      <c r="AS138" s="34">
        <v>311375</v>
      </c>
      <c r="AT138" s="34">
        <v>112095</v>
      </c>
      <c r="AU138" s="34">
        <v>3263210</v>
      </c>
      <c r="AV138" s="34"/>
      <c r="AW138" s="34"/>
      <c r="AX138" s="34">
        <v>1893160</v>
      </c>
      <c r="AY138" s="34">
        <v>5604750</v>
      </c>
      <c r="AZ138" s="34">
        <v>921670</v>
      </c>
      <c r="BA138" s="34">
        <v>485745</v>
      </c>
      <c r="BB138" s="34">
        <v>1830885</v>
      </c>
      <c r="BC138" s="35"/>
    </row>
    <row r="139" spans="1:55" x14ac:dyDescent="0.4">
      <c r="A139" s="20">
        <v>43602</v>
      </c>
      <c r="B139" s="21">
        <v>43602.458726851852</v>
      </c>
      <c r="C139" s="22" t="s">
        <v>76</v>
      </c>
      <c r="D139" s="23" t="s">
        <v>74</v>
      </c>
      <c r="E139" s="24">
        <v>25.01</v>
      </c>
      <c r="F139" s="25">
        <v>13.5</v>
      </c>
      <c r="G139" s="25">
        <v>30</v>
      </c>
      <c r="H139" s="25">
        <v>24.67</v>
      </c>
      <c r="I139" s="25">
        <v>24.99</v>
      </c>
      <c r="J139" s="26">
        <v>3209000</v>
      </c>
      <c r="K139" s="27">
        <v>5467000</v>
      </c>
      <c r="L139" s="28">
        <v>89</v>
      </c>
      <c r="M139" s="28">
        <v>40</v>
      </c>
      <c r="N139" s="29">
        <v>3.71</v>
      </c>
      <c r="O139" s="27">
        <v>61427</v>
      </c>
      <c r="P139" s="27">
        <v>227792</v>
      </c>
      <c r="Q139" s="27">
        <v>308488</v>
      </c>
      <c r="R139" s="27">
        <v>145864</v>
      </c>
      <c r="S139" s="27">
        <v>207627</v>
      </c>
      <c r="T139" s="30">
        <v>1.7</v>
      </c>
      <c r="U139" s="31">
        <v>24</v>
      </c>
      <c r="V139" s="28">
        <v>22</v>
      </c>
      <c r="W139" s="32">
        <v>80257090</v>
      </c>
      <c r="X139" s="23" t="s">
        <v>77</v>
      </c>
      <c r="Y139" s="33"/>
      <c r="Z139" s="34"/>
      <c r="AA139" s="34"/>
      <c r="AB139" s="34"/>
      <c r="AC139" s="34"/>
      <c r="AD139" s="34">
        <v>80257090</v>
      </c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5"/>
    </row>
    <row r="140" spans="1:55" x14ac:dyDescent="0.4">
      <c r="A140" s="20">
        <v>43601</v>
      </c>
      <c r="B140" s="21">
        <v>43601.458564814813</v>
      </c>
      <c r="C140" s="22" t="s">
        <v>73</v>
      </c>
      <c r="D140" s="23" t="s">
        <v>74</v>
      </c>
      <c r="E140" s="24">
        <v>25.81</v>
      </c>
      <c r="F140" s="25">
        <v>13.5</v>
      </c>
      <c r="G140" s="25">
        <v>30</v>
      </c>
      <c r="H140" s="25">
        <v>25.39</v>
      </c>
      <c r="I140" s="25">
        <v>25.81</v>
      </c>
      <c r="J140" s="26">
        <v>2495000</v>
      </c>
      <c r="K140" s="27">
        <v>4058500</v>
      </c>
      <c r="L140" s="28">
        <v>82</v>
      </c>
      <c r="M140" s="28">
        <v>39</v>
      </c>
      <c r="N140" s="29">
        <v>3.28</v>
      </c>
      <c r="O140" s="27">
        <v>49494</v>
      </c>
      <c r="P140" s="27">
        <v>162340</v>
      </c>
      <c r="Q140" s="27">
        <v>203680</v>
      </c>
      <c r="R140" s="27">
        <v>124750</v>
      </c>
      <c r="S140" s="27">
        <v>147356</v>
      </c>
      <c r="T140" s="30">
        <v>1.63</v>
      </c>
      <c r="U140" s="31">
        <v>25</v>
      </c>
      <c r="V140" s="28">
        <v>20</v>
      </c>
      <c r="W140" s="32">
        <v>64395950</v>
      </c>
      <c r="X140" s="23" t="s">
        <v>75</v>
      </c>
      <c r="Y140" s="33">
        <v>1393740</v>
      </c>
      <c r="Z140" s="34">
        <v>2735860</v>
      </c>
      <c r="AA140" s="34">
        <v>3406920</v>
      </c>
      <c r="AB140" s="34">
        <v>180670</v>
      </c>
      <c r="AC140" s="34">
        <v>4878090</v>
      </c>
      <c r="AD140" s="34"/>
      <c r="AE140" s="34">
        <v>1251785</v>
      </c>
      <c r="AF140" s="34">
        <v>1096925</v>
      </c>
      <c r="AG140" s="34">
        <v>3910215</v>
      </c>
      <c r="AH140" s="34">
        <v>9510985</v>
      </c>
      <c r="AI140" s="34">
        <v>1677650</v>
      </c>
      <c r="AJ140" s="34">
        <v>5523340</v>
      </c>
      <c r="AK140" s="34">
        <v>554915</v>
      </c>
      <c r="AL140" s="34">
        <v>1755080</v>
      </c>
      <c r="AM140" s="34">
        <v>942065</v>
      </c>
      <c r="AN140" s="34"/>
      <c r="AO140" s="34">
        <v>9859420</v>
      </c>
      <c r="AP140" s="34"/>
      <c r="AQ140" s="34">
        <v>645250</v>
      </c>
      <c r="AR140" s="34">
        <v>129050</v>
      </c>
      <c r="AS140" s="34">
        <v>322625</v>
      </c>
      <c r="AT140" s="34">
        <v>116145</v>
      </c>
      <c r="AU140" s="34">
        <v>3381110</v>
      </c>
      <c r="AV140" s="34"/>
      <c r="AW140" s="34"/>
      <c r="AX140" s="34">
        <v>1961560</v>
      </c>
      <c r="AY140" s="34">
        <v>5807250</v>
      </c>
      <c r="AZ140" s="34">
        <v>954970</v>
      </c>
      <c r="BA140" s="34">
        <v>503295</v>
      </c>
      <c r="BB140" s="34">
        <v>1897035</v>
      </c>
      <c r="BC140" s="35"/>
    </row>
    <row r="141" spans="1:55" x14ac:dyDescent="0.4">
      <c r="A141" s="20">
        <v>43599</v>
      </c>
      <c r="B141" s="21">
        <v>43599.458749999998</v>
      </c>
      <c r="C141" s="22" t="s">
        <v>73</v>
      </c>
      <c r="D141" s="23" t="s">
        <v>74</v>
      </c>
      <c r="E141" s="24">
        <v>25.03</v>
      </c>
      <c r="F141" s="25">
        <v>24.1</v>
      </c>
      <c r="G141" s="25">
        <v>30</v>
      </c>
      <c r="H141" s="25">
        <v>25.11</v>
      </c>
      <c r="I141" s="25">
        <v>24.89</v>
      </c>
      <c r="J141" s="26">
        <v>2495000</v>
      </c>
      <c r="K141" s="27">
        <v>4750500</v>
      </c>
      <c r="L141" s="28">
        <v>92</v>
      </c>
      <c r="M141" s="28">
        <v>28</v>
      </c>
      <c r="N141" s="29">
        <v>3.17</v>
      </c>
      <c r="O141" s="27">
        <v>51636</v>
      </c>
      <c r="P141" s="27">
        <v>163810</v>
      </c>
      <c r="Q141" s="27">
        <v>205894</v>
      </c>
      <c r="R141" s="27">
        <v>118810</v>
      </c>
      <c r="S141" s="27">
        <v>136618</v>
      </c>
      <c r="T141" s="30">
        <v>1.9</v>
      </c>
      <c r="U141" s="31">
        <v>29</v>
      </c>
      <c r="V141" s="28">
        <v>21</v>
      </c>
      <c r="W141" s="32">
        <v>62449850</v>
      </c>
      <c r="X141" s="23" t="s">
        <v>75</v>
      </c>
      <c r="Y141" s="33">
        <v>1351620</v>
      </c>
      <c r="Z141" s="34">
        <v>2653180</v>
      </c>
      <c r="AA141" s="34">
        <v>3303960</v>
      </c>
      <c r="AB141" s="34">
        <v>175210</v>
      </c>
      <c r="AC141" s="34">
        <v>4730670</v>
      </c>
      <c r="AD141" s="34"/>
      <c r="AE141" s="34">
        <v>1213955</v>
      </c>
      <c r="AF141" s="34">
        <v>1063775</v>
      </c>
      <c r="AG141" s="34">
        <v>3792045</v>
      </c>
      <c r="AH141" s="34">
        <v>9223555</v>
      </c>
      <c r="AI141" s="34">
        <v>1626950</v>
      </c>
      <c r="AJ141" s="34">
        <v>5356420</v>
      </c>
      <c r="AK141" s="34">
        <v>538145</v>
      </c>
      <c r="AL141" s="34">
        <v>1702040</v>
      </c>
      <c r="AM141" s="34">
        <v>913595</v>
      </c>
      <c r="AN141" s="34"/>
      <c r="AO141" s="34">
        <v>9561460</v>
      </c>
      <c r="AP141" s="34"/>
      <c r="AQ141" s="34">
        <v>625750</v>
      </c>
      <c r="AR141" s="34">
        <v>125150</v>
      </c>
      <c r="AS141" s="34">
        <v>312875</v>
      </c>
      <c r="AT141" s="34">
        <v>112635</v>
      </c>
      <c r="AU141" s="34">
        <v>3278930</v>
      </c>
      <c r="AV141" s="34"/>
      <c r="AW141" s="34"/>
      <c r="AX141" s="34">
        <v>1902280</v>
      </c>
      <c r="AY141" s="34">
        <v>5631750</v>
      </c>
      <c r="AZ141" s="34">
        <v>926110</v>
      </c>
      <c r="BA141" s="34">
        <v>488085</v>
      </c>
      <c r="BB141" s="34">
        <v>1839705</v>
      </c>
      <c r="BC141" s="35"/>
    </row>
    <row r="142" spans="1:55" x14ac:dyDescent="0.4">
      <c r="A142" s="20">
        <v>43598</v>
      </c>
      <c r="B142" s="21">
        <v>43598.458553240744</v>
      </c>
      <c r="C142" s="22" t="s">
        <v>73</v>
      </c>
      <c r="D142" s="23" t="s">
        <v>74</v>
      </c>
      <c r="E142" s="24">
        <v>25.25</v>
      </c>
      <c r="F142" s="25">
        <v>13.5</v>
      </c>
      <c r="G142" s="25">
        <v>31</v>
      </c>
      <c r="H142" s="25">
        <v>24.97</v>
      </c>
      <c r="I142" s="25">
        <v>25.19</v>
      </c>
      <c r="J142" s="26">
        <v>2495000</v>
      </c>
      <c r="K142" s="27">
        <v>4412500</v>
      </c>
      <c r="L142" s="28">
        <v>86</v>
      </c>
      <c r="M142" s="28">
        <v>36</v>
      </c>
      <c r="N142" s="29">
        <v>3.74</v>
      </c>
      <c r="O142" s="27">
        <v>51308</v>
      </c>
      <c r="P142" s="27">
        <v>191848</v>
      </c>
      <c r="Q142" s="27">
        <v>232370</v>
      </c>
      <c r="R142" s="27">
        <v>146765</v>
      </c>
      <c r="S142" s="27">
        <v>182599</v>
      </c>
      <c r="T142" s="30">
        <v>1.77</v>
      </c>
      <c r="U142" s="31">
        <v>23</v>
      </c>
      <c r="V142" s="28">
        <v>17</v>
      </c>
      <c r="W142" s="32">
        <v>62998750</v>
      </c>
      <c r="X142" s="23" t="s">
        <v>75</v>
      </c>
      <c r="Y142" s="33">
        <v>1363500</v>
      </c>
      <c r="Z142" s="34">
        <v>2676500</v>
      </c>
      <c r="AA142" s="34">
        <v>3333000</v>
      </c>
      <c r="AB142" s="34">
        <v>176750</v>
      </c>
      <c r="AC142" s="34">
        <v>4772250</v>
      </c>
      <c r="AD142" s="34"/>
      <c r="AE142" s="34">
        <v>1224625</v>
      </c>
      <c r="AF142" s="34">
        <v>1073125</v>
      </c>
      <c r="AG142" s="34">
        <v>3825375</v>
      </c>
      <c r="AH142" s="34">
        <v>9304625</v>
      </c>
      <c r="AI142" s="34">
        <v>1641250</v>
      </c>
      <c r="AJ142" s="34">
        <v>5403500</v>
      </c>
      <c r="AK142" s="34">
        <v>542875</v>
      </c>
      <c r="AL142" s="34">
        <v>1717000</v>
      </c>
      <c r="AM142" s="34">
        <v>921625</v>
      </c>
      <c r="AN142" s="34"/>
      <c r="AO142" s="34">
        <v>9645500</v>
      </c>
      <c r="AP142" s="34"/>
      <c r="AQ142" s="34">
        <v>631250</v>
      </c>
      <c r="AR142" s="34">
        <v>126250</v>
      </c>
      <c r="AS142" s="34">
        <v>315625</v>
      </c>
      <c r="AT142" s="34">
        <v>113625</v>
      </c>
      <c r="AU142" s="34">
        <v>3307750</v>
      </c>
      <c r="AV142" s="34"/>
      <c r="AW142" s="34"/>
      <c r="AX142" s="34">
        <v>1919000</v>
      </c>
      <c r="AY142" s="34">
        <v>5681250</v>
      </c>
      <c r="AZ142" s="34">
        <v>934250</v>
      </c>
      <c r="BA142" s="34">
        <v>492375</v>
      </c>
      <c r="BB142" s="34">
        <v>1855875</v>
      </c>
      <c r="BC142" s="35"/>
    </row>
    <row r="143" spans="1:55" x14ac:dyDescent="0.4">
      <c r="A143" s="20">
        <v>43595</v>
      </c>
      <c r="B143" s="21">
        <v>43595.458587962959</v>
      </c>
      <c r="C143" s="22" t="s">
        <v>76</v>
      </c>
      <c r="D143" s="23" t="s">
        <v>74</v>
      </c>
      <c r="E143" s="24">
        <v>26.35</v>
      </c>
      <c r="F143" s="25">
        <v>0.01</v>
      </c>
      <c r="G143" s="25">
        <v>32</v>
      </c>
      <c r="H143" s="25">
        <v>25.41</v>
      </c>
      <c r="I143" s="25">
        <v>26.3</v>
      </c>
      <c r="J143" s="26">
        <v>3209000</v>
      </c>
      <c r="K143" s="27">
        <v>5234000</v>
      </c>
      <c r="L143" s="28">
        <v>86</v>
      </c>
      <c r="M143" s="28">
        <v>40</v>
      </c>
      <c r="N143" s="29">
        <v>3.58</v>
      </c>
      <c r="O143" s="27">
        <v>60860</v>
      </c>
      <c r="P143" s="27">
        <v>218083</v>
      </c>
      <c r="Q143" s="27">
        <v>289163</v>
      </c>
      <c r="R143" s="27">
        <v>168895</v>
      </c>
      <c r="S143" s="27">
        <v>225873</v>
      </c>
      <c r="T143" s="30">
        <v>1.63</v>
      </c>
      <c r="U143" s="31">
        <v>24</v>
      </c>
      <c r="V143" s="28">
        <v>19</v>
      </c>
      <c r="W143" s="32">
        <v>84557150</v>
      </c>
      <c r="X143" s="23" t="s">
        <v>77</v>
      </c>
      <c r="Y143" s="33"/>
      <c r="Z143" s="34"/>
      <c r="AA143" s="34"/>
      <c r="AB143" s="34"/>
      <c r="AC143" s="34"/>
      <c r="AD143" s="34">
        <v>84557150</v>
      </c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5"/>
    </row>
    <row r="144" spans="1:55" x14ac:dyDescent="0.4">
      <c r="A144" s="20">
        <v>43594</v>
      </c>
      <c r="B144" s="21">
        <v>43594.458564814813</v>
      </c>
      <c r="C144" s="22" t="s">
        <v>73</v>
      </c>
      <c r="D144" s="23" t="s">
        <v>74</v>
      </c>
      <c r="E144" s="24">
        <v>26.81</v>
      </c>
      <c r="F144" s="25">
        <v>0.01</v>
      </c>
      <c r="G144" s="25">
        <v>31</v>
      </c>
      <c r="H144" s="25">
        <v>25.97</v>
      </c>
      <c r="I144" s="25">
        <v>26.79</v>
      </c>
      <c r="J144" s="26">
        <v>2495000</v>
      </c>
      <c r="K144" s="27">
        <v>4863500</v>
      </c>
      <c r="L144" s="28">
        <v>83</v>
      </c>
      <c r="M144" s="28">
        <v>38</v>
      </c>
      <c r="N144" s="29">
        <v>3.32</v>
      </c>
      <c r="O144" s="27">
        <v>58596</v>
      </c>
      <c r="P144" s="27">
        <v>194540</v>
      </c>
      <c r="Q144" s="27">
        <v>231918</v>
      </c>
      <c r="R144" s="27">
        <v>131316</v>
      </c>
      <c r="S144" s="27">
        <v>157905</v>
      </c>
      <c r="T144" s="30">
        <v>1.95</v>
      </c>
      <c r="U144" s="31">
        <v>25</v>
      </c>
      <c r="V144" s="28">
        <v>19</v>
      </c>
      <c r="W144" s="32">
        <v>66890950</v>
      </c>
      <c r="X144" s="23" t="s">
        <v>75</v>
      </c>
      <c r="Y144" s="33">
        <v>1447740</v>
      </c>
      <c r="Z144" s="34">
        <v>2841860</v>
      </c>
      <c r="AA144" s="34">
        <v>3538920</v>
      </c>
      <c r="AB144" s="34">
        <v>187670</v>
      </c>
      <c r="AC144" s="34">
        <v>5067090</v>
      </c>
      <c r="AD144" s="34"/>
      <c r="AE144" s="34">
        <v>1300285</v>
      </c>
      <c r="AF144" s="34">
        <v>1139425</v>
      </c>
      <c r="AG144" s="34">
        <v>4061715</v>
      </c>
      <c r="AH144" s="34">
        <v>9879485</v>
      </c>
      <c r="AI144" s="34">
        <v>1742650</v>
      </c>
      <c r="AJ144" s="34">
        <v>5737340</v>
      </c>
      <c r="AK144" s="34">
        <v>576415</v>
      </c>
      <c r="AL144" s="34">
        <v>1823080</v>
      </c>
      <c r="AM144" s="34">
        <v>978565</v>
      </c>
      <c r="AN144" s="34"/>
      <c r="AO144" s="34">
        <v>10241420</v>
      </c>
      <c r="AP144" s="34"/>
      <c r="AQ144" s="34">
        <v>670250</v>
      </c>
      <c r="AR144" s="34">
        <v>134050</v>
      </c>
      <c r="AS144" s="34">
        <v>335125</v>
      </c>
      <c r="AT144" s="34">
        <v>120645</v>
      </c>
      <c r="AU144" s="34">
        <v>3512110</v>
      </c>
      <c r="AV144" s="34"/>
      <c r="AW144" s="34"/>
      <c r="AX144" s="34">
        <v>2037560</v>
      </c>
      <c r="AY144" s="34">
        <v>6032250</v>
      </c>
      <c r="AZ144" s="34">
        <v>991970</v>
      </c>
      <c r="BA144" s="34">
        <v>522795</v>
      </c>
      <c r="BB144" s="34">
        <v>1970535</v>
      </c>
      <c r="BC144" s="35"/>
    </row>
    <row r="145" spans="1:55" x14ac:dyDescent="0.4">
      <c r="A145" s="20">
        <v>43593</v>
      </c>
      <c r="B145" s="21">
        <v>43593.625277777777</v>
      </c>
      <c r="C145" s="22" t="s">
        <v>80</v>
      </c>
      <c r="D145" s="23" t="s">
        <v>81</v>
      </c>
      <c r="E145" s="24">
        <v>26.5</v>
      </c>
      <c r="F145" s="25">
        <v>25.95</v>
      </c>
      <c r="G145" s="25">
        <v>26.85</v>
      </c>
      <c r="H145" s="25">
        <v>26.41</v>
      </c>
      <c r="I145" s="25">
        <v>26.41</v>
      </c>
      <c r="J145" s="26">
        <v>640000</v>
      </c>
      <c r="K145" s="27">
        <v>2113500</v>
      </c>
      <c r="L145" s="28">
        <v>46</v>
      </c>
      <c r="M145" s="28">
        <v>14</v>
      </c>
      <c r="N145" s="29">
        <v>4.5999999999999996</v>
      </c>
      <c r="O145" s="27">
        <v>45946</v>
      </c>
      <c r="P145" s="27">
        <v>211350</v>
      </c>
      <c r="Q145" s="27">
        <v>155357</v>
      </c>
      <c r="R145" s="27">
        <v>91429</v>
      </c>
      <c r="S145" s="27">
        <v>86292</v>
      </c>
      <c r="T145" s="30">
        <v>3.3</v>
      </c>
      <c r="U145" s="31">
        <v>10</v>
      </c>
      <c r="V145" s="28">
        <v>7</v>
      </c>
      <c r="W145" s="32">
        <v>16960000</v>
      </c>
      <c r="X145" s="23" t="s">
        <v>75</v>
      </c>
      <c r="Y145" s="33">
        <v>503500</v>
      </c>
      <c r="Z145" s="34">
        <v>583000</v>
      </c>
      <c r="AA145" s="34">
        <v>198750</v>
      </c>
      <c r="AB145" s="34">
        <v>304750</v>
      </c>
      <c r="AC145" s="34">
        <v>251750</v>
      </c>
      <c r="AD145" s="34"/>
      <c r="AE145" s="34">
        <v>583000</v>
      </c>
      <c r="AF145" s="34">
        <v>39750</v>
      </c>
      <c r="AG145" s="34">
        <v>1073250</v>
      </c>
      <c r="AH145" s="34">
        <v>3498000</v>
      </c>
      <c r="AI145" s="34">
        <v>450500</v>
      </c>
      <c r="AJ145" s="34">
        <v>2610250</v>
      </c>
      <c r="AK145" s="34">
        <v>132500</v>
      </c>
      <c r="AL145" s="34">
        <v>212000</v>
      </c>
      <c r="AM145" s="34">
        <v>463750</v>
      </c>
      <c r="AN145" s="34"/>
      <c r="AO145" s="34">
        <v>3087250</v>
      </c>
      <c r="AP145" s="34"/>
      <c r="AQ145" s="34">
        <v>66250</v>
      </c>
      <c r="AR145" s="34">
        <v>53000</v>
      </c>
      <c r="AS145" s="34">
        <v>119250</v>
      </c>
      <c r="AT145" s="34">
        <v>119250</v>
      </c>
      <c r="AU145" s="34">
        <v>795000</v>
      </c>
      <c r="AV145" s="34"/>
      <c r="AW145" s="34"/>
      <c r="AX145" s="34">
        <v>622750</v>
      </c>
      <c r="AY145" s="34">
        <v>344500</v>
      </c>
      <c r="AZ145" s="34">
        <v>781750</v>
      </c>
      <c r="BA145" s="34">
        <v>26500</v>
      </c>
      <c r="BB145" s="34">
        <v>39750</v>
      </c>
      <c r="BC145" s="35"/>
    </row>
    <row r="146" spans="1:55" x14ac:dyDescent="0.4">
      <c r="A146" s="20">
        <v>43593</v>
      </c>
      <c r="B146" s="21">
        <v>43593.458726851852</v>
      </c>
      <c r="C146" s="22" t="s">
        <v>78</v>
      </c>
      <c r="D146" s="23" t="s">
        <v>74</v>
      </c>
      <c r="E146" s="24">
        <v>25.82</v>
      </c>
      <c r="F146" s="25">
        <v>13.5</v>
      </c>
      <c r="G146" s="25">
        <v>31</v>
      </c>
      <c r="H146" s="25">
        <v>25.44</v>
      </c>
      <c r="I146" s="25">
        <v>25.74</v>
      </c>
      <c r="J146" s="26">
        <v>4428500</v>
      </c>
      <c r="K146" s="27">
        <v>9347000</v>
      </c>
      <c r="L146" s="28">
        <v>96</v>
      </c>
      <c r="M146" s="28">
        <v>34</v>
      </c>
      <c r="N146" s="29">
        <v>3.84</v>
      </c>
      <c r="O146" s="27">
        <v>97365</v>
      </c>
      <c r="P146" s="27">
        <v>373880</v>
      </c>
      <c r="Q146" s="27">
        <v>612754</v>
      </c>
      <c r="R146" s="27">
        <v>260500</v>
      </c>
      <c r="S146" s="27">
        <v>346824</v>
      </c>
      <c r="T146" s="30">
        <v>2.11</v>
      </c>
      <c r="U146" s="31">
        <v>25</v>
      </c>
      <c r="V146" s="28">
        <v>17</v>
      </c>
      <c r="W146" s="32">
        <v>114343870</v>
      </c>
      <c r="X146" s="23" t="s">
        <v>79</v>
      </c>
      <c r="Y146" s="33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>
        <v>114343870</v>
      </c>
      <c r="AX146" s="34"/>
      <c r="AY146" s="34"/>
      <c r="AZ146" s="34"/>
      <c r="BA146" s="34"/>
      <c r="BB146" s="34"/>
      <c r="BC146" s="35"/>
    </row>
    <row r="147" spans="1:55" x14ac:dyDescent="0.4">
      <c r="A147" s="20">
        <v>43592</v>
      </c>
      <c r="B147" s="21">
        <v>43592.460347222222</v>
      </c>
      <c r="C147" s="22" t="s">
        <v>73</v>
      </c>
      <c r="D147" s="23" t="s">
        <v>74</v>
      </c>
      <c r="E147" s="24">
        <v>25.65</v>
      </c>
      <c r="F147" s="25">
        <v>25</v>
      </c>
      <c r="G147" s="25">
        <v>32</v>
      </c>
      <c r="H147" s="25">
        <v>25.92</v>
      </c>
      <c r="I147" s="25">
        <v>25.53</v>
      </c>
      <c r="J147" s="26">
        <v>2495000</v>
      </c>
      <c r="K147" s="27">
        <v>4227000</v>
      </c>
      <c r="L147" s="28">
        <v>75</v>
      </c>
      <c r="M147" s="28">
        <v>26</v>
      </c>
      <c r="N147" s="29">
        <v>3.57</v>
      </c>
      <c r="O147" s="27">
        <v>56360</v>
      </c>
      <c r="P147" s="27">
        <v>201286</v>
      </c>
      <c r="Q147" s="27">
        <v>240134</v>
      </c>
      <c r="R147" s="27">
        <v>191923</v>
      </c>
      <c r="S147" s="27">
        <v>232714</v>
      </c>
      <c r="T147" s="30">
        <v>1.69</v>
      </c>
      <c r="U147" s="31">
        <v>21</v>
      </c>
      <c r="V147" s="28">
        <v>13</v>
      </c>
      <c r="W147" s="32">
        <v>63996750</v>
      </c>
      <c r="X147" s="23" t="s">
        <v>75</v>
      </c>
      <c r="Y147" s="33">
        <v>1385100</v>
      </c>
      <c r="Z147" s="34">
        <v>2718900</v>
      </c>
      <c r="AA147" s="34">
        <v>3385800</v>
      </c>
      <c r="AB147" s="34">
        <v>179550</v>
      </c>
      <c r="AC147" s="34">
        <v>4847850</v>
      </c>
      <c r="AD147" s="34"/>
      <c r="AE147" s="34">
        <v>1244025</v>
      </c>
      <c r="AF147" s="34">
        <v>1090125</v>
      </c>
      <c r="AG147" s="34">
        <v>3885975</v>
      </c>
      <c r="AH147" s="34">
        <v>9452025</v>
      </c>
      <c r="AI147" s="34">
        <v>1667250</v>
      </c>
      <c r="AJ147" s="34">
        <v>5489100</v>
      </c>
      <c r="AK147" s="34">
        <v>551475</v>
      </c>
      <c r="AL147" s="34">
        <v>1744200</v>
      </c>
      <c r="AM147" s="34">
        <v>936225</v>
      </c>
      <c r="AN147" s="34"/>
      <c r="AO147" s="34">
        <v>9798300</v>
      </c>
      <c r="AP147" s="34"/>
      <c r="AQ147" s="34">
        <v>641250</v>
      </c>
      <c r="AR147" s="34">
        <v>128250</v>
      </c>
      <c r="AS147" s="34">
        <v>320625</v>
      </c>
      <c r="AT147" s="34">
        <v>115425</v>
      </c>
      <c r="AU147" s="34">
        <v>3360150</v>
      </c>
      <c r="AV147" s="34"/>
      <c r="AW147" s="34"/>
      <c r="AX147" s="34">
        <v>1949400</v>
      </c>
      <c r="AY147" s="34">
        <v>5771250</v>
      </c>
      <c r="AZ147" s="34">
        <v>949050</v>
      </c>
      <c r="BA147" s="34">
        <v>500175</v>
      </c>
      <c r="BB147" s="34">
        <v>1885275</v>
      </c>
      <c r="BC147" s="35"/>
    </row>
    <row r="148" spans="1:55" x14ac:dyDescent="0.4">
      <c r="A148" s="20">
        <v>43588</v>
      </c>
      <c r="B148" s="21">
        <v>43588.458611111113</v>
      </c>
      <c r="C148" s="22" t="s">
        <v>76</v>
      </c>
      <c r="D148" s="23" t="s">
        <v>74</v>
      </c>
      <c r="E148" s="24">
        <v>24.32</v>
      </c>
      <c r="F148" s="25">
        <v>13.5</v>
      </c>
      <c r="G148" s="25">
        <v>30</v>
      </c>
      <c r="H148" s="25">
        <v>24.02</v>
      </c>
      <c r="I148" s="25">
        <v>24.33</v>
      </c>
      <c r="J148" s="26">
        <v>3209000</v>
      </c>
      <c r="K148" s="27">
        <v>5766500</v>
      </c>
      <c r="L148" s="28">
        <v>92</v>
      </c>
      <c r="M148" s="28">
        <v>48</v>
      </c>
      <c r="N148" s="29">
        <v>3.83</v>
      </c>
      <c r="O148" s="27">
        <v>62679</v>
      </c>
      <c r="P148" s="27">
        <v>240271</v>
      </c>
      <c r="Q148" s="27">
        <v>286653</v>
      </c>
      <c r="R148" s="27">
        <v>178278</v>
      </c>
      <c r="S148" s="27">
        <v>245412</v>
      </c>
      <c r="T148" s="30">
        <v>1.8</v>
      </c>
      <c r="U148" s="31">
        <v>24</v>
      </c>
      <c r="V148" s="28">
        <v>18</v>
      </c>
      <c r="W148" s="32">
        <v>78042880</v>
      </c>
      <c r="X148" s="23" t="s">
        <v>77</v>
      </c>
      <c r="Y148" s="33"/>
      <c r="Z148" s="34"/>
      <c r="AA148" s="34"/>
      <c r="AB148" s="34"/>
      <c r="AC148" s="34"/>
      <c r="AD148" s="34">
        <v>78042880</v>
      </c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5"/>
    </row>
    <row r="149" spans="1:55" x14ac:dyDescent="0.4">
      <c r="A149" s="20">
        <v>43587</v>
      </c>
      <c r="B149" s="21">
        <v>43587.45857638889</v>
      </c>
      <c r="C149" s="22" t="s">
        <v>73</v>
      </c>
      <c r="D149" s="23" t="s">
        <v>74</v>
      </c>
      <c r="E149" s="24">
        <v>25.04</v>
      </c>
      <c r="F149" s="25">
        <v>13.5</v>
      </c>
      <c r="G149" s="25">
        <v>30</v>
      </c>
      <c r="H149" s="25">
        <v>24.77</v>
      </c>
      <c r="I149" s="25">
        <v>25.06</v>
      </c>
      <c r="J149" s="26">
        <v>2495000</v>
      </c>
      <c r="K149" s="27">
        <v>4919000</v>
      </c>
      <c r="L149" s="28">
        <v>73</v>
      </c>
      <c r="M149" s="28">
        <v>39</v>
      </c>
      <c r="N149" s="29">
        <v>3.48</v>
      </c>
      <c r="O149" s="27">
        <v>67384</v>
      </c>
      <c r="P149" s="27">
        <v>234238</v>
      </c>
      <c r="Q149" s="27">
        <v>245429</v>
      </c>
      <c r="R149" s="27">
        <v>155938</v>
      </c>
      <c r="S149" s="27">
        <v>170388</v>
      </c>
      <c r="T149" s="30">
        <v>1.97</v>
      </c>
      <c r="U149" s="31">
        <v>21</v>
      </c>
      <c r="V149" s="28">
        <v>16</v>
      </c>
      <c r="W149" s="32">
        <v>62474800</v>
      </c>
      <c r="X149" s="23" t="s">
        <v>75</v>
      </c>
      <c r="Y149" s="33">
        <v>1352160</v>
      </c>
      <c r="Z149" s="34">
        <v>2654240</v>
      </c>
      <c r="AA149" s="34">
        <v>3305280</v>
      </c>
      <c r="AB149" s="34">
        <v>175280</v>
      </c>
      <c r="AC149" s="34">
        <v>4732560</v>
      </c>
      <c r="AD149" s="34"/>
      <c r="AE149" s="34">
        <v>1214440</v>
      </c>
      <c r="AF149" s="34">
        <v>1064200</v>
      </c>
      <c r="AG149" s="34">
        <v>3793560</v>
      </c>
      <c r="AH149" s="34">
        <v>9227240</v>
      </c>
      <c r="AI149" s="34">
        <v>1627600</v>
      </c>
      <c r="AJ149" s="34">
        <v>5358560</v>
      </c>
      <c r="AK149" s="34">
        <v>538360</v>
      </c>
      <c r="AL149" s="34">
        <v>1702720</v>
      </c>
      <c r="AM149" s="34">
        <v>913960</v>
      </c>
      <c r="AN149" s="34"/>
      <c r="AO149" s="34">
        <v>9565280</v>
      </c>
      <c r="AP149" s="34"/>
      <c r="AQ149" s="34">
        <v>626000</v>
      </c>
      <c r="AR149" s="34">
        <v>125200</v>
      </c>
      <c r="AS149" s="34">
        <v>313000</v>
      </c>
      <c r="AT149" s="34">
        <v>112680</v>
      </c>
      <c r="AU149" s="34">
        <v>3280240</v>
      </c>
      <c r="AV149" s="34"/>
      <c r="AW149" s="34"/>
      <c r="AX149" s="34">
        <v>1903040</v>
      </c>
      <c r="AY149" s="34">
        <v>5634000</v>
      </c>
      <c r="AZ149" s="34">
        <v>926480</v>
      </c>
      <c r="BA149" s="34">
        <v>488280</v>
      </c>
      <c r="BB149" s="34">
        <v>1840440</v>
      </c>
      <c r="BC149" s="35"/>
    </row>
    <row r="150" spans="1:55" x14ac:dyDescent="0.4">
      <c r="A150" s="20">
        <v>43585</v>
      </c>
      <c r="B150" s="21">
        <v>43585.458599537036</v>
      </c>
      <c r="C150" s="22" t="s">
        <v>73</v>
      </c>
      <c r="D150" s="23" t="s">
        <v>74</v>
      </c>
      <c r="E150" s="24">
        <v>25.85</v>
      </c>
      <c r="F150" s="25">
        <v>13.5</v>
      </c>
      <c r="G150" s="25">
        <v>30</v>
      </c>
      <c r="H150" s="25">
        <v>25.34</v>
      </c>
      <c r="I150" s="25">
        <v>25.71</v>
      </c>
      <c r="J150" s="26">
        <v>2495000</v>
      </c>
      <c r="K150" s="27">
        <v>5831500</v>
      </c>
      <c r="L150" s="28">
        <v>79</v>
      </c>
      <c r="M150" s="28">
        <v>25</v>
      </c>
      <c r="N150" s="29">
        <v>3.59</v>
      </c>
      <c r="O150" s="27">
        <v>73816</v>
      </c>
      <c r="P150" s="27">
        <v>265068</v>
      </c>
      <c r="Q150" s="27">
        <v>292258</v>
      </c>
      <c r="R150" s="27">
        <v>178214</v>
      </c>
      <c r="S150" s="27">
        <v>141838</v>
      </c>
      <c r="T150" s="30">
        <v>2.34</v>
      </c>
      <c r="U150" s="31">
        <v>22</v>
      </c>
      <c r="V150" s="28">
        <v>14</v>
      </c>
      <c r="W150" s="32">
        <v>64495750</v>
      </c>
      <c r="X150" s="23" t="s">
        <v>75</v>
      </c>
      <c r="Y150" s="33">
        <v>1395900</v>
      </c>
      <c r="Z150" s="34">
        <v>2740100</v>
      </c>
      <c r="AA150" s="34">
        <v>3412200</v>
      </c>
      <c r="AB150" s="34">
        <v>180950</v>
      </c>
      <c r="AC150" s="34">
        <v>4885650</v>
      </c>
      <c r="AD150" s="34"/>
      <c r="AE150" s="34">
        <v>1253725</v>
      </c>
      <c r="AF150" s="34">
        <v>1098625</v>
      </c>
      <c r="AG150" s="34">
        <v>3916275</v>
      </c>
      <c r="AH150" s="34">
        <v>9525725</v>
      </c>
      <c r="AI150" s="34">
        <v>1680250</v>
      </c>
      <c r="AJ150" s="34">
        <v>5531900</v>
      </c>
      <c r="AK150" s="34">
        <v>555775</v>
      </c>
      <c r="AL150" s="34">
        <v>1757800</v>
      </c>
      <c r="AM150" s="34">
        <v>943525</v>
      </c>
      <c r="AN150" s="34"/>
      <c r="AO150" s="34">
        <v>9874700</v>
      </c>
      <c r="AP150" s="34"/>
      <c r="AQ150" s="34">
        <v>646250</v>
      </c>
      <c r="AR150" s="34">
        <v>129250</v>
      </c>
      <c r="AS150" s="34">
        <v>323125</v>
      </c>
      <c r="AT150" s="34">
        <v>116325</v>
      </c>
      <c r="AU150" s="34">
        <v>3386350</v>
      </c>
      <c r="AV150" s="34"/>
      <c r="AW150" s="34"/>
      <c r="AX150" s="34">
        <v>1964600</v>
      </c>
      <c r="AY150" s="34">
        <v>5816250</v>
      </c>
      <c r="AZ150" s="34">
        <v>956450</v>
      </c>
      <c r="BA150" s="34">
        <v>504075</v>
      </c>
      <c r="BB150" s="34">
        <v>1899975</v>
      </c>
      <c r="BC150" s="35"/>
    </row>
    <row r="151" spans="1:55" x14ac:dyDescent="0.4">
      <c r="A151" s="20">
        <v>43584</v>
      </c>
      <c r="B151" s="21">
        <v>43584.458622685182</v>
      </c>
      <c r="C151" s="22" t="s">
        <v>73</v>
      </c>
      <c r="D151" s="23" t="s">
        <v>74</v>
      </c>
      <c r="E151" s="24">
        <v>25.81</v>
      </c>
      <c r="F151" s="25">
        <v>25.6</v>
      </c>
      <c r="G151" s="25">
        <v>35</v>
      </c>
      <c r="H151" s="25">
        <v>26.16</v>
      </c>
      <c r="I151" s="25">
        <v>25.9</v>
      </c>
      <c r="J151" s="26">
        <v>2495000</v>
      </c>
      <c r="K151" s="27">
        <v>3061500</v>
      </c>
      <c r="L151" s="28">
        <v>62</v>
      </c>
      <c r="M151" s="28">
        <v>49</v>
      </c>
      <c r="N151" s="29">
        <v>3.44</v>
      </c>
      <c r="O151" s="27">
        <v>49379</v>
      </c>
      <c r="P151" s="27">
        <v>170083</v>
      </c>
      <c r="Q151" s="27">
        <v>158703</v>
      </c>
      <c r="R151" s="27">
        <v>138611</v>
      </c>
      <c r="S151" s="27">
        <v>126900</v>
      </c>
      <c r="T151" s="30">
        <v>1.23</v>
      </c>
      <c r="U151" s="31">
        <v>18</v>
      </c>
      <c r="V151" s="28">
        <v>18</v>
      </c>
      <c r="W151" s="32">
        <v>64395950</v>
      </c>
      <c r="X151" s="23" t="s">
        <v>75</v>
      </c>
      <c r="Y151" s="33">
        <v>1393740</v>
      </c>
      <c r="Z151" s="34">
        <v>2735860</v>
      </c>
      <c r="AA151" s="34">
        <v>3406920</v>
      </c>
      <c r="AB151" s="34">
        <v>180670</v>
      </c>
      <c r="AC151" s="34">
        <v>4878090</v>
      </c>
      <c r="AD151" s="34"/>
      <c r="AE151" s="34">
        <v>1251785</v>
      </c>
      <c r="AF151" s="34">
        <v>1096925</v>
      </c>
      <c r="AG151" s="34">
        <v>3910215</v>
      </c>
      <c r="AH151" s="34">
        <v>9510985</v>
      </c>
      <c r="AI151" s="34">
        <v>1677650</v>
      </c>
      <c r="AJ151" s="34">
        <v>5523340</v>
      </c>
      <c r="AK151" s="34">
        <v>554915</v>
      </c>
      <c r="AL151" s="34">
        <v>1755080</v>
      </c>
      <c r="AM151" s="34">
        <v>942065</v>
      </c>
      <c r="AN151" s="34"/>
      <c r="AO151" s="34">
        <v>9859420</v>
      </c>
      <c r="AP151" s="34"/>
      <c r="AQ151" s="34">
        <v>645250</v>
      </c>
      <c r="AR151" s="34">
        <v>129050</v>
      </c>
      <c r="AS151" s="34">
        <v>322625</v>
      </c>
      <c r="AT151" s="34">
        <v>116145</v>
      </c>
      <c r="AU151" s="34">
        <v>3381110</v>
      </c>
      <c r="AV151" s="34"/>
      <c r="AW151" s="34"/>
      <c r="AX151" s="34">
        <v>1961560</v>
      </c>
      <c r="AY151" s="34">
        <v>5807250</v>
      </c>
      <c r="AZ151" s="34">
        <v>954970</v>
      </c>
      <c r="BA151" s="34">
        <v>503295</v>
      </c>
      <c r="BB151" s="34">
        <v>1897035</v>
      </c>
      <c r="BC151" s="35"/>
    </row>
    <row r="152" spans="1:55" x14ac:dyDescent="0.4">
      <c r="A152" s="20">
        <v>43581</v>
      </c>
      <c r="B152" s="21">
        <v>43581.458738425928</v>
      </c>
      <c r="C152" s="22" t="s">
        <v>76</v>
      </c>
      <c r="D152" s="23" t="s">
        <v>74</v>
      </c>
      <c r="E152" s="24">
        <v>26.79</v>
      </c>
      <c r="F152" s="25">
        <v>13.5</v>
      </c>
      <c r="G152" s="25">
        <v>30</v>
      </c>
      <c r="H152" s="25">
        <v>26.16</v>
      </c>
      <c r="I152" s="25">
        <v>26.8</v>
      </c>
      <c r="J152" s="26">
        <v>3209000</v>
      </c>
      <c r="K152" s="27">
        <v>4462500</v>
      </c>
      <c r="L152" s="28">
        <v>75</v>
      </c>
      <c r="M152" s="28">
        <v>42</v>
      </c>
      <c r="N152" s="29">
        <v>3.75</v>
      </c>
      <c r="O152" s="27">
        <v>59500</v>
      </c>
      <c r="P152" s="27">
        <v>223125</v>
      </c>
      <c r="Q152" s="27">
        <v>260917</v>
      </c>
      <c r="R152" s="27">
        <v>178278</v>
      </c>
      <c r="S152" s="27">
        <v>246058</v>
      </c>
      <c r="T152" s="30">
        <v>1.39</v>
      </c>
      <c r="U152" s="31">
        <v>20</v>
      </c>
      <c r="V152" s="28">
        <v>18</v>
      </c>
      <c r="W152" s="32">
        <v>85969110</v>
      </c>
      <c r="X152" s="23" t="s">
        <v>77</v>
      </c>
      <c r="Y152" s="33"/>
      <c r="Z152" s="34"/>
      <c r="AA152" s="34"/>
      <c r="AB152" s="34"/>
      <c r="AC152" s="34"/>
      <c r="AD152" s="34">
        <v>85969110</v>
      </c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5"/>
    </row>
    <row r="153" spans="1:55" x14ac:dyDescent="0.4">
      <c r="A153" s="20">
        <v>43580</v>
      </c>
      <c r="B153" s="21">
        <v>43580.458506944444</v>
      </c>
      <c r="C153" s="22" t="s">
        <v>73</v>
      </c>
      <c r="D153" s="23" t="s">
        <v>74</v>
      </c>
      <c r="E153" s="24">
        <v>27.46</v>
      </c>
      <c r="F153" s="25">
        <v>13.5</v>
      </c>
      <c r="G153" s="25">
        <v>30</v>
      </c>
      <c r="H153" s="25">
        <v>26.7</v>
      </c>
      <c r="I153" s="25">
        <v>27.3</v>
      </c>
      <c r="J153" s="26">
        <v>2495000</v>
      </c>
      <c r="K153" s="27">
        <v>5007000</v>
      </c>
      <c r="L153" s="28">
        <v>87</v>
      </c>
      <c r="M153" s="28">
        <v>25</v>
      </c>
      <c r="N153" s="29">
        <v>3.63</v>
      </c>
      <c r="O153" s="27">
        <v>57552</v>
      </c>
      <c r="P153" s="27">
        <v>208625</v>
      </c>
      <c r="Q153" s="27">
        <v>251519</v>
      </c>
      <c r="R153" s="27">
        <v>155938</v>
      </c>
      <c r="S153" s="27">
        <v>200523</v>
      </c>
      <c r="T153" s="30">
        <v>2.0099999999999998</v>
      </c>
      <c r="U153" s="31">
        <v>24</v>
      </c>
      <c r="V153" s="28">
        <v>16</v>
      </c>
      <c r="W153" s="32">
        <v>68512700</v>
      </c>
      <c r="X153" s="23" t="s">
        <v>75</v>
      </c>
      <c r="Y153" s="33">
        <v>1482840</v>
      </c>
      <c r="Z153" s="34">
        <v>2910760</v>
      </c>
      <c r="AA153" s="34">
        <v>3624720</v>
      </c>
      <c r="AB153" s="34">
        <v>192220</v>
      </c>
      <c r="AC153" s="34">
        <v>5189940</v>
      </c>
      <c r="AD153" s="34"/>
      <c r="AE153" s="34">
        <v>1331810</v>
      </c>
      <c r="AF153" s="34">
        <v>1167050</v>
      </c>
      <c r="AG153" s="34">
        <v>4160190</v>
      </c>
      <c r="AH153" s="34">
        <v>10119010</v>
      </c>
      <c r="AI153" s="34">
        <v>1784900</v>
      </c>
      <c r="AJ153" s="34">
        <v>5876440</v>
      </c>
      <c r="AK153" s="34">
        <v>590390</v>
      </c>
      <c r="AL153" s="34">
        <v>1867280</v>
      </c>
      <c r="AM153" s="34">
        <v>1002290</v>
      </c>
      <c r="AN153" s="34"/>
      <c r="AO153" s="34">
        <v>10489720</v>
      </c>
      <c r="AP153" s="34"/>
      <c r="AQ153" s="34">
        <v>686500</v>
      </c>
      <c r="AR153" s="34">
        <v>137300</v>
      </c>
      <c r="AS153" s="34">
        <v>343250</v>
      </c>
      <c r="AT153" s="34">
        <v>123570</v>
      </c>
      <c r="AU153" s="34">
        <v>3597260</v>
      </c>
      <c r="AV153" s="34"/>
      <c r="AW153" s="34"/>
      <c r="AX153" s="34">
        <v>2086960</v>
      </c>
      <c r="AY153" s="34">
        <v>6178500</v>
      </c>
      <c r="AZ153" s="34">
        <v>1016020</v>
      </c>
      <c r="BA153" s="34">
        <v>535470</v>
      </c>
      <c r="BB153" s="34">
        <v>2018310</v>
      </c>
      <c r="BC153" s="35"/>
    </row>
    <row r="154" spans="1:55" x14ac:dyDescent="0.4">
      <c r="A154" s="20">
        <v>43579</v>
      </c>
      <c r="B154" s="21">
        <v>43579.458923611113</v>
      </c>
      <c r="C154" s="22" t="s">
        <v>78</v>
      </c>
      <c r="D154" s="23" t="s">
        <v>74</v>
      </c>
      <c r="E154" s="24">
        <v>27.02</v>
      </c>
      <c r="F154" s="25">
        <v>13.5</v>
      </c>
      <c r="G154" s="25">
        <v>30</v>
      </c>
      <c r="H154" s="25">
        <v>26.44</v>
      </c>
      <c r="I154" s="25">
        <v>27.15</v>
      </c>
      <c r="J154" s="26">
        <v>4428500</v>
      </c>
      <c r="K154" s="27">
        <v>6547000</v>
      </c>
      <c r="L154" s="28">
        <v>74</v>
      </c>
      <c r="M154" s="28">
        <v>57</v>
      </c>
      <c r="N154" s="29">
        <v>4.3499999999999996</v>
      </c>
      <c r="O154" s="27">
        <v>88473</v>
      </c>
      <c r="P154" s="27">
        <v>385118</v>
      </c>
      <c r="Q154" s="27">
        <v>471435</v>
      </c>
      <c r="R154" s="27">
        <v>276781</v>
      </c>
      <c r="S154" s="27">
        <v>307611</v>
      </c>
      <c r="T154" s="30">
        <v>1.48</v>
      </c>
      <c r="U154" s="31">
        <v>17</v>
      </c>
      <c r="V154" s="28">
        <v>16</v>
      </c>
      <c r="W154" s="32">
        <v>119658070</v>
      </c>
      <c r="X154" s="23" t="s">
        <v>79</v>
      </c>
      <c r="Y154" s="33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>
        <v>119658070</v>
      </c>
      <c r="AX154" s="34"/>
      <c r="AY154" s="34"/>
      <c r="AZ154" s="34"/>
      <c r="BA154" s="34"/>
      <c r="BB154" s="34"/>
      <c r="BC154" s="35"/>
    </row>
    <row r="155" spans="1:55" x14ac:dyDescent="0.4">
      <c r="A155" s="20">
        <v>43578</v>
      </c>
      <c r="B155" s="21">
        <v>43578.458657407406</v>
      </c>
      <c r="C155" s="22" t="s">
        <v>73</v>
      </c>
      <c r="D155" s="23" t="s">
        <v>74</v>
      </c>
      <c r="E155" s="24">
        <v>27.17</v>
      </c>
      <c r="F155" s="25">
        <v>13.5</v>
      </c>
      <c r="G155" s="25">
        <v>30</v>
      </c>
      <c r="H155" s="25">
        <v>26.29</v>
      </c>
      <c r="I155" s="25">
        <v>26.95</v>
      </c>
      <c r="J155" s="26">
        <v>2495000</v>
      </c>
      <c r="K155" s="27">
        <v>4636000</v>
      </c>
      <c r="L155" s="28">
        <v>71</v>
      </c>
      <c r="M155" s="28">
        <v>17</v>
      </c>
      <c r="N155" s="29">
        <v>3.55</v>
      </c>
      <c r="O155" s="27">
        <v>65296</v>
      </c>
      <c r="P155" s="27">
        <v>231800</v>
      </c>
      <c r="Q155" s="27">
        <v>306292</v>
      </c>
      <c r="R155" s="27">
        <v>226818</v>
      </c>
      <c r="S155" s="27">
        <v>309109</v>
      </c>
      <c r="T155" s="30">
        <v>1.86</v>
      </c>
      <c r="U155" s="31">
        <v>20</v>
      </c>
      <c r="V155" s="28">
        <v>11</v>
      </c>
      <c r="W155" s="32">
        <v>67789150</v>
      </c>
      <c r="X155" s="23" t="s">
        <v>75</v>
      </c>
      <c r="Y155" s="33">
        <v>1467180</v>
      </c>
      <c r="Z155" s="34">
        <v>2880020</v>
      </c>
      <c r="AA155" s="34">
        <v>3586440</v>
      </c>
      <c r="AB155" s="34">
        <v>190190</v>
      </c>
      <c r="AC155" s="34">
        <v>5135130</v>
      </c>
      <c r="AD155" s="34"/>
      <c r="AE155" s="34">
        <v>1317745</v>
      </c>
      <c r="AF155" s="34">
        <v>1154725</v>
      </c>
      <c r="AG155" s="34">
        <v>4116255</v>
      </c>
      <c r="AH155" s="34">
        <v>10012145</v>
      </c>
      <c r="AI155" s="34">
        <v>1766050</v>
      </c>
      <c r="AJ155" s="34">
        <v>5814380</v>
      </c>
      <c r="AK155" s="34">
        <v>584155</v>
      </c>
      <c r="AL155" s="34">
        <v>1847560</v>
      </c>
      <c r="AM155" s="34">
        <v>991705</v>
      </c>
      <c r="AN155" s="34"/>
      <c r="AO155" s="34">
        <v>10378940</v>
      </c>
      <c r="AP155" s="34"/>
      <c r="AQ155" s="34">
        <v>679250</v>
      </c>
      <c r="AR155" s="34">
        <v>135850</v>
      </c>
      <c r="AS155" s="34">
        <v>339625</v>
      </c>
      <c r="AT155" s="34">
        <v>122265</v>
      </c>
      <c r="AU155" s="34">
        <v>3559270</v>
      </c>
      <c r="AV155" s="34"/>
      <c r="AW155" s="34"/>
      <c r="AX155" s="34">
        <v>2064920</v>
      </c>
      <c r="AY155" s="34">
        <v>6113250</v>
      </c>
      <c r="AZ155" s="34">
        <v>1005290</v>
      </c>
      <c r="BA155" s="34">
        <v>529815</v>
      </c>
      <c r="BB155" s="34">
        <v>1996995</v>
      </c>
      <c r="BC155" s="35"/>
    </row>
    <row r="156" spans="1:55" x14ac:dyDescent="0.4">
      <c r="A156" s="20">
        <v>43573</v>
      </c>
      <c r="B156" s="21">
        <v>43573.458611111113</v>
      </c>
      <c r="C156" s="22" t="s">
        <v>73</v>
      </c>
      <c r="D156" s="23" t="s">
        <v>74</v>
      </c>
      <c r="E156" s="24">
        <v>26.92</v>
      </c>
      <c r="F156" s="25">
        <v>13.5</v>
      </c>
      <c r="G156" s="25">
        <v>28</v>
      </c>
      <c r="H156" s="25">
        <v>25.81</v>
      </c>
      <c r="I156" s="25">
        <v>26.73</v>
      </c>
      <c r="J156" s="26">
        <v>2495000</v>
      </c>
      <c r="K156" s="27">
        <v>4867000</v>
      </c>
      <c r="L156" s="28">
        <v>56</v>
      </c>
      <c r="M156" s="28">
        <v>14</v>
      </c>
      <c r="N156" s="29">
        <v>2.95</v>
      </c>
      <c r="O156" s="27">
        <v>86911</v>
      </c>
      <c r="P156" s="27">
        <v>256158</v>
      </c>
      <c r="Q156" s="27">
        <v>299386</v>
      </c>
      <c r="R156" s="27">
        <v>277222</v>
      </c>
      <c r="S156" s="27">
        <v>355360</v>
      </c>
      <c r="T156" s="30">
        <v>1.95</v>
      </c>
      <c r="U156" s="31">
        <v>19</v>
      </c>
      <c r="V156" s="28">
        <v>9</v>
      </c>
      <c r="W156" s="32">
        <v>67165400</v>
      </c>
      <c r="X156" s="23" t="s">
        <v>75</v>
      </c>
      <c r="Y156" s="33">
        <v>1453680</v>
      </c>
      <c r="Z156" s="34">
        <v>2853520</v>
      </c>
      <c r="AA156" s="34">
        <v>3553440</v>
      </c>
      <c r="AB156" s="34">
        <v>188440</v>
      </c>
      <c r="AC156" s="34">
        <v>5087880</v>
      </c>
      <c r="AD156" s="34"/>
      <c r="AE156" s="34">
        <v>1305620</v>
      </c>
      <c r="AF156" s="34">
        <v>1144100</v>
      </c>
      <c r="AG156" s="34">
        <v>4078380</v>
      </c>
      <c r="AH156" s="34">
        <v>9920020</v>
      </c>
      <c r="AI156" s="34">
        <v>1749800</v>
      </c>
      <c r="AJ156" s="34">
        <v>5760880</v>
      </c>
      <c r="AK156" s="34">
        <v>578780</v>
      </c>
      <c r="AL156" s="34">
        <v>1830560</v>
      </c>
      <c r="AM156" s="34">
        <v>982580</v>
      </c>
      <c r="AN156" s="34"/>
      <c r="AO156" s="34">
        <v>10283440</v>
      </c>
      <c r="AP156" s="34"/>
      <c r="AQ156" s="34">
        <v>673000</v>
      </c>
      <c r="AR156" s="34">
        <v>134600</v>
      </c>
      <c r="AS156" s="34">
        <v>336500</v>
      </c>
      <c r="AT156" s="34">
        <v>121140</v>
      </c>
      <c r="AU156" s="34">
        <v>3526520</v>
      </c>
      <c r="AV156" s="34"/>
      <c r="AW156" s="34"/>
      <c r="AX156" s="34">
        <v>2045920</v>
      </c>
      <c r="AY156" s="34">
        <v>6057000</v>
      </c>
      <c r="AZ156" s="34">
        <v>996040</v>
      </c>
      <c r="BA156" s="34">
        <v>524940</v>
      </c>
      <c r="BB156" s="34">
        <v>1978620</v>
      </c>
      <c r="BC156" s="35"/>
    </row>
    <row r="157" spans="1:55" x14ac:dyDescent="0.4">
      <c r="A157" s="20">
        <v>43571</v>
      </c>
      <c r="B157" s="21">
        <v>43571.458611111113</v>
      </c>
      <c r="C157" s="22" t="s">
        <v>73</v>
      </c>
      <c r="D157" s="23" t="s">
        <v>74</v>
      </c>
      <c r="E157" s="24">
        <v>26.8</v>
      </c>
      <c r="F157" s="25">
        <v>18</v>
      </c>
      <c r="G157" s="25">
        <v>31</v>
      </c>
      <c r="H157" s="25">
        <v>26.63</v>
      </c>
      <c r="I157" s="25">
        <v>26.57</v>
      </c>
      <c r="J157" s="26">
        <v>2495000</v>
      </c>
      <c r="K157" s="27">
        <v>6063000</v>
      </c>
      <c r="L157" s="28">
        <v>73</v>
      </c>
      <c r="M157" s="28">
        <v>19</v>
      </c>
      <c r="N157" s="29">
        <v>3.32</v>
      </c>
      <c r="O157" s="27">
        <v>83055</v>
      </c>
      <c r="P157" s="27">
        <v>275591</v>
      </c>
      <c r="Q157" s="27">
        <v>334654</v>
      </c>
      <c r="R157" s="27">
        <v>178214</v>
      </c>
      <c r="S157" s="27">
        <v>289686</v>
      </c>
      <c r="T157" s="30">
        <v>2.4300000000000002</v>
      </c>
      <c r="U157" s="31">
        <v>22</v>
      </c>
      <c r="V157" s="28">
        <v>14</v>
      </c>
      <c r="W157" s="32">
        <v>66866000</v>
      </c>
      <c r="X157" s="23" t="s">
        <v>75</v>
      </c>
      <c r="Y157" s="33">
        <v>1447200</v>
      </c>
      <c r="Z157" s="34">
        <v>2840800</v>
      </c>
      <c r="AA157" s="34">
        <v>3537600</v>
      </c>
      <c r="AB157" s="34">
        <v>187600</v>
      </c>
      <c r="AC157" s="34">
        <v>5065200</v>
      </c>
      <c r="AD157" s="34"/>
      <c r="AE157" s="34">
        <v>1299800</v>
      </c>
      <c r="AF157" s="34">
        <v>1139000</v>
      </c>
      <c r="AG157" s="34">
        <v>4060200</v>
      </c>
      <c r="AH157" s="34">
        <v>9875800</v>
      </c>
      <c r="AI157" s="34">
        <v>1742000</v>
      </c>
      <c r="AJ157" s="34">
        <v>5735200</v>
      </c>
      <c r="AK157" s="34">
        <v>576200</v>
      </c>
      <c r="AL157" s="34">
        <v>1822400</v>
      </c>
      <c r="AM157" s="34">
        <v>978200</v>
      </c>
      <c r="AN157" s="34"/>
      <c r="AO157" s="34">
        <v>10237600</v>
      </c>
      <c r="AP157" s="34"/>
      <c r="AQ157" s="34">
        <v>670000</v>
      </c>
      <c r="AR157" s="34">
        <v>134000</v>
      </c>
      <c r="AS157" s="34">
        <v>335000</v>
      </c>
      <c r="AT157" s="34">
        <v>120600</v>
      </c>
      <c r="AU157" s="34">
        <v>3510800</v>
      </c>
      <c r="AV157" s="34"/>
      <c r="AW157" s="34"/>
      <c r="AX157" s="34">
        <v>2036800</v>
      </c>
      <c r="AY157" s="34">
        <v>6030000</v>
      </c>
      <c r="AZ157" s="34">
        <v>991600</v>
      </c>
      <c r="BA157" s="34">
        <v>522600</v>
      </c>
      <c r="BB157" s="34">
        <v>1969800</v>
      </c>
      <c r="BC157" s="35"/>
    </row>
    <row r="158" spans="1:55" x14ac:dyDescent="0.4">
      <c r="A158" s="20">
        <v>43570</v>
      </c>
      <c r="B158" s="21">
        <v>43570.458564814813</v>
      </c>
      <c r="C158" s="22" t="s">
        <v>73</v>
      </c>
      <c r="D158" s="23" t="s">
        <v>74</v>
      </c>
      <c r="E158" s="24">
        <v>27</v>
      </c>
      <c r="F158" s="25">
        <v>26.1</v>
      </c>
      <c r="G158" s="25">
        <v>31</v>
      </c>
      <c r="H158" s="25">
        <v>26.95</v>
      </c>
      <c r="I158" s="25">
        <v>26.56</v>
      </c>
      <c r="J158" s="26">
        <v>2495000</v>
      </c>
      <c r="K158" s="27">
        <v>5638000</v>
      </c>
      <c r="L158" s="28">
        <v>91</v>
      </c>
      <c r="M158" s="28">
        <v>16</v>
      </c>
      <c r="N158" s="29">
        <v>3.96</v>
      </c>
      <c r="O158" s="27">
        <v>61956</v>
      </c>
      <c r="P158" s="27">
        <v>245130</v>
      </c>
      <c r="Q158" s="27">
        <v>338817</v>
      </c>
      <c r="R158" s="27">
        <v>311875</v>
      </c>
      <c r="S158" s="27">
        <v>407791</v>
      </c>
      <c r="T158" s="30">
        <v>2.2599999999999998</v>
      </c>
      <c r="U158" s="31">
        <v>23</v>
      </c>
      <c r="V158" s="28">
        <v>8</v>
      </c>
      <c r="W158" s="32">
        <v>67365000</v>
      </c>
      <c r="X158" s="23" t="s">
        <v>75</v>
      </c>
      <c r="Y158" s="33">
        <v>1458000</v>
      </c>
      <c r="Z158" s="34">
        <v>2862000</v>
      </c>
      <c r="AA158" s="34">
        <v>3564000</v>
      </c>
      <c r="AB158" s="34">
        <v>189000</v>
      </c>
      <c r="AC158" s="34">
        <v>5103000</v>
      </c>
      <c r="AD158" s="34"/>
      <c r="AE158" s="34">
        <v>1309500</v>
      </c>
      <c r="AF158" s="34">
        <v>1147500</v>
      </c>
      <c r="AG158" s="34">
        <v>4090500</v>
      </c>
      <c r="AH158" s="34">
        <v>9949500</v>
      </c>
      <c r="AI158" s="34">
        <v>1755000</v>
      </c>
      <c r="AJ158" s="34">
        <v>5778000</v>
      </c>
      <c r="AK158" s="34">
        <v>580500</v>
      </c>
      <c r="AL158" s="34">
        <v>1836000</v>
      </c>
      <c r="AM158" s="34">
        <v>985500</v>
      </c>
      <c r="AN158" s="34"/>
      <c r="AO158" s="34">
        <v>10314000</v>
      </c>
      <c r="AP158" s="34"/>
      <c r="AQ158" s="34">
        <v>675000</v>
      </c>
      <c r="AR158" s="34">
        <v>135000</v>
      </c>
      <c r="AS158" s="34">
        <v>337500</v>
      </c>
      <c r="AT158" s="34">
        <v>121500</v>
      </c>
      <c r="AU158" s="34">
        <v>3537000</v>
      </c>
      <c r="AV158" s="34"/>
      <c r="AW158" s="34"/>
      <c r="AX158" s="34">
        <v>2052000</v>
      </c>
      <c r="AY158" s="34">
        <v>6075000</v>
      </c>
      <c r="AZ158" s="34">
        <v>999000</v>
      </c>
      <c r="BA158" s="34">
        <v>526500</v>
      </c>
      <c r="BB158" s="34">
        <v>1984500</v>
      </c>
      <c r="BC158" s="35"/>
    </row>
    <row r="159" spans="1:55" x14ac:dyDescent="0.4">
      <c r="A159" s="20">
        <v>43567</v>
      </c>
      <c r="B159" s="21">
        <v>43567.458703703705</v>
      </c>
      <c r="C159" s="22" t="s">
        <v>76</v>
      </c>
      <c r="D159" s="23" t="s">
        <v>74</v>
      </c>
      <c r="E159" s="24">
        <v>26.72</v>
      </c>
      <c r="F159" s="25">
        <v>13.5</v>
      </c>
      <c r="G159" s="25">
        <v>32</v>
      </c>
      <c r="H159" s="25">
        <v>26.07</v>
      </c>
      <c r="I159" s="25">
        <v>26.86</v>
      </c>
      <c r="J159" s="26">
        <v>3209000</v>
      </c>
      <c r="K159" s="27">
        <v>4489500</v>
      </c>
      <c r="L159" s="28">
        <v>62</v>
      </c>
      <c r="M159" s="28">
        <v>46</v>
      </c>
      <c r="N159" s="29">
        <v>3.26</v>
      </c>
      <c r="O159" s="27">
        <v>72411</v>
      </c>
      <c r="P159" s="27">
        <v>236289</v>
      </c>
      <c r="Q159" s="27">
        <v>328572</v>
      </c>
      <c r="R159" s="27">
        <v>188765</v>
      </c>
      <c r="S159" s="27">
        <v>251110</v>
      </c>
      <c r="T159" s="30">
        <v>1.4</v>
      </c>
      <c r="U159" s="31">
        <v>19</v>
      </c>
      <c r="V159" s="28">
        <v>17</v>
      </c>
      <c r="W159" s="32">
        <v>85744480</v>
      </c>
      <c r="X159" s="23" t="s">
        <v>77</v>
      </c>
      <c r="Y159" s="33"/>
      <c r="Z159" s="34"/>
      <c r="AA159" s="34"/>
      <c r="AB159" s="34"/>
      <c r="AC159" s="34"/>
      <c r="AD159" s="34">
        <v>85744480</v>
      </c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5"/>
    </row>
    <row r="160" spans="1:55" x14ac:dyDescent="0.4">
      <c r="A160" s="20">
        <v>43566</v>
      </c>
      <c r="B160" s="21">
        <v>43566.458692129629</v>
      </c>
      <c r="C160" s="22" t="s">
        <v>73</v>
      </c>
      <c r="D160" s="23" t="s">
        <v>74</v>
      </c>
      <c r="E160" s="24">
        <v>25.88</v>
      </c>
      <c r="F160" s="25">
        <v>13.5</v>
      </c>
      <c r="G160" s="25">
        <v>32</v>
      </c>
      <c r="H160" s="25">
        <v>25.28</v>
      </c>
      <c r="I160" s="25">
        <v>25.74</v>
      </c>
      <c r="J160" s="26">
        <v>2495000</v>
      </c>
      <c r="K160" s="27">
        <v>4638500</v>
      </c>
      <c r="L160" s="28">
        <v>67</v>
      </c>
      <c r="M160" s="28">
        <v>23</v>
      </c>
      <c r="N160" s="29">
        <v>3.05</v>
      </c>
      <c r="O160" s="27">
        <v>69231</v>
      </c>
      <c r="P160" s="27">
        <v>210841</v>
      </c>
      <c r="Q160" s="27">
        <v>235997</v>
      </c>
      <c r="R160" s="27">
        <v>155938</v>
      </c>
      <c r="S160" s="27">
        <v>163733</v>
      </c>
      <c r="T160" s="30">
        <v>1.86</v>
      </c>
      <c r="U160" s="31">
        <v>22</v>
      </c>
      <c r="V160" s="28">
        <v>16</v>
      </c>
      <c r="W160" s="32">
        <v>64570600</v>
      </c>
      <c r="X160" s="23" t="s">
        <v>75</v>
      </c>
      <c r="Y160" s="33">
        <v>1397520</v>
      </c>
      <c r="Z160" s="34">
        <v>2743280</v>
      </c>
      <c r="AA160" s="34">
        <v>3416160</v>
      </c>
      <c r="AB160" s="34">
        <v>181160</v>
      </c>
      <c r="AC160" s="34">
        <v>4891320</v>
      </c>
      <c r="AD160" s="34"/>
      <c r="AE160" s="34">
        <v>1255180</v>
      </c>
      <c r="AF160" s="34">
        <v>1099900</v>
      </c>
      <c r="AG160" s="34">
        <v>3920820</v>
      </c>
      <c r="AH160" s="34">
        <v>9536780</v>
      </c>
      <c r="AI160" s="34">
        <v>1682200</v>
      </c>
      <c r="AJ160" s="34">
        <v>5538320</v>
      </c>
      <c r="AK160" s="34">
        <v>556420</v>
      </c>
      <c r="AL160" s="34">
        <v>1759840</v>
      </c>
      <c r="AM160" s="34">
        <v>944620</v>
      </c>
      <c r="AN160" s="34"/>
      <c r="AO160" s="34">
        <v>9886160</v>
      </c>
      <c r="AP160" s="34"/>
      <c r="AQ160" s="34">
        <v>647000</v>
      </c>
      <c r="AR160" s="34">
        <v>129400</v>
      </c>
      <c r="AS160" s="34">
        <v>323500</v>
      </c>
      <c r="AT160" s="34">
        <v>116460</v>
      </c>
      <c r="AU160" s="34">
        <v>3390280</v>
      </c>
      <c r="AV160" s="34"/>
      <c r="AW160" s="34"/>
      <c r="AX160" s="34">
        <v>1966880</v>
      </c>
      <c r="AY160" s="34">
        <v>5823000</v>
      </c>
      <c r="AZ160" s="34">
        <v>957560</v>
      </c>
      <c r="BA160" s="34">
        <v>504660</v>
      </c>
      <c r="BB160" s="34">
        <v>1902180</v>
      </c>
      <c r="BC160" s="35"/>
    </row>
    <row r="161" spans="1:55" x14ac:dyDescent="0.4">
      <c r="A161" s="20">
        <v>43565</v>
      </c>
      <c r="B161" s="21">
        <v>43565.458657407406</v>
      </c>
      <c r="C161" s="22" t="s">
        <v>78</v>
      </c>
      <c r="D161" s="23" t="s">
        <v>74</v>
      </c>
      <c r="E161" s="24">
        <v>26.21</v>
      </c>
      <c r="F161" s="25">
        <v>13.5</v>
      </c>
      <c r="G161" s="25">
        <v>31</v>
      </c>
      <c r="H161" s="25">
        <v>25.72</v>
      </c>
      <c r="I161" s="25">
        <v>26.28</v>
      </c>
      <c r="J161" s="26">
        <v>4428500</v>
      </c>
      <c r="K161" s="27">
        <v>6978000</v>
      </c>
      <c r="L161" s="28">
        <v>76</v>
      </c>
      <c r="M161" s="28">
        <v>51</v>
      </c>
      <c r="N161" s="29">
        <v>4</v>
      </c>
      <c r="O161" s="27">
        <v>91816</v>
      </c>
      <c r="P161" s="27">
        <v>367263</v>
      </c>
      <c r="Q161" s="27">
        <v>520929</v>
      </c>
      <c r="R161" s="27">
        <v>295233</v>
      </c>
      <c r="S161" s="27">
        <v>336373</v>
      </c>
      <c r="T161" s="30">
        <v>1.58</v>
      </c>
      <c r="U161" s="31">
        <v>19</v>
      </c>
      <c r="V161" s="28">
        <v>15</v>
      </c>
      <c r="W161" s="32">
        <v>116070985</v>
      </c>
      <c r="X161" s="23" t="s">
        <v>79</v>
      </c>
      <c r="Y161" s="33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>
        <v>116070985</v>
      </c>
      <c r="AX161" s="34"/>
      <c r="AY161" s="34"/>
      <c r="AZ161" s="34"/>
      <c r="BA161" s="34"/>
      <c r="BB161" s="34"/>
      <c r="BC161" s="35"/>
    </row>
    <row r="162" spans="1:55" x14ac:dyDescent="0.4">
      <c r="A162" s="20">
        <v>43564</v>
      </c>
      <c r="B162" s="21">
        <v>43564.458668981482</v>
      </c>
      <c r="C162" s="22" t="s">
        <v>73</v>
      </c>
      <c r="D162" s="23" t="s">
        <v>74</v>
      </c>
      <c r="E162" s="24">
        <v>25.2</v>
      </c>
      <c r="F162" s="25">
        <v>13.5</v>
      </c>
      <c r="G162" s="25">
        <v>30</v>
      </c>
      <c r="H162" s="25">
        <v>24.83</v>
      </c>
      <c r="I162" s="25">
        <v>25</v>
      </c>
      <c r="J162" s="26">
        <v>2495000</v>
      </c>
      <c r="K162" s="27">
        <v>6585000</v>
      </c>
      <c r="L162" s="28">
        <v>98</v>
      </c>
      <c r="M162" s="28">
        <v>25</v>
      </c>
      <c r="N162" s="29">
        <v>3.92</v>
      </c>
      <c r="O162" s="27">
        <v>67194</v>
      </c>
      <c r="P162" s="27">
        <v>263400</v>
      </c>
      <c r="Q162" s="27">
        <v>323485</v>
      </c>
      <c r="R162" s="27">
        <v>178214</v>
      </c>
      <c r="S162" s="27">
        <v>254415</v>
      </c>
      <c r="T162" s="30">
        <v>2.64</v>
      </c>
      <c r="U162" s="31">
        <v>25</v>
      </c>
      <c r="V162" s="28">
        <v>14</v>
      </c>
      <c r="W162" s="32">
        <v>62874000</v>
      </c>
      <c r="X162" s="23" t="s">
        <v>75</v>
      </c>
      <c r="Y162" s="33">
        <v>1360800</v>
      </c>
      <c r="Z162" s="34">
        <v>2671200</v>
      </c>
      <c r="AA162" s="34">
        <v>3326400</v>
      </c>
      <c r="AB162" s="34">
        <v>176400</v>
      </c>
      <c r="AC162" s="34">
        <v>4762800</v>
      </c>
      <c r="AD162" s="34"/>
      <c r="AE162" s="34">
        <v>1222200</v>
      </c>
      <c r="AF162" s="34">
        <v>1071000</v>
      </c>
      <c r="AG162" s="34">
        <v>3817800</v>
      </c>
      <c r="AH162" s="34">
        <v>9286200</v>
      </c>
      <c r="AI162" s="34">
        <v>1638000</v>
      </c>
      <c r="AJ162" s="34">
        <v>5392800</v>
      </c>
      <c r="AK162" s="34">
        <v>541800</v>
      </c>
      <c r="AL162" s="34">
        <v>1713600</v>
      </c>
      <c r="AM162" s="34">
        <v>919800</v>
      </c>
      <c r="AN162" s="34"/>
      <c r="AO162" s="34">
        <v>9626400</v>
      </c>
      <c r="AP162" s="34"/>
      <c r="AQ162" s="34">
        <v>630000</v>
      </c>
      <c r="AR162" s="34">
        <v>126000</v>
      </c>
      <c r="AS162" s="34">
        <v>315000</v>
      </c>
      <c r="AT162" s="34">
        <v>113400</v>
      </c>
      <c r="AU162" s="34">
        <v>3301200</v>
      </c>
      <c r="AV162" s="34"/>
      <c r="AW162" s="34"/>
      <c r="AX162" s="34">
        <v>1915200</v>
      </c>
      <c r="AY162" s="34">
        <v>5670000</v>
      </c>
      <c r="AZ162" s="34">
        <v>932400</v>
      </c>
      <c r="BA162" s="34">
        <v>491400</v>
      </c>
      <c r="BB162" s="34">
        <v>1852200</v>
      </c>
      <c r="BC162" s="35"/>
    </row>
    <row r="163" spans="1:55" x14ac:dyDescent="0.4">
      <c r="A163" s="20">
        <v>43563</v>
      </c>
      <c r="B163" s="21">
        <v>43563.458773148152</v>
      </c>
      <c r="C163" s="22" t="s">
        <v>73</v>
      </c>
      <c r="D163" s="23" t="s">
        <v>74</v>
      </c>
      <c r="E163" s="24">
        <v>24.07</v>
      </c>
      <c r="F163" s="25">
        <v>13.5</v>
      </c>
      <c r="G163" s="25">
        <v>28</v>
      </c>
      <c r="H163" s="25">
        <v>23.67</v>
      </c>
      <c r="I163" s="25">
        <v>23.9</v>
      </c>
      <c r="J163" s="26">
        <v>2495000</v>
      </c>
      <c r="K163" s="27">
        <v>5133500</v>
      </c>
      <c r="L163" s="28">
        <v>85</v>
      </c>
      <c r="M163" s="28">
        <v>25</v>
      </c>
      <c r="N163" s="29">
        <v>3.54</v>
      </c>
      <c r="O163" s="27">
        <v>60394</v>
      </c>
      <c r="P163" s="27">
        <v>213896</v>
      </c>
      <c r="Q163" s="27">
        <v>267007</v>
      </c>
      <c r="R163" s="27">
        <v>155938</v>
      </c>
      <c r="S163" s="27">
        <v>187051</v>
      </c>
      <c r="T163" s="30">
        <v>2.06</v>
      </c>
      <c r="U163" s="31">
        <v>24</v>
      </c>
      <c r="V163" s="28">
        <v>16</v>
      </c>
      <c r="W163" s="32">
        <v>60054650</v>
      </c>
      <c r="X163" s="23" t="s">
        <v>75</v>
      </c>
      <c r="Y163" s="33">
        <v>1299780</v>
      </c>
      <c r="Z163" s="34">
        <v>2551420</v>
      </c>
      <c r="AA163" s="34">
        <v>3177240</v>
      </c>
      <c r="AB163" s="34">
        <v>168490</v>
      </c>
      <c r="AC163" s="34">
        <v>4549230</v>
      </c>
      <c r="AD163" s="34"/>
      <c r="AE163" s="34">
        <v>1167395</v>
      </c>
      <c r="AF163" s="34">
        <v>1022975</v>
      </c>
      <c r="AG163" s="34">
        <v>3646605</v>
      </c>
      <c r="AH163" s="34">
        <v>8869795</v>
      </c>
      <c r="AI163" s="34">
        <v>1564550</v>
      </c>
      <c r="AJ163" s="34">
        <v>5150980</v>
      </c>
      <c r="AK163" s="34">
        <v>517505</v>
      </c>
      <c r="AL163" s="34">
        <v>1636760</v>
      </c>
      <c r="AM163" s="34">
        <v>878555</v>
      </c>
      <c r="AN163" s="34"/>
      <c r="AO163" s="34">
        <v>9194740</v>
      </c>
      <c r="AP163" s="34"/>
      <c r="AQ163" s="34">
        <v>601750</v>
      </c>
      <c r="AR163" s="34">
        <v>120350</v>
      </c>
      <c r="AS163" s="34">
        <v>300875</v>
      </c>
      <c r="AT163" s="34">
        <v>108315</v>
      </c>
      <c r="AU163" s="34">
        <v>3153170</v>
      </c>
      <c r="AV163" s="34"/>
      <c r="AW163" s="34"/>
      <c r="AX163" s="34">
        <v>1829320</v>
      </c>
      <c r="AY163" s="34">
        <v>5415750</v>
      </c>
      <c r="AZ163" s="34">
        <v>890590</v>
      </c>
      <c r="BA163" s="34">
        <v>469365</v>
      </c>
      <c r="BB163" s="34">
        <v>1769145</v>
      </c>
      <c r="BC163" s="35"/>
    </row>
    <row r="164" spans="1:55" x14ac:dyDescent="0.4">
      <c r="A164" s="20">
        <v>43560</v>
      </c>
      <c r="B164" s="21">
        <v>43560.458622685182</v>
      </c>
      <c r="C164" s="22" t="s">
        <v>76</v>
      </c>
      <c r="D164" s="23" t="s">
        <v>74</v>
      </c>
      <c r="E164" s="24">
        <v>24.17</v>
      </c>
      <c r="F164" s="25">
        <v>13.5</v>
      </c>
      <c r="G164" s="25">
        <v>30</v>
      </c>
      <c r="H164" s="25">
        <v>23.68</v>
      </c>
      <c r="I164" s="25">
        <v>24.12</v>
      </c>
      <c r="J164" s="26">
        <v>3209000</v>
      </c>
      <c r="K164" s="27">
        <v>5076500</v>
      </c>
      <c r="L164" s="28">
        <v>67</v>
      </c>
      <c r="M164" s="28">
        <v>31</v>
      </c>
      <c r="N164" s="29">
        <v>3.53</v>
      </c>
      <c r="O164" s="27">
        <v>75769</v>
      </c>
      <c r="P164" s="27">
        <v>267184</v>
      </c>
      <c r="Q164" s="27">
        <v>360022</v>
      </c>
      <c r="R164" s="27">
        <v>229214</v>
      </c>
      <c r="S164" s="27">
        <v>308084</v>
      </c>
      <c r="T164" s="30">
        <v>1.58</v>
      </c>
      <c r="U164" s="31">
        <v>19</v>
      </c>
      <c r="V164" s="28">
        <v>14</v>
      </c>
      <c r="W164" s="32">
        <v>77561530</v>
      </c>
      <c r="X164" s="23" t="s">
        <v>77</v>
      </c>
      <c r="Y164" s="33"/>
      <c r="Z164" s="34"/>
      <c r="AA164" s="34"/>
      <c r="AB164" s="34"/>
      <c r="AC164" s="34"/>
      <c r="AD164" s="34">
        <v>77561530</v>
      </c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5"/>
    </row>
    <row r="165" spans="1:55" x14ac:dyDescent="0.4">
      <c r="A165" s="20">
        <v>43559</v>
      </c>
      <c r="B165" s="21">
        <v>43559.458680555559</v>
      </c>
      <c r="C165" s="22" t="s">
        <v>73</v>
      </c>
      <c r="D165" s="23" t="s">
        <v>74</v>
      </c>
      <c r="E165" s="24">
        <v>23.65</v>
      </c>
      <c r="F165" s="25">
        <v>0.01</v>
      </c>
      <c r="G165" s="25">
        <v>25</v>
      </c>
      <c r="H165" s="25">
        <v>23.29</v>
      </c>
      <c r="I165" s="25">
        <v>23.56</v>
      </c>
      <c r="J165" s="26">
        <v>2495000</v>
      </c>
      <c r="K165" s="27">
        <v>4015500</v>
      </c>
      <c r="L165" s="28">
        <v>63</v>
      </c>
      <c r="M165" s="28">
        <v>24</v>
      </c>
      <c r="N165" s="29">
        <v>2.74</v>
      </c>
      <c r="O165" s="27">
        <v>63738</v>
      </c>
      <c r="P165" s="27">
        <v>174587</v>
      </c>
      <c r="Q165" s="27">
        <v>209998</v>
      </c>
      <c r="R165" s="27">
        <v>166333</v>
      </c>
      <c r="S165" s="27">
        <v>182158</v>
      </c>
      <c r="T165" s="30">
        <v>1.61</v>
      </c>
      <c r="U165" s="31">
        <v>23</v>
      </c>
      <c r="V165" s="28">
        <v>15</v>
      </c>
      <c r="W165" s="32">
        <v>59006750</v>
      </c>
      <c r="X165" s="23" t="s">
        <v>75</v>
      </c>
      <c r="Y165" s="33">
        <v>1277100</v>
      </c>
      <c r="Z165" s="34">
        <v>2506900</v>
      </c>
      <c r="AA165" s="34">
        <v>3121800</v>
      </c>
      <c r="AB165" s="34">
        <v>165550</v>
      </c>
      <c r="AC165" s="34">
        <v>4469850</v>
      </c>
      <c r="AD165" s="34"/>
      <c r="AE165" s="34">
        <v>1147025</v>
      </c>
      <c r="AF165" s="34">
        <v>1005125</v>
      </c>
      <c r="AG165" s="34">
        <v>3582975</v>
      </c>
      <c r="AH165" s="34">
        <v>8715025</v>
      </c>
      <c r="AI165" s="34">
        <v>1537250</v>
      </c>
      <c r="AJ165" s="34">
        <v>5061100</v>
      </c>
      <c r="AK165" s="34">
        <v>508475</v>
      </c>
      <c r="AL165" s="34">
        <v>1608200</v>
      </c>
      <c r="AM165" s="34">
        <v>863225</v>
      </c>
      <c r="AN165" s="34"/>
      <c r="AO165" s="34">
        <v>9034300</v>
      </c>
      <c r="AP165" s="34"/>
      <c r="AQ165" s="34">
        <v>591250</v>
      </c>
      <c r="AR165" s="34">
        <v>118250</v>
      </c>
      <c r="AS165" s="34">
        <v>295625</v>
      </c>
      <c r="AT165" s="34">
        <v>106425</v>
      </c>
      <c r="AU165" s="34">
        <v>3098150</v>
      </c>
      <c r="AV165" s="34"/>
      <c r="AW165" s="34"/>
      <c r="AX165" s="34">
        <v>1797400</v>
      </c>
      <c r="AY165" s="34">
        <v>5321250</v>
      </c>
      <c r="AZ165" s="34">
        <v>875050</v>
      </c>
      <c r="BA165" s="34">
        <v>461175</v>
      </c>
      <c r="BB165" s="34">
        <v>1738275</v>
      </c>
      <c r="BC165" s="35"/>
    </row>
    <row r="166" spans="1:55" x14ac:dyDescent="0.4">
      <c r="A166" s="20">
        <v>43557</v>
      </c>
      <c r="B166" s="21">
        <v>43557.458599537036</v>
      </c>
      <c r="C166" s="22" t="s">
        <v>73</v>
      </c>
      <c r="D166" s="23" t="s">
        <v>74</v>
      </c>
      <c r="E166" s="24">
        <v>21.4</v>
      </c>
      <c r="F166" s="25">
        <v>13.5</v>
      </c>
      <c r="G166" s="25">
        <v>25</v>
      </c>
      <c r="H166" s="25">
        <v>21.15</v>
      </c>
      <c r="I166" s="25">
        <v>21.27</v>
      </c>
      <c r="J166" s="26">
        <v>2495000</v>
      </c>
      <c r="K166" s="27">
        <v>6655000</v>
      </c>
      <c r="L166" s="28">
        <v>104</v>
      </c>
      <c r="M166" s="28">
        <v>27</v>
      </c>
      <c r="N166" s="29">
        <v>3.47</v>
      </c>
      <c r="O166" s="27">
        <v>63990</v>
      </c>
      <c r="P166" s="27">
        <v>221833</v>
      </c>
      <c r="Q166" s="27">
        <v>269376</v>
      </c>
      <c r="R166" s="27">
        <v>138611</v>
      </c>
      <c r="S166" s="27">
        <v>142251</v>
      </c>
      <c r="T166" s="30">
        <v>2.67</v>
      </c>
      <c r="U166" s="31">
        <v>30</v>
      </c>
      <c r="V166" s="28">
        <v>18</v>
      </c>
      <c r="W166" s="32">
        <v>53393000</v>
      </c>
      <c r="X166" s="23" t="s">
        <v>75</v>
      </c>
      <c r="Y166" s="33">
        <v>1155600</v>
      </c>
      <c r="Z166" s="34">
        <v>2268400</v>
      </c>
      <c r="AA166" s="34">
        <v>2824800</v>
      </c>
      <c r="AB166" s="34">
        <v>149800</v>
      </c>
      <c r="AC166" s="34">
        <v>4044600</v>
      </c>
      <c r="AD166" s="34"/>
      <c r="AE166" s="34">
        <v>1037900</v>
      </c>
      <c r="AF166" s="34">
        <v>909500</v>
      </c>
      <c r="AG166" s="34">
        <v>3242100</v>
      </c>
      <c r="AH166" s="34">
        <v>7885900</v>
      </c>
      <c r="AI166" s="34">
        <v>1391000</v>
      </c>
      <c r="AJ166" s="34">
        <v>4579600</v>
      </c>
      <c r="AK166" s="34">
        <v>460100</v>
      </c>
      <c r="AL166" s="34">
        <v>1455200</v>
      </c>
      <c r="AM166" s="34">
        <v>781100</v>
      </c>
      <c r="AN166" s="34"/>
      <c r="AO166" s="34">
        <v>8174800</v>
      </c>
      <c r="AP166" s="34"/>
      <c r="AQ166" s="34">
        <v>535000</v>
      </c>
      <c r="AR166" s="34">
        <v>107000</v>
      </c>
      <c r="AS166" s="34">
        <v>267500</v>
      </c>
      <c r="AT166" s="34">
        <v>96300</v>
      </c>
      <c r="AU166" s="34">
        <v>2803400</v>
      </c>
      <c r="AV166" s="34"/>
      <c r="AW166" s="34"/>
      <c r="AX166" s="34">
        <v>1626400</v>
      </c>
      <c r="AY166" s="34">
        <v>4815000</v>
      </c>
      <c r="AZ166" s="34">
        <v>791800</v>
      </c>
      <c r="BA166" s="34">
        <v>417300</v>
      </c>
      <c r="BB166" s="34">
        <v>1572900</v>
      </c>
      <c r="BC166" s="35"/>
    </row>
    <row r="167" spans="1:55" x14ac:dyDescent="0.4">
      <c r="A167" s="20">
        <v>43556</v>
      </c>
      <c r="B167" s="21">
        <v>43556.45888888889</v>
      </c>
      <c r="C167" s="22" t="s">
        <v>73</v>
      </c>
      <c r="D167" s="23" t="s">
        <v>74</v>
      </c>
      <c r="E167" s="24">
        <v>21.06</v>
      </c>
      <c r="F167" s="25">
        <v>13.5</v>
      </c>
      <c r="G167" s="25">
        <v>25</v>
      </c>
      <c r="H167" s="25">
        <v>20.98</v>
      </c>
      <c r="I167" s="25">
        <v>21.05</v>
      </c>
      <c r="J167" s="26">
        <v>2495000</v>
      </c>
      <c r="K167" s="27">
        <v>4418500</v>
      </c>
      <c r="L167" s="28">
        <v>70</v>
      </c>
      <c r="M167" s="28">
        <v>34</v>
      </c>
      <c r="N167" s="29">
        <v>3.33</v>
      </c>
      <c r="O167" s="27">
        <v>63121</v>
      </c>
      <c r="P167" s="27">
        <v>210405</v>
      </c>
      <c r="Q167" s="27">
        <v>216711</v>
      </c>
      <c r="R167" s="27">
        <v>131316</v>
      </c>
      <c r="S167" s="27">
        <v>156394</v>
      </c>
      <c r="T167" s="30">
        <v>1.77</v>
      </c>
      <c r="U167" s="31">
        <v>21</v>
      </c>
      <c r="V167" s="28">
        <v>19</v>
      </c>
      <c r="W167" s="32">
        <v>52544700</v>
      </c>
      <c r="X167" s="23" t="s">
        <v>75</v>
      </c>
      <c r="Y167" s="33">
        <v>1137240</v>
      </c>
      <c r="Z167" s="34">
        <v>2232360</v>
      </c>
      <c r="AA167" s="34">
        <v>2779920</v>
      </c>
      <c r="AB167" s="34">
        <v>147420</v>
      </c>
      <c r="AC167" s="34">
        <v>3980340</v>
      </c>
      <c r="AD167" s="34"/>
      <c r="AE167" s="34">
        <v>1021410</v>
      </c>
      <c r="AF167" s="34">
        <v>895050</v>
      </c>
      <c r="AG167" s="34">
        <v>3190590</v>
      </c>
      <c r="AH167" s="34">
        <v>7760610</v>
      </c>
      <c r="AI167" s="34">
        <v>1368900</v>
      </c>
      <c r="AJ167" s="34">
        <v>4506840</v>
      </c>
      <c r="AK167" s="34">
        <v>452790</v>
      </c>
      <c r="AL167" s="34">
        <v>1432080</v>
      </c>
      <c r="AM167" s="34">
        <v>768690</v>
      </c>
      <c r="AN167" s="34"/>
      <c r="AO167" s="34">
        <v>8044920</v>
      </c>
      <c r="AP167" s="34"/>
      <c r="AQ167" s="34">
        <v>526500</v>
      </c>
      <c r="AR167" s="34">
        <v>105300</v>
      </c>
      <c r="AS167" s="34">
        <v>263250</v>
      </c>
      <c r="AT167" s="34">
        <v>94770</v>
      </c>
      <c r="AU167" s="34">
        <v>2758860</v>
      </c>
      <c r="AV167" s="34"/>
      <c r="AW167" s="34"/>
      <c r="AX167" s="34">
        <v>1600560</v>
      </c>
      <c r="AY167" s="34">
        <v>4738500</v>
      </c>
      <c r="AZ167" s="34">
        <v>779220</v>
      </c>
      <c r="BA167" s="34">
        <v>410670</v>
      </c>
      <c r="BB167" s="34">
        <v>1547910</v>
      </c>
      <c r="BC167" s="35"/>
    </row>
    <row r="168" spans="1:55" x14ac:dyDescent="0.4">
      <c r="A168" s="20">
        <v>43553</v>
      </c>
      <c r="B168" s="21">
        <v>43553.459050925929</v>
      </c>
      <c r="C168" s="22" t="s">
        <v>76</v>
      </c>
      <c r="D168" s="23" t="s">
        <v>74</v>
      </c>
      <c r="E168" s="24">
        <v>21.83</v>
      </c>
      <c r="F168" s="25">
        <v>13.5</v>
      </c>
      <c r="G168" s="25">
        <v>26</v>
      </c>
      <c r="H168" s="25">
        <v>21.76</v>
      </c>
      <c r="I168" s="25">
        <v>21.78</v>
      </c>
      <c r="J168" s="26">
        <v>3209000</v>
      </c>
      <c r="K168" s="27">
        <v>5887500</v>
      </c>
      <c r="L168" s="28">
        <v>104</v>
      </c>
      <c r="M168" s="28">
        <v>39</v>
      </c>
      <c r="N168" s="29">
        <v>4.5199999999999996</v>
      </c>
      <c r="O168" s="27">
        <v>56611</v>
      </c>
      <c r="P168" s="27">
        <v>255978</v>
      </c>
      <c r="Q168" s="27">
        <v>351915</v>
      </c>
      <c r="R168" s="27">
        <v>200563</v>
      </c>
      <c r="S168" s="27">
        <v>277548</v>
      </c>
      <c r="T168" s="30">
        <v>1.83</v>
      </c>
      <c r="U168" s="31">
        <v>23</v>
      </c>
      <c r="V168" s="28">
        <v>16</v>
      </c>
      <c r="W168" s="32">
        <v>70052470</v>
      </c>
      <c r="X168" s="23" t="s">
        <v>77</v>
      </c>
      <c r="Y168" s="33"/>
      <c r="Z168" s="34"/>
      <c r="AA168" s="34"/>
      <c r="AB168" s="34"/>
      <c r="AC168" s="34"/>
      <c r="AD168" s="34">
        <v>70052470</v>
      </c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5"/>
    </row>
    <row r="169" spans="1:55" x14ac:dyDescent="0.4">
      <c r="A169" s="20">
        <v>43552</v>
      </c>
      <c r="B169" s="21">
        <v>43552.459502314814</v>
      </c>
      <c r="C169" s="22" t="s">
        <v>73</v>
      </c>
      <c r="D169" s="23" t="s">
        <v>74</v>
      </c>
      <c r="E169" s="24">
        <v>21.55</v>
      </c>
      <c r="F169" s="25">
        <v>13.5</v>
      </c>
      <c r="G169" s="25">
        <v>25</v>
      </c>
      <c r="H169" s="25">
        <v>21.36</v>
      </c>
      <c r="I169" s="25">
        <v>21.56</v>
      </c>
      <c r="J169" s="26">
        <v>2495000</v>
      </c>
      <c r="K169" s="27">
        <v>4049500</v>
      </c>
      <c r="L169" s="28">
        <v>90</v>
      </c>
      <c r="M169" s="28">
        <v>50</v>
      </c>
      <c r="N169" s="29">
        <v>3.91</v>
      </c>
      <c r="O169" s="27">
        <v>44994</v>
      </c>
      <c r="P169" s="27">
        <v>176065</v>
      </c>
      <c r="Q169" s="27">
        <v>178040</v>
      </c>
      <c r="R169" s="27">
        <v>124750</v>
      </c>
      <c r="S169" s="27">
        <v>136235</v>
      </c>
      <c r="T169" s="30">
        <v>1.62</v>
      </c>
      <c r="U169" s="31">
        <v>23</v>
      </c>
      <c r="V169" s="28">
        <v>20</v>
      </c>
      <c r="W169" s="32">
        <v>53767250</v>
      </c>
      <c r="X169" s="23" t="s">
        <v>75</v>
      </c>
      <c r="Y169" s="33">
        <v>1163700</v>
      </c>
      <c r="Z169" s="34">
        <v>2284300</v>
      </c>
      <c r="AA169" s="34">
        <v>2844600</v>
      </c>
      <c r="AB169" s="34">
        <v>150850</v>
      </c>
      <c r="AC169" s="34">
        <v>4072950</v>
      </c>
      <c r="AD169" s="34"/>
      <c r="AE169" s="34">
        <v>1045175</v>
      </c>
      <c r="AF169" s="34">
        <v>915875</v>
      </c>
      <c r="AG169" s="34">
        <v>3264825</v>
      </c>
      <c r="AH169" s="34">
        <v>7941175</v>
      </c>
      <c r="AI169" s="34">
        <v>1400750</v>
      </c>
      <c r="AJ169" s="34">
        <v>4611700</v>
      </c>
      <c r="AK169" s="34">
        <v>463325</v>
      </c>
      <c r="AL169" s="34">
        <v>1465400</v>
      </c>
      <c r="AM169" s="34">
        <v>786575</v>
      </c>
      <c r="AN169" s="34"/>
      <c r="AO169" s="34">
        <v>8232100</v>
      </c>
      <c r="AP169" s="34"/>
      <c r="AQ169" s="34">
        <v>538750</v>
      </c>
      <c r="AR169" s="34">
        <v>107750</v>
      </c>
      <c r="AS169" s="34">
        <v>269375</v>
      </c>
      <c r="AT169" s="34">
        <v>96975</v>
      </c>
      <c r="AU169" s="34">
        <v>2823050</v>
      </c>
      <c r="AV169" s="34"/>
      <c r="AW169" s="34"/>
      <c r="AX169" s="34">
        <v>1637800</v>
      </c>
      <c r="AY169" s="34">
        <v>4848750</v>
      </c>
      <c r="AZ169" s="34">
        <v>797350</v>
      </c>
      <c r="BA169" s="34">
        <v>420225</v>
      </c>
      <c r="BB169" s="34">
        <v>1583925</v>
      </c>
      <c r="BC169" s="35"/>
    </row>
    <row r="170" spans="1:55" x14ac:dyDescent="0.4">
      <c r="A170" s="20">
        <v>43551</v>
      </c>
      <c r="B170" s="21">
        <v>43551.458599537036</v>
      </c>
      <c r="C170" s="22" t="s">
        <v>78</v>
      </c>
      <c r="D170" s="23" t="s">
        <v>74</v>
      </c>
      <c r="E170" s="24">
        <v>21.45</v>
      </c>
      <c r="F170" s="25">
        <v>13.5</v>
      </c>
      <c r="G170" s="25">
        <v>26</v>
      </c>
      <c r="H170" s="25">
        <v>21.48</v>
      </c>
      <c r="I170" s="25">
        <v>21.42</v>
      </c>
      <c r="J170" s="26">
        <v>4428500</v>
      </c>
      <c r="K170" s="27">
        <v>7093000</v>
      </c>
      <c r="L170" s="28">
        <v>103</v>
      </c>
      <c r="M170" s="28">
        <v>46</v>
      </c>
      <c r="N170" s="29">
        <v>4.9000000000000004</v>
      </c>
      <c r="O170" s="27">
        <v>68864</v>
      </c>
      <c r="P170" s="27">
        <v>337762</v>
      </c>
      <c r="Q170" s="27">
        <v>382818</v>
      </c>
      <c r="R170" s="27">
        <v>246028</v>
      </c>
      <c r="S170" s="27">
        <v>339668</v>
      </c>
      <c r="T170" s="30">
        <v>1.6</v>
      </c>
      <c r="U170" s="31">
        <v>21</v>
      </c>
      <c r="V170" s="28">
        <v>18</v>
      </c>
      <c r="W170" s="32">
        <v>94991325</v>
      </c>
      <c r="X170" s="23" t="s">
        <v>79</v>
      </c>
      <c r="Y170" s="33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>
        <v>94991325</v>
      </c>
      <c r="AX170" s="34"/>
      <c r="AY170" s="34"/>
      <c r="AZ170" s="34"/>
      <c r="BA170" s="34"/>
      <c r="BB170" s="34"/>
      <c r="BC170" s="35"/>
    </row>
    <row r="171" spans="1:55" x14ac:dyDescent="0.4">
      <c r="A171" s="20">
        <v>43550</v>
      </c>
      <c r="B171" s="21">
        <v>43550.458680555559</v>
      </c>
      <c r="C171" s="22" t="s">
        <v>73</v>
      </c>
      <c r="D171" s="23" t="s">
        <v>74</v>
      </c>
      <c r="E171" s="24">
        <v>21.17</v>
      </c>
      <c r="F171" s="25">
        <v>13.5</v>
      </c>
      <c r="G171" s="25">
        <v>25</v>
      </c>
      <c r="H171" s="25">
        <v>20.84</v>
      </c>
      <c r="I171" s="25">
        <v>20.95</v>
      </c>
      <c r="J171" s="26">
        <v>2495000</v>
      </c>
      <c r="K171" s="27">
        <v>5568500</v>
      </c>
      <c r="L171" s="28">
        <v>103</v>
      </c>
      <c r="M171" s="28">
        <v>24</v>
      </c>
      <c r="N171" s="29">
        <v>3.96</v>
      </c>
      <c r="O171" s="27">
        <v>54063</v>
      </c>
      <c r="P171" s="27">
        <v>214173</v>
      </c>
      <c r="Q171" s="27">
        <v>237356</v>
      </c>
      <c r="R171" s="27">
        <v>178214</v>
      </c>
      <c r="S171" s="27">
        <v>156027</v>
      </c>
      <c r="T171" s="30">
        <v>2.23</v>
      </c>
      <c r="U171" s="31">
        <v>26</v>
      </c>
      <c r="V171" s="28">
        <v>14</v>
      </c>
      <c r="W171" s="32">
        <v>52819150</v>
      </c>
      <c r="X171" s="23" t="s">
        <v>75</v>
      </c>
      <c r="Y171" s="33">
        <v>1143180</v>
      </c>
      <c r="Z171" s="34">
        <v>2244020</v>
      </c>
      <c r="AA171" s="34">
        <v>2794440</v>
      </c>
      <c r="AB171" s="34">
        <v>148190</v>
      </c>
      <c r="AC171" s="34">
        <v>4001130</v>
      </c>
      <c r="AD171" s="34"/>
      <c r="AE171" s="34">
        <v>1026745</v>
      </c>
      <c r="AF171" s="34">
        <v>899725</v>
      </c>
      <c r="AG171" s="34">
        <v>3207255</v>
      </c>
      <c r="AH171" s="34">
        <v>7801145</v>
      </c>
      <c r="AI171" s="34">
        <v>1376050</v>
      </c>
      <c r="AJ171" s="34">
        <v>4530380</v>
      </c>
      <c r="AK171" s="34">
        <v>455155</v>
      </c>
      <c r="AL171" s="34">
        <v>1439560</v>
      </c>
      <c r="AM171" s="34">
        <v>772705</v>
      </c>
      <c r="AN171" s="34"/>
      <c r="AO171" s="34">
        <v>8086940</v>
      </c>
      <c r="AP171" s="34"/>
      <c r="AQ171" s="34">
        <v>529250</v>
      </c>
      <c r="AR171" s="34">
        <v>105850</v>
      </c>
      <c r="AS171" s="34">
        <v>264625</v>
      </c>
      <c r="AT171" s="34">
        <v>95265</v>
      </c>
      <c r="AU171" s="34">
        <v>2773270</v>
      </c>
      <c r="AV171" s="34"/>
      <c r="AW171" s="34"/>
      <c r="AX171" s="34">
        <v>1608920</v>
      </c>
      <c r="AY171" s="34">
        <v>4763250</v>
      </c>
      <c r="AZ171" s="34">
        <v>783290</v>
      </c>
      <c r="BA171" s="34">
        <v>412815</v>
      </c>
      <c r="BB171" s="34">
        <v>1555995</v>
      </c>
      <c r="BC171" s="35"/>
    </row>
    <row r="172" spans="1:55" x14ac:dyDescent="0.4">
      <c r="A172" s="20">
        <v>43549</v>
      </c>
      <c r="B172" s="21">
        <v>43549.458553240744</v>
      </c>
      <c r="C172" s="22" t="s">
        <v>73</v>
      </c>
      <c r="D172" s="23" t="s">
        <v>74</v>
      </c>
      <c r="E172" s="24">
        <v>20.6</v>
      </c>
      <c r="F172" s="25">
        <v>13.5</v>
      </c>
      <c r="G172" s="25">
        <v>25</v>
      </c>
      <c r="H172" s="25">
        <v>20.309999999999999</v>
      </c>
      <c r="I172" s="25">
        <v>20.41</v>
      </c>
      <c r="J172" s="26">
        <v>2495000</v>
      </c>
      <c r="K172" s="27">
        <v>6735500</v>
      </c>
      <c r="L172" s="28">
        <v>95</v>
      </c>
      <c r="M172" s="28">
        <v>22</v>
      </c>
      <c r="N172" s="29">
        <v>3.96</v>
      </c>
      <c r="O172" s="27">
        <v>70900</v>
      </c>
      <c r="P172" s="27">
        <v>280646</v>
      </c>
      <c r="Q172" s="27">
        <v>530296</v>
      </c>
      <c r="R172" s="27">
        <v>178214</v>
      </c>
      <c r="S172" s="27">
        <v>233158</v>
      </c>
      <c r="T172" s="30">
        <v>2.7</v>
      </c>
      <c r="U172" s="31">
        <v>24</v>
      </c>
      <c r="V172" s="28">
        <v>14</v>
      </c>
      <c r="W172" s="32">
        <v>51397000</v>
      </c>
      <c r="X172" s="23" t="s">
        <v>75</v>
      </c>
      <c r="Y172" s="33">
        <v>1112400</v>
      </c>
      <c r="Z172" s="34">
        <v>2183600</v>
      </c>
      <c r="AA172" s="34">
        <v>2719200</v>
      </c>
      <c r="AB172" s="34">
        <v>144200</v>
      </c>
      <c r="AC172" s="34">
        <v>3893400</v>
      </c>
      <c r="AD172" s="34"/>
      <c r="AE172" s="34">
        <v>999100</v>
      </c>
      <c r="AF172" s="34">
        <v>875500</v>
      </c>
      <c r="AG172" s="34">
        <v>3120900</v>
      </c>
      <c r="AH172" s="34">
        <v>7591100</v>
      </c>
      <c r="AI172" s="34">
        <v>1339000</v>
      </c>
      <c r="AJ172" s="34">
        <v>4408400</v>
      </c>
      <c r="AK172" s="34">
        <v>442900</v>
      </c>
      <c r="AL172" s="34">
        <v>1400800</v>
      </c>
      <c r="AM172" s="34">
        <v>751900</v>
      </c>
      <c r="AN172" s="34"/>
      <c r="AO172" s="34">
        <v>7869200</v>
      </c>
      <c r="AP172" s="34"/>
      <c r="AQ172" s="34">
        <v>515000</v>
      </c>
      <c r="AR172" s="34">
        <v>103000</v>
      </c>
      <c r="AS172" s="34">
        <v>257500</v>
      </c>
      <c r="AT172" s="34">
        <v>92700</v>
      </c>
      <c r="AU172" s="34">
        <v>2698600</v>
      </c>
      <c r="AV172" s="34"/>
      <c r="AW172" s="34"/>
      <c r="AX172" s="34">
        <v>1565600</v>
      </c>
      <c r="AY172" s="34">
        <v>4635000</v>
      </c>
      <c r="AZ172" s="34">
        <v>762200</v>
      </c>
      <c r="BA172" s="34">
        <v>401700</v>
      </c>
      <c r="BB172" s="34">
        <v>1514100</v>
      </c>
      <c r="BC172" s="35"/>
    </row>
    <row r="173" spans="1:55" x14ac:dyDescent="0.4">
      <c r="A173" s="20">
        <v>43546</v>
      </c>
      <c r="B173" s="21">
        <v>43546.458622685182</v>
      </c>
      <c r="C173" s="22" t="s">
        <v>76</v>
      </c>
      <c r="D173" s="23" t="s">
        <v>74</v>
      </c>
      <c r="E173" s="24">
        <v>20.64</v>
      </c>
      <c r="F173" s="25">
        <v>13.5</v>
      </c>
      <c r="G173" s="25">
        <v>25</v>
      </c>
      <c r="H173" s="25">
        <v>20.43</v>
      </c>
      <c r="I173" s="25">
        <v>20.55</v>
      </c>
      <c r="J173" s="26">
        <v>3209000</v>
      </c>
      <c r="K173" s="27">
        <v>5563500</v>
      </c>
      <c r="L173" s="28">
        <v>95</v>
      </c>
      <c r="M173" s="28">
        <v>38</v>
      </c>
      <c r="N173" s="29">
        <v>3.8</v>
      </c>
      <c r="O173" s="27">
        <v>58563</v>
      </c>
      <c r="P173" s="27">
        <v>222540</v>
      </c>
      <c r="Q173" s="27">
        <v>232532</v>
      </c>
      <c r="R173" s="27">
        <v>178278</v>
      </c>
      <c r="S173" s="27">
        <v>208530</v>
      </c>
      <c r="T173" s="30">
        <v>1.73</v>
      </c>
      <c r="U173" s="31">
        <v>25</v>
      </c>
      <c r="V173" s="28">
        <v>18</v>
      </c>
      <c r="W173" s="32">
        <v>66233760</v>
      </c>
      <c r="X173" s="23" t="s">
        <v>77</v>
      </c>
      <c r="Y173" s="33"/>
      <c r="Z173" s="34"/>
      <c r="AA173" s="34"/>
      <c r="AB173" s="34"/>
      <c r="AC173" s="34"/>
      <c r="AD173" s="34">
        <v>66233760</v>
      </c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5"/>
    </row>
    <row r="174" spans="1:55" x14ac:dyDescent="0.4">
      <c r="A174" s="20">
        <v>43545</v>
      </c>
      <c r="B174" s="21">
        <v>43545.458599537036</v>
      </c>
      <c r="C174" s="22" t="s">
        <v>73</v>
      </c>
      <c r="D174" s="23" t="s">
        <v>74</v>
      </c>
      <c r="E174" s="24">
        <v>21.1</v>
      </c>
      <c r="F174" s="25">
        <v>13.5</v>
      </c>
      <c r="G174" s="25">
        <v>30</v>
      </c>
      <c r="H174" s="25">
        <v>20.95</v>
      </c>
      <c r="I174" s="25">
        <v>21.03</v>
      </c>
      <c r="J174" s="26">
        <v>2495000</v>
      </c>
      <c r="K174" s="27">
        <v>4971000</v>
      </c>
      <c r="L174" s="28">
        <v>96</v>
      </c>
      <c r="M174" s="28">
        <v>33</v>
      </c>
      <c r="N174" s="29">
        <v>3.56</v>
      </c>
      <c r="O174" s="27">
        <v>51781</v>
      </c>
      <c r="P174" s="27">
        <v>184111</v>
      </c>
      <c r="Q174" s="27">
        <v>174660</v>
      </c>
      <c r="R174" s="27">
        <v>131316</v>
      </c>
      <c r="S174" s="27">
        <v>121114</v>
      </c>
      <c r="T174" s="30">
        <v>1.99</v>
      </c>
      <c r="U174" s="31">
        <v>27</v>
      </c>
      <c r="V174" s="28">
        <v>19</v>
      </c>
      <c r="W174" s="32">
        <v>52644500</v>
      </c>
      <c r="X174" s="23" t="s">
        <v>75</v>
      </c>
      <c r="Y174" s="33">
        <v>1139400</v>
      </c>
      <c r="Z174" s="34">
        <v>2236600</v>
      </c>
      <c r="AA174" s="34">
        <v>2785200</v>
      </c>
      <c r="AB174" s="34">
        <v>147700</v>
      </c>
      <c r="AC174" s="34">
        <v>3987900</v>
      </c>
      <c r="AD174" s="34"/>
      <c r="AE174" s="34">
        <v>1023350</v>
      </c>
      <c r="AF174" s="34">
        <v>896750</v>
      </c>
      <c r="AG174" s="34">
        <v>3196650</v>
      </c>
      <c r="AH174" s="34">
        <v>7775350</v>
      </c>
      <c r="AI174" s="34">
        <v>1371500</v>
      </c>
      <c r="AJ174" s="34">
        <v>4515400</v>
      </c>
      <c r="AK174" s="34">
        <v>453650</v>
      </c>
      <c r="AL174" s="34">
        <v>1434800</v>
      </c>
      <c r="AM174" s="34">
        <v>770150</v>
      </c>
      <c r="AN174" s="34"/>
      <c r="AO174" s="34">
        <v>8060200</v>
      </c>
      <c r="AP174" s="34"/>
      <c r="AQ174" s="34">
        <v>527500</v>
      </c>
      <c r="AR174" s="34">
        <v>105500</v>
      </c>
      <c r="AS174" s="34">
        <v>263750</v>
      </c>
      <c r="AT174" s="34">
        <v>94950</v>
      </c>
      <c r="AU174" s="34">
        <v>2764100</v>
      </c>
      <c r="AV174" s="34"/>
      <c r="AW174" s="34"/>
      <c r="AX174" s="34">
        <v>1603600</v>
      </c>
      <c r="AY174" s="34">
        <v>4747500</v>
      </c>
      <c r="AZ174" s="34">
        <v>780700</v>
      </c>
      <c r="BA174" s="34">
        <v>411450</v>
      </c>
      <c r="BB174" s="34">
        <v>1550850</v>
      </c>
      <c r="BC174" s="35"/>
    </row>
    <row r="175" spans="1:55" x14ac:dyDescent="0.4">
      <c r="A175" s="20">
        <v>43543</v>
      </c>
      <c r="B175" s="21">
        <v>43543.458518518521</v>
      </c>
      <c r="C175" s="22" t="s">
        <v>73</v>
      </c>
      <c r="D175" s="23" t="s">
        <v>74</v>
      </c>
      <c r="E175" s="24">
        <v>21.35</v>
      </c>
      <c r="F175" s="25">
        <v>13.5</v>
      </c>
      <c r="G175" s="25">
        <v>30</v>
      </c>
      <c r="H175" s="25">
        <v>21.11</v>
      </c>
      <c r="I175" s="25">
        <v>21.26</v>
      </c>
      <c r="J175" s="26">
        <v>2495000</v>
      </c>
      <c r="K175" s="27">
        <v>4678000</v>
      </c>
      <c r="L175" s="28">
        <v>80</v>
      </c>
      <c r="M175" s="28">
        <v>35</v>
      </c>
      <c r="N175" s="29">
        <v>3.2</v>
      </c>
      <c r="O175" s="27">
        <v>58475</v>
      </c>
      <c r="P175" s="27">
        <v>187120</v>
      </c>
      <c r="Q175" s="27">
        <v>165413</v>
      </c>
      <c r="R175" s="27">
        <v>131316</v>
      </c>
      <c r="S175" s="27">
        <v>115443</v>
      </c>
      <c r="T175" s="30">
        <v>1.87</v>
      </c>
      <c r="U175" s="31">
        <v>25</v>
      </c>
      <c r="V175" s="28">
        <v>19</v>
      </c>
      <c r="W175" s="32">
        <v>53268250</v>
      </c>
      <c r="X175" s="23" t="s">
        <v>75</v>
      </c>
      <c r="Y175" s="33">
        <v>1152900</v>
      </c>
      <c r="Z175" s="34">
        <v>2263100</v>
      </c>
      <c r="AA175" s="34">
        <v>2818200</v>
      </c>
      <c r="AB175" s="34">
        <v>149450</v>
      </c>
      <c r="AC175" s="34">
        <v>4035150</v>
      </c>
      <c r="AD175" s="34"/>
      <c r="AE175" s="34">
        <v>1035475</v>
      </c>
      <c r="AF175" s="34">
        <v>907375</v>
      </c>
      <c r="AG175" s="34">
        <v>3234525</v>
      </c>
      <c r="AH175" s="34">
        <v>7867475</v>
      </c>
      <c r="AI175" s="34">
        <v>1387750</v>
      </c>
      <c r="AJ175" s="34">
        <v>4568900</v>
      </c>
      <c r="AK175" s="34">
        <v>459025</v>
      </c>
      <c r="AL175" s="34">
        <v>1451800</v>
      </c>
      <c r="AM175" s="34">
        <v>779275</v>
      </c>
      <c r="AN175" s="34"/>
      <c r="AO175" s="34">
        <v>8155700</v>
      </c>
      <c r="AP175" s="34"/>
      <c r="AQ175" s="34">
        <v>533750</v>
      </c>
      <c r="AR175" s="34">
        <v>106750</v>
      </c>
      <c r="AS175" s="34">
        <v>266875</v>
      </c>
      <c r="AT175" s="34">
        <v>96075</v>
      </c>
      <c r="AU175" s="34">
        <v>2796850</v>
      </c>
      <c r="AV175" s="34"/>
      <c r="AW175" s="34"/>
      <c r="AX175" s="34">
        <v>1622600</v>
      </c>
      <c r="AY175" s="34">
        <v>4803750</v>
      </c>
      <c r="AZ175" s="34">
        <v>789950</v>
      </c>
      <c r="BA175" s="34">
        <v>416325</v>
      </c>
      <c r="BB175" s="34">
        <v>1569225</v>
      </c>
      <c r="BC175" s="35"/>
    </row>
    <row r="176" spans="1:55" x14ac:dyDescent="0.4">
      <c r="A176" s="20">
        <v>43542</v>
      </c>
      <c r="B176" s="21">
        <v>43542.458587962959</v>
      </c>
      <c r="C176" s="22" t="s">
        <v>73</v>
      </c>
      <c r="D176" s="23" t="s">
        <v>74</v>
      </c>
      <c r="E176" s="24">
        <v>21.5</v>
      </c>
      <c r="F176" s="25">
        <v>13.5</v>
      </c>
      <c r="G176" s="25">
        <v>30</v>
      </c>
      <c r="H176" s="25">
        <v>21.21</v>
      </c>
      <c r="I176" s="25">
        <v>21.42</v>
      </c>
      <c r="J176" s="26">
        <v>2495000</v>
      </c>
      <c r="K176" s="27">
        <v>4667000</v>
      </c>
      <c r="L176" s="28">
        <v>73</v>
      </c>
      <c r="M176" s="28">
        <v>29</v>
      </c>
      <c r="N176" s="29">
        <v>3.17</v>
      </c>
      <c r="O176" s="27">
        <v>63932</v>
      </c>
      <c r="P176" s="27">
        <v>202913</v>
      </c>
      <c r="Q176" s="27">
        <v>219143</v>
      </c>
      <c r="R176" s="27">
        <v>138611</v>
      </c>
      <c r="S176" s="27">
        <v>195649</v>
      </c>
      <c r="T176" s="30">
        <v>1.87</v>
      </c>
      <c r="U176" s="31">
        <v>23</v>
      </c>
      <c r="V176" s="28">
        <v>18</v>
      </c>
      <c r="W176" s="32">
        <v>53642500</v>
      </c>
      <c r="X176" s="23" t="s">
        <v>75</v>
      </c>
      <c r="Y176" s="33">
        <v>1161000</v>
      </c>
      <c r="Z176" s="34">
        <v>2279000</v>
      </c>
      <c r="AA176" s="34">
        <v>2838000</v>
      </c>
      <c r="AB176" s="34">
        <v>150500</v>
      </c>
      <c r="AC176" s="34">
        <v>4063500</v>
      </c>
      <c r="AD176" s="34"/>
      <c r="AE176" s="34">
        <v>1042750</v>
      </c>
      <c r="AF176" s="34">
        <v>913750</v>
      </c>
      <c r="AG176" s="34">
        <v>3257250</v>
      </c>
      <c r="AH176" s="34">
        <v>7922750</v>
      </c>
      <c r="AI176" s="34">
        <v>1397500</v>
      </c>
      <c r="AJ176" s="34">
        <v>4601000</v>
      </c>
      <c r="AK176" s="34">
        <v>462250</v>
      </c>
      <c r="AL176" s="34">
        <v>1462000</v>
      </c>
      <c r="AM176" s="34">
        <v>784750</v>
      </c>
      <c r="AN176" s="34"/>
      <c r="AO176" s="34">
        <v>8213000</v>
      </c>
      <c r="AP176" s="34"/>
      <c r="AQ176" s="34">
        <v>537500</v>
      </c>
      <c r="AR176" s="34">
        <v>107500</v>
      </c>
      <c r="AS176" s="34">
        <v>268750</v>
      </c>
      <c r="AT176" s="34">
        <v>96750</v>
      </c>
      <c r="AU176" s="34">
        <v>2816500</v>
      </c>
      <c r="AV176" s="34"/>
      <c r="AW176" s="34"/>
      <c r="AX176" s="34">
        <v>1634000</v>
      </c>
      <c r="AY176" s="34">
        <v>4837500</v>
      </c>
      <c r="AZ176" s="34">
        <v>795500</v>
      </c>
      <c r="BA176" s="34">
        <v>419250</v>
      </c>
      <c r="BB176" s="34">
        <v>1580250</v>
      </c>
      <c r="BC176" s="35"/>
    </row>
    <row r="177" spans="1:55" x14ac:dyDescent="0.4">
      <c r="A177" s="20">
        <v>43539</v>
      </c>
      <c r="B177" s="21">
        <v>43539.458645833336</v>
      </c>
      <c r="C177" s="22" t="s">
        <v>76</v>
      </c>
      <c r="D177" s="23" t="s">
        <v>74</v>
      </c>
      <c r="E177" s="24">
        <v>22.77</v>
      </c>
      <c r="F177" s="25">
        <v>13.5</v>
      </c>
      <c r="G177" s="25">
        <v>30</v>
      </c>
      <c r="H177" s="25">
        <v>22.57</v>
      </c>
      <c r="I177" s="25">
        <v>22.63</v>
      </c>
      <c r="J177" s="26">
        <v>3209000</v>
      </c>
      <c r="K177" s="27">
        <v>4961500</v>
      </c>
      <c r="L177" s="28">
        <v>82</v>
      </c>
      <c r="M177" s="28">
        <v>32</v>
      </c>
      <c r="N177" s="29">
        <v>3.57</v>
      </c>
      <c r="O177" s="27">
        <v>60506</v>
      </c>
      <c r="P177" s="27">
        <v>215717</v>
      </c>
      <c r="Q177" s="27">
        <v>281045</v>
      </c>
      <c r="R177" s="27">
        <v>213933</v>
      </c>
      <c r="S177" s="27">
        <v>292024</v>
      </c>
      <c r="T177" s="30">
        <v>1.55</v>
      </c>
      <c r="U177" s="31">
        <v>23</v>
      </c>
      <c r="V177" s="28">
        <v>15</v>
      </c>
      <c r="W177" s="32">
        <v>73068930</v>
      </c>
      <c r="X177" s="23" t="s">
        <v>77</v>
      </c>
      <c r="Y177" s="33"/>
      <c r="Z177" s="34"/>
      <c r="AA177" s="34"/>
      <c r="AB177" s="34"/>
      <c r="AC177" s="34"/>
      <c r="AD177" s="34">
        <v>73068930</v>
      </c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5"/>
    </row>
    <row r="178" spans="1:55" x14ac:dyDescent="0.4">
      <c r="A178" s="20">
        <v>43538</v>
      </c>
      <c r="B178" s="21">
        <v>43538.458611111113</v>
      </c>
      <c r="C178" s="22" t="s">
        <v>73</v>
      </c>
      <c r="D178" s="23" t="s">
        <v>74</v>
      </c>
      <c r="E178" s="24">
        <v>22.23</v>
      </c>
      <c r="F178" s="25">
        <v>13.5</v>
      </c>
      <c r="G178" s="25">
        <v>30</v>
      </c>
      <c r="H178" s="25">
        <v>21.94</v>
      </c>
      <c r="I178" s="25">
        <v>22.22</v>
      </c>
      <c r="J178" s="26">
        <v>2495000</v>
      </c>
      <c r="K178" s="27">
        <v>4243500</v>
      </c>
      <c r="L178" s="28">
        <v>65</v>
      </c>
      <c r="M178" s="28">
        <v>31</v>
      </c>
      <c r="N178" s="29">
        <v>2.95</v>
      </c>
      <c r="O178" s="27">
        <v>65285</v>
      </c>
      <c r="P178" s="27">
        <v>192886</v>
      </c>
      <c r="Q178" s="27">
        <v>206305</v>
      </c>
      <c r="R178" s="27">
        <v>138611</v>
      </c>
      <c r="S178" s="27">
        <v>160095</v>
      </c>
      <c r="T178" s="30">
        <v>1.7</v>
      </c>
      <c r="U178" s="31">
        <v>22</v>
      </c>
      <c r="V178" s="28">
        <v>18</v>
      </c>
      <c r="W178" s="32">
        <v>55463850</v>
      </c>
      <c r="X178" s="23" t="s">
        <v>75</v>
      </c>
      <c r="Y178" s="33">
        <v>1200420</v>
      </c>
      <c r="Z178" s="34">
        <v>2356380</v>
      </c>
      <c r="AA178" s="34">
        <v>2934360</v>
      </c>
      <c r="AB178" s="34">
        <v>155610</v>
      </c>
      <c r="AC178" s="34">
        <v>4201470</v>
      </c>
      <c r="AD178" s="34"/>
      <c r="AE178" s="34">
        <v>1078155</v>
      </c>
      <c r="AF178" s="34">
        <v>944775</v>
      </c>
      <c r="AG178" s="34">
        <v>3367845</v>
      </c>
      <c r="AH178" s="34">
        <v>8191755</v>
      </c>
      <c r="AI178" s="34">
        <v>1444950</v>
      </c>
      <c r="AJ178" s="34">
        <v>4757220</v>
      </c>
      <c r="AK178" s="34">
        <v>477945</v>
      </c>
      <c r="AL178" s="34">
        <v>1511640</v>
      </c>
      <c r="AM178" s="34">
        <v>811395</v>
      </c>
      <c r="AN178" s="34"/>
      <c r="AO178" s="34">
        <v>8491860</v>
      </c>
      <c r="AP178" s="34"/>
      <c r="AQ178" s="34">
        <v>555750</v>
      </c>
      <c r="AR178" s="34">
        <v>111150</v>
      </c>
      <c r="AS178" s="34">
        <v>277875</v>
      </c>
      <c r="AT178" s="34">
        <v>100035</v>
      </c>
      <c r="AU178" s="34">
        <v>2912130</v>
      </c>
      <c r="AV178" s="34"/>
      <c r="AW178" s="34"/>
      <c r="AX178" s="34">
        <v>1689480</v>
      </c>
      <c r="AY178" s="34">
        <v>5001750</v>
      </c>
      <c r="AZ178" s="34">
        <v>822510</v>
      </c>
      <c r="BA178" s="34">
        <v>433485</v>
      </c>
      <c r="BB178" s="34">
        <v>1633905</v>
      </c>
      <c r="BC178" s="35"/>
    </row>
    <row r="179" spans="1:55" x14ac:dyDescent="0.4">
      <c r="A179" s="20">
        <v>43537</v>
      </c>
      <c r="B179" s="21">
        <v>43537.625636574077</v>
      </c>
      <c r="C179" s="22" t="s">
        <v>80</v>
      </c>
      <c r="D179" s="23" t="s">
        <v>81</v>
      </c>
      <c r="E179" s="24">
        <v>21.98</v>
      </c>
      <c r="F179" s="25">
        <v>21.01</v>
      </c>
      <c r="G179" s="25">
        <v>22.4</v>
      </c>
      <c r="H179" s="25">
        <v>21.89</v>
      </c>
      <c r="I179" s="25">
        <v>21.92</v>
      </c>
      <c r="J179" s="26">
        <v>640000</v>
      </c>
      <c r="K179" s="27">
        <v>2253000</v>
      </c>
      <c r="L179" s="28">
        <v>45</v>
      </c>
      <c r="M179" s="28">
        <v>13</v>
      </c>
      <c r="N179" s="29">
        <v>4.5</v>
      </c>
      <c r="O179" s="27">
        <v>50067</v>
      </c>
      <c r="P179" s="27">
        <v>225300</v>
      </c>
      <c r="Q179" s="27">
        <v>165369</v>
      </c>
      <c r="R179" s="27">
        <v>80000</v>
      </c>
      <c r="S179" s="27">
        <v>69588</v>
      </c>
      <c r="T179" s="30">
        <v>3.52</v>
      </c>
      <c r="U179" s="31">
        <v>10</v>
      </c>
      <c r="V179" s="28">
        <v>8</v>
      </c>
      <c r="W179" s="32">
        <v>14067200</v>
      </c>
      <c r="X179" s="23" t="s">
        <v>75</v>
      </c>
      <c r="Y179" s="33">
        <v>417620</v>
      </c>
      <c r="Z179" s="34">
        <v>483560</v>
      </c>
      <c r="AA179" s="34">
        <v>164850</v>
      </c>
      <c r="AB179" s="34">
        <v>252770</v>
      </c>
      <c r="AC179" s="34">
        <v>208810</v>
      </c>
      <c r="AD179" s="34"/>
      <c r="AE179" s="34">
        <v>483560</v>
      </c>
      <c r="AF179" s="34">
        <v>32970</v>
      </c>
      <c r="AG179" s="34">
        <v>890190</v>
      </c>
      <c r="AH179" s="34">
        <v>2901360</v>
      </c>
      <c r="AI179" s="34">
        <v>373660</v>
      </c>
      <c r="AJ179" s="34">
        <v>2165030</v>
      </c>
      <c r="AK179" s="34">
        <v>109900</v>
      </c>
      <c r="AL179" s="34">
        <v>175840</v>
      </c>
      <c r="AM179" s="34">
        <v>384650</v>
      </c>
      <c r="AN179" s="34"/>
      <c r="AO179" s="34">
        <v>2560670</v>
      </c>
      <c r="AP179" s="34"/>
      <c r="AQ179" s="34">
        <v>54950</v>
      </c>
      <c r="AR179" s="34">
        <v>43960</v>
      </c>
      <c r="AS179" s="34">
        <v>98910</v>
      </c>
      <c r="AT179" s="34">
        <v>98910</v>
      </c>
      <c r="AU179" s="34">
        <v>659400</v>
      </c>
      <c r="AV179" s="34"/>
      <c r="AW179" s="34"/>
      <c r="AX179" s="34">
        <v>516530</v>
      </c>
      <c r="AY179" s="34">
        <v>285740</v>
      </c>
      <c r="AZ179" s="34">
        <v>648410</v>
      </c>
      <c r="BA179" s="34">
        <v>21980</v>
      </c>
      <c r="BB179" s="34">
        <v>32970</v>
      </c>
      <c r="BC179" s="35"/>
    </row>
    <row r="180" spans="1:55" x14ac:dyDescent="0.4">
      <c r="A180" s="20">
        <v>43537</v>
      </c>
      <c r="B180" s="21">
        <v>43537.458622685182</v>
      </c>
      <c r="C180" s="22" t="s">
        <v>78</v>
      </c>
      <c r="D180" s="23" t="s">
        <v>74</v>
      </c>
      <c r="E180" s="24">
        <v>21.99</v>
      </c>
      <c r="F180" s="25">
        <v>13</v>
      </c>
      <c r="G180" s="25">
        <v>25</v>
      </c>
      <c r="H180" s="25">
        <v>21.41</v>
      </c>
      <c r="I180" s="25">
        <v>21.91</v>
      </c>
      <c r="J180" s="26">
        <v>4428500</v>
      </c>
      <c r="K180" s="27">
        <v>9259000</v>
      </c>
      <c r="L180" s="28">
        <v>77</v>
      </c>
      <c r="M180" s="28">
        <v>28</v>
      </c>
      <c r="N180" s="29">
        <v>3.08</v>
      </c>
      <c r="O180" s="27">
        <v>120247</v>
      </c>
      <c r="P180" s="27">
        <v>370360</v>
      </c>
      <c r="Q180" s="27">
        <v>494600</v>
      </c>
      <c r="R180" s="27">
        <v>276781</v>
      </c>
      <c r="S180" s="27">
        <v>304066</v>
      </c>
      <c r="T180" s="30">
        <v>2.09</v>
      </c>
      <c r="U180" s="31">
        <v>25</v>
      </c>
      <c r="V180" s="28">
        <v>16</v>
      </c>
      <c r="W180" s="32">
        <v>97382715</v>
      </c>
      <c r="X180" s="23" t="s">
        <v>79</v>
      </c>
      <c r="Y180" s="33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>
        <v>97382715</v>
      </c>
      <c r="AX180" s="34"/>
      <c r="AY180" s="34"/>
      <c r="AZ180" s="34"/>
      <c r="BA180" s="34"/>
      <c r="BB180" s="34"/>
      <c r="BC180" s="35"/>
    </row>
    <row r="181" spans="1:55" x14ac:dyDescent="0.4">
      <c r="A181" s="20">
        <v>43536</v>
      </c>
      <c r="B181" s="21">
        <v>43536.458634259259</v>
      </c>
      <c r="C181" s="22" t="s">
        <v>73</v>
      </c>
      <c r="D181" s="23" t="s">
        <v>74</v>
      </c>
      <c r="E181" s="24">
        <v>22.48</v>
      </c>
      <c r="F181" s="25">
        <v>13</v>
      </c>
      <c r="G181" s="25">
        <v>30</v>
      </c>
      <c r="H181" s="25">
        <v>22.13</v>
      </c>
      <c r="I181" s="25">
        <v>22.51</v>
      </c>
      <c r="J181" s="26">
        <v>2495000</v>
      </c>
      <c r="K181" s="27">
        <v>4066000</v>
      </c>
      <c r="L181" s="28">
        <v>70</v>
      </c>
      <c r="M181" s="28">
        <v>40</v>
      </c>
      <c r="N181" s="29">
        <v>2.69</v>
      </c>
      <c r="O181" s="27">
        <v>58086</v>
      </c>
      <c r="P181" s="27">
        <v>156385</v>
      </c>
      <c r="Q181" s="27">
        <v>198407</v>
      </c>
      <c r="R181" s="27">
        <v>124750</v>
      </c>
      <c r="S181" s="27">
        <v>168450</v>
      </c>
      <c r="T181" s="30">
        <v>1.63</v>
      </c>
      <c r="U181" s="31">
        <v>26</v>
      </c>
      <c r="V181" s="28">
        <v>20</v>
      </c>
      <c r="W181" s="32">
        <v>56087600</v>
      </c>
      <c r="X181" s="23" t="s">
        <v>75</v>
      </c>
      <c r="Y181" s="33">
        <v>1213920</v>
      </c>
      <c r="Z181" s="34">
        <v>2382880</v>
      </c>
      <c r="AA181" s="34">
        <v>2967360</v>
      </c>
      <c r="AB181" s="34">
        <v>157360</v>
      </c>
      <c r="AC181" s="34">
        <v>4248720</v>
      </c>
      <c r="AD181" s="34"/>
      <c r="AE181" s="34">
        <v>1090280</v>
      </c>
      <c r="AF181" s="34">
        <v>955400</v>
      </c>
      <c r="AG181" s="34">
        <v>3405720</v>
      </c>
      <c r="AH181" s="34">
        <v>8283880</v>
      </c>
      <c r="AI181" s="34">
        <v>1461200</v>
      </c>
      <c r="AJ181" s="34">
        <v>4810720</v>
      </c>
      <c r="AK181" s="34">
        <v>483320</v>
      </c>
      <c r="AL181" s="34">
        <v>1528640</v>
      </c>
      <c r="AM181" s="34">
        <v>820520</v>
      </c>
      <c r="AN181" s="34"/>
      <c r="AO181" s="34">
        <v>8587360</v>
      </c>
      <c r="AP181" s="34"/>
      <c r="AQ181" s="34">
        <v>562000</v>
      </c>
      <c r="AR181" s="34">
        <v>112400</v>
      </c>
      <c r="AS181" s="34">
        <v>281000</v>
      </c>
      <c r="AT181" s="34">
        <v>101160</v>
      </c>
      <c r="AU181" s="34">
        <v>2944880</v>
      </c>
      <c r="AV181" s="34"/>
      <c r="AW181" s="34"/>
      <c r="AX181" s="34">
        <v>1708480</v>
      </c>
      <c r="AY181" s="34">
        <v>5058000</v>
      </c>
      <c r="AZ181" s="34">
        <v>831760</v>
      </c>
      <c r="BA181" s="34">
        <v>438360</v>
      </c>
      <c r="BB181" s="34">
        <v>1652280</v>
      </c>
      <c r="BC181" s="35"/>
    </row>
    <row r="182" spans="1:55" x14ac:dyDescent="0.4">
      <c r="A182" s="20">
        <v>43535</v>
      </c>
      <c r="B182" s="21">
        <v>43535.458564814813</v>
      </c>
      <c r="C182" s="22" t="s">
        <v>73</v>
      </c>
      <c r="D182" s="23" t="s">
        <v>74</v>
      </c>
      <c r="E182" s="24">
        <v>22.6</v>
      </c>
      <c r="F182" s="25">
        <v>13</v>
      </c>
      <c r="G182" s="25">
        <v>30</v>
      </c>
      <c r="H182" s="25">
        <v>22.15</v>
      </c>
      <c r="I182" s="25">
        <v>22.59</v>
      </c>
      <c r="J182" s="26">
        <v>2495000</v>
      </c>
      <c r="K182" s="27">
        <v>4390500</v>
      </c>
      <c r="L182" s="28">
        <v>66</v>
      </c>
      <c r="M182" s="28">
        <v>31</v>
      </c>
      <c r="N182" s="29">
        <v>3.47</v>
      </c>
      <c r="O182" s="27">
        <v>66523</v>
      </c>
      <c r="P182" s="27">
        <v>231079</v>
      </c>
      <c r="Q182" s="27">
        <v>227313</v>
      </c>
      <c r="R182" s="27">
        <v>155938</v>
      </c>
      <c r="S182" s="27">
        <v>134024</v>
      </c>
      <c r="T182" s="30">
        <v>1.76</v>
      </c>
      <c r="U182" s="31">
        <v>19</v>
      </c>
      <c r="V182" s="28">
        <v>16</v>
      </c>
      <c r="W182" s="32">
        <v>56387000</v>
      </c>
      <c r="X182" s="23" t="s">
        <v>75</v>
      </c>
      <c r="Y182" s="33">
        <v>1220400</v>
      </c>
      <c r="Z182" s="34">
        <v>2395600</v>
      </c>
      <c r="AA182" s="34">
        <v>2983200</v>
      </c>
      <c r="AB182" s="34">
        <v>158200</v>
      </c>
      <c r="AC182" s="34">
        <v>4271400</v>
      </c>
      <c r="AD182" s="34"/>
      <c r="AE182" s="34">
        <v>1096100</v>
      </c>
      <c r="AF182" s="34">
        <v>960500</v>
      </c>
      <c r="AG182" s="34">
        <v>3423900</v>
      </c>
      <c r="AH182" s="34">
        <v>8328100</v>
      </c>
      <c r="AI182" s="34">
        <v>1469000</v>
      </c>
      <c r="AJ182" s="34">
        <v>4836400</v>
      </c>
      <c r="AK182" s="34">
        <v>485900</v>
      </c>
      <c r="AL182" s="34">
        <v>1536800</v>
      </c>
      <c r="AM182" s="34">
        <v>824900</v>
      </c>
      <c r="AN182" s="34"/>
      <c r="AO182" s="34">
        <v>8633200</v>
      </c>
      <c r="AP182" s="34"/>
      <c r="AQ182" s="34">
        <v>565000</v>
      </c>
      <c r="AR182" s="34">
        <v>113000</v>
      </c>
      <c r="AS182" s="34">
        <v>282500</v>
      </c>
      <c r="AT182" s="34">
        <v>101700</v>
      </c>
      <c r="AU182" s="34">
        <v>2960600</v>
      </c>
      <c r="AV182" s="34"/>
      <c r="AW182" s="34"/>
      <c r="AX182" s="34">
        <v>1717600</v>
      </c>
      <c r="AY182" s="34">
        <v>5085000</v>
      </c>
      <c r="AZ182" s="34">
        <v>836200</v>
      </c>
      <c r="BA182" s="34">
        <v>440700</v>
      </c>
      <c r="BB182" s="34">
        <v>1661100</v>
      </c>
      <c r="BC182" s="35"/>
    </row>
    <row r="183" spans="1:55" x14ac:dyDescent="0.4">
      <c r="A183" s="20">
        <v>43532</v>
      </c>
      <c r="B183" s="21">
        <v>43532.458564814813</v>
      </c>
      <c r="C183" s="22" t="s">
        <v>76</v>
      </c>
      <c r="D183" s="23" t="s">
        <v>74</v>
      </c>
      <c r="E183" s="24">
        <v>22.88</v>
      </c>
      <c r="F183" s="25">
        <v>13</v>
      </c>
      <c r="G183" s="25">
        <v>30</v>
      </c>
      <c r="H183" s="25">
        <v>22.56</v>
      </c>
      <c r="I183" s="25">
        <v>22.88</v>
      </c>
      <c r="J183" s="26">
        <v>3209000</v>
      </c>
      <c r="K183" s="27">
        <v>5869500</v>
      </c>
      <c r="L183" s="28">
        <v>75</v>
      </c>
      <c r="M183" s="28">
        <v>38</v>
      </c>
      <c r="N183" s="29">
        <v>3.13</v>
      </c>
      <c r="O183" s="27">
        <v>78260</v>
      </c>
      <c r="P183" s="27">
        <v>244563</v>
      </c>
      <c r="Q183" s="27">
        <v>286120</v>
      </c>
      <c r="R183" s="27">
        <v>160450</v>
      </c>
      <c r="S183" s="27">
        <v>160429</v>
      </c>
      <c r="T183" s="30">
        <v>1.83</v>
      </c>
      <c r="U183" s="31">
        <v>24</v>
      </c>
      <c r="V183" s="28">
        <v>20</v>
      </c>
      <c r="W183" s="32">
        <v>73421920</v>
      </c>
      <c r="X183" s="23" t="s">
        <v>77</v>
      </c>
      <c r="Y183" s="33"/>
      <c r="Z183" s="34"/>
      <c r="AA183" s="34"/>
      <c r="AB183" s="34"/>
      <c r="AC183" s="34"/>
      <c r="AD183" s="34">
        <v>73421920</v>
      </c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5"/>
    </row>
    <row r="184" spans="1:55" x14ac:dyDescent="0.4">
      <c r="A184" s="20">
        <v>43531</v>
      </c>
      <c r="B184" s="21">
        <v>43531.458564814813</v>
      </c>
      <c r="C184" s="22" t="s">
        <v>73</v>
      </c>
      <c r="D184" s="23" t="s">
        <v>74</v>
      </c>
      <c r="E184" s="24">
        <v>22.03</v>
      </c>
      <c r="F184" s="25">
        <v>21.65</v>
      </c>
      <c r="G184" s="25">
        <v>30</v>
      </c>
      <c r="H184" s="25">
        <v>22.24</v>
      </c>
      <c r="I184" s="25">
        <v>22.02</v>
      </c>
      <c r="J184" s="26">
        <v>2495000</v>
      </c>
      <c r="K184" s="27">
        <v>3750500</v>
      </c>
      <c r="L184" s="28">
        <v>64</v>
      </c>
      <c r="M184" s="28">
        <v>31</v>
      </c>
      <c r="N184" s="29">
        <v>2.56</v>
      </c>
      <c r="O184" s="27">
        <v>58602</v>
      </c>
      <c r="P184" s="27">
        <v>150020</v>
      </c>
      <c r="Q184" s="27">
        <v>180872</v>
      </c>
      <c r="R184" s="27">
        <v>138611</v>
      </c>
      <c r="S184" s="27">
        <v>161129</v>
      </c>
      <c r="T184" s="30">
        <v>1.5</v>
      </c>
      <c r="U184" s="31">
        <v>25</v>
      </c>
      <c r="V184" s="28">
        <v>18</v>
      </c>
      <c r="W184" s="32">
        <v>54964850</v>
      </c>
      <c r="X184" s="23" t="s">
        <v>75</v>
      </c>
      <c r="Y184" s="33">
        <v>1189620</v>
      </c>
      <c r="Z184" s="34">
        <v>2335180</v>
      </c>
      <c r="AA184" s="34">
        <v>2907960</v>
      </c>
      <c r="AB184" s="34">
        <v>154210</v>
      </c>
      <c r="AC184" s="34">
        <v>4163670</v>
      </c>
      <c r="AD184" s="34"/>
      <c r="AE184" s="34">
        <v>1068455</v>
      </c>
      <c r="AF184" s="34">
        <v>936275</v>
      </c>
      <c r="AG184" s="34">
        <v>3337545</v>
      </c>
      <c r="AH184" s="34">
        <v>8118055</v>
      </c>
      <c r="AI184" s="34">
        <v>1431950</v>
      </c>
      <c r="AJ184" s="34">
        <v>4714420</v>
      </c>
      <c r="AK184" s="34">
        <v>473645</v>
      </c>
      <c r="AL184" s="34">
        <v>1498040</v>
      </c>
      <c r="AM184" s="34">
        <v>804095</v>
      </c>
      <c r="AN184" s="34"/>
      <c r="AO184" s="34">
        <v>8415460</v>
      </c>
      <c r="AP184" s="34"/>
      <c r="AQ184" s="34">
        <v>550750</v>
      </c>
      <c r="AR184" s="34">
        <v>110150</v>
      </c>
      <c r="AS184" s="34">
        <v>275375</v>
      </c>
      <c r="AT184" s="34">
        <v>99135</v>
      </c>
      <c r="AU184" s="34">
        <v>2885930</v>
      </c>
      <c r="AV184" s="34"/>
      <c r="AW184" s="34"/>
      <c r="AX184" s="34">
        <v>1674280</v>
      </c>
      <c r="AY184" s="34">
        <v>4956750</v>
      </c>
      <c r="AZ184" s="34">
        <v>815110</v>
      </c>
      <c r="BA184" s="34">
        <v>429585</v>
      </c>
      <c r="BB184" s="34">
        <v>1619205</v>
      </c>
      <c r="BC184" s="35"/>
    </row>
    <row r="185" spans="1:55" x14ac:dyDescent="0.4">
      <c r="A185" s="20">
        <v>43529</v>
      </c>
      <c r="B185" s="21">
        <v>43529.458703703705</v>
      </c>
      <c r="C185" s="22" t="s">
        <v>73</v>
      </c>
      <c r="D185" s="23" t="s">
        <v>74</v>
      </c>
      <c r="E185" s="24">
        <v>22.86</v>
      </c>
      <c r="F185" s="25">
        <v>13</v>
      </c>
      <c r="G185" s="25">
        <v>30</v>
      </c>
      <c r="H185" s="25">
        <v>22.48</v>
      </c>
      <c r="I185" s="25">
        <v>22.85</v>
      </c>
      <c r="J185" s="26">
        <v>2495000</v>
      </c>
      <c r="K185" s="27">
        <v>4394500</v>
      </c>
      <c r="L185" s="28">
        <v>69</v>
      </c>
      <c r="M185" s="28">
        <v>32</v>
      </c>
      <c r="N185" s="29">
        <v>3</v>
      </c>
      <c r="O185" s="27">
        <v>63688</v>
      </c>
      <c r="P185" s="27">
        <v>191065</v>
      </c>
      <c r="Q185" s="27">
        <v>195999</v>
      </c>
      <c r="R185" s="27">
        <v>138611</v>
      </c>
      <c r="S185" s="27">
        <v>159084</v>
      </c>
      <c r="T185" s="30">
        <v>1.76</v>
      </c>
      <c r="U185" s="31">
        <v>23</v>
      </c>
      <c r="V185" s="28">
        <v>18</v>
      </c>
      <c r="W185" s="32">
        <v>57035700</v>
      </c>
      <c r="X185" s="23" t="s">
        <v>75</v>
      </c>
      <c r="Y185" s="33">
        <v>1234440</v>
      </c>
      <c r="Z185" s="34">
        <v>2423160</v>
      </c>
      <c r="AA185" s="34">
        <v>3017520</v>
      </c>
      <c r="AB185" s="34">
        <v>160020</v>
      </c>
      <c r="AC185" s="34">
        <v>4320540</v>
      </c>
      <c r="AD185" s="34"/>
      <c r="AE185" s="34">
        <v>1108710</v>
      </c>
      <c r="AF185" s="34">
        <v>971550</v>
      </c>
      <c r="AG185" s="34">
        <v>3463290</v>
      </c>
      <c r="AH185" s="34">
        <v>8423910</v>
      </c>
      <c r="AI185" s="34">
        <v>1485900</v>
      </c>
      <c r="AJ185" s="34">
        <v>4892040</v>
      </c>
      <c r="AK185" s="34">
        <v>491490</v>
      </c>
      <c r="AL185" s="34">
        <v>1554480</v>
      </c>
      <c r="AM185" s="34">
        <v>834390</v>
      </c>
      <c r="AN185" s="34"/>
      <c r="AO185" s="34">
        <v>8732520</v>
      </c>
      <c r="AP185" s="34"/>
      <c r="AQ185" s="34">
        <v>571500</v>
      </c>
      <c r="AR185" s="34">
        <v>114300</v>
      </c>
      <c r="AS185" s="34">
        <v>285750</v>
      </c>
      <c r="AT185" s="34">
        <v>102870</v>
      </c>
      <c r="AU185" s="34">
        <v>2994660</v>
      </c>
      <c r="AV185" s="34"/>
      <c r="AW185" s="34"/>
      <c r="AX185" s="34">
        <v>1737360</v>
      </c>
      <c r="AY185" s="34">
        <v>5143500</v>
      </c>
      <c r="AZ185" s="34">
        <v>845820</v>
      </c>
      <c r="BA185" s="34">
        <v>445770</v>
      </c>
      <c r="BB185" s="34">
        <v>1680210</v>
      </c>
      <c r="BC185" s="35"/>
    </row>
    <row r="186" spans="1:55" x14ac:dyDescent="0.4">
      <c r="A186" s="20">
        <v>43528</v>
      </c>
      <c r="B186" s="21">
        <v>43528.458645833336</v>
      </c>
      <c r="C186" s="22" t="s">
        <v>73</v>
      </c>
      <c r="D186" s="23" t="s">
        <v>74</v>
      </c>
      <c r="E186" s="24">
        <v>22.12</v>
      </c>
      <c r="F186" s="25">
        <v>6</v>
      </c>
      <c r="G186" s="25">
        <v>30</v>
      </c>
      <c r="H186" s="25">
        <v>22.05</v>
      </c>
      <c r="I186" s="25">
        <v>22.01</v>
      </c>
      <c r="J186" s="26">
        <v>2495000</v>
      </c>
      <c r="K186" s="27">
        <v>4256500</v>
      </c>
      <c r="L186" s="28">
        <v>57</v>
      </c>
      <c r="M186" s="28">
        <v>21</v>
      </c>
      <c r="N186" s="29">
        <v>3</v>
      </c>
      <c r="O186" s="27">
        <v>74675</v>
      </c>
      <c r="P186" s="27">
        <v>224026</v>
      </c>
      <c r="Q186" s="27">
        <v>208023</v>
      </c>
      <c r="R186" s="27">
        <v>191923</v>
      </c>
      <c r="S186" s="27">
        <v>165054</v>
      </c>
      <c r="T186" s="30">
        <v>1.71</v>
      </c>
      <c r="U186" s="31">
        <v>19</v>
      </c>
      <c r="V186" s="28">
        <v>13</v>
      </c>
      <c r="W186" s="32">
        <v>55189400</v>
      </c>
      <c r="X186" s="23" t="s">
        <v>75</v>
      </c>
      <c r="Y186" s="33">
        <v>1194480</v>
      </c>
      <c r="Z186" s="34">
        <v>2344720</v>
      </c>
      <c r="AA186" s="34">
        <v>2919840</v>
      </c>
      <c r="AB186" s="34">
        <v>154840</v>
      </c>
      <c r="AC186" s="34">
        <v>4180680</v>
      </c>
      <c r="AD186" s="34"/>
      <c r="AE186" s="34">
        <v>1072820</v>
      </c>
      <c r="AF186" s="34">
        <v>940100</v>
      </c>
      <c r="AG186" s="34">
        <v>3351180</v>
      </c>
      <c r="AH186" s="34">
        <v>8151220</v>
      </c>
      <c r="AI186" s="34">
        <v>1437800</v>
      </c>
      <c r="AJ186" s="34">
        <v>4733680</v>
      </c>
      <c r="AK186" s="34">
        <v>475580</v>
      </c>
      <c r="AL186" s="34">
        <v>1504160</v>
      </c>
      <c r="AM186" s="34">
        <v>807380</v>
      </c>
      <c r="AN186" s="34"/>
      <c r="AO186" s="34">
        <v>8449840</v>
      </c>
      <c r="AP186" s="34"/>
      <c r="AQ186" s="34">
        <v>553000</v>
      </c>
      <c r="AR186" s="34">
        <v>110600</v>
      </c>
      <c r="AS186" s="34">
        <v>276500</v>
      </c>
      <c r="AT186" s="34">
        <v>99540</v>
      </c>
      <c r="AU186" s="34">
        <v>2897720</v>
      </c>
      <c r="AV186" s="34"/>
      <c r="AW186" s="34"/>
      <c r="AX186" s="34">
        <v>1681120</v>
      </c>
      <c r="AY186" s="34">
        <v>4977000</v>
      </c>
      <c r="AZ186" s="34">
        <v>818440</v>
      </c>
      <c r="BA186" s="34">
        <v>431340</v>
      </c>
      <c r="BB186" s="34">
        <v>1625820</v>
      </c>
      <c r="BC186" s="35"/>
    </row>
    <row r="187" spans="1:55" x14ac:dyDescent="0.4">
      <c r="A187" s="20">
        <v>43525</v>
      </c>
      <c r="B187" s="21">
        <v>43525.458657407406</v>
      </c>
      <c r="C187" s="22" t="s">
        <v>76</v>
      </c>
      <c r="D187" s="23" t="s">
        <v>74</v>
      </c>
      <c r="E187" s="24">
        <v>21.31</v>
      </c>
      <c r="F187" s="25">
        <v>13</v>
      </c>
      <c r="G187" s="25">
        <v>26</v>
      </c>
      <c r="H187" s="25">
        <v>20.95</v>
      </c>
      <c r="I187" s="25">
        <v>21.12</v>
      </c>
      <c r="J187" s="26">
        <v>3209000</v>
      </c>
      <c r="K187" s="27">
        <v>6078000</v>
      </c>
      <c r="L187" s="28">
        <v>78</v>
      </c>
      <c r="M187" s="28">
        <v>23</v>
      </c>
      <c r="N187" s="29">
        <v>3.71</v>
      </c>
      <c r="O187" s="27">
        <v>77923</v>
      </c>
      <c r="P187" s="27">
        <v>289429</v>
      </c>
      <c r="Q187" s="27">
        <v>248589</v>
      </c>
      <c r="R187" s="27">
        <v>213933</v>
      </c>
      <c r="S187" s="27">
        <v>184790</v>
      </c>
      <c r="T187" s="30">
        <v>1.89</v>
      </c>
      <c r="U187" s="31">
        <v>21</v>
      </c>
      <c r="V187" s="28">
        <v>15</v>
      </c>
      <c r="W187" s="32">
        <v>68383790</v>
      </c>
      <c r="X187" s="23" t="s">
        <v>77</v>
      </c>
      <c r="Y187" s="33"/>
      <c r="Z187" s="34"/>
      <c r="AA187" s="34"/>
      <c r="AB187" s="34"/>
      <c r="AC187" s="34"/>
      <c r="AD187" s="34">
        <v>68383790</v>
      </c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5"/>
    </row>
    <row r="188" spans="1:55" x14ac:dyDescent="0.4">
      <c r="A188" s="20">
        <v>43524</v>
      </c>
      <c r="B188" s="21">
        <v>43524.458935185183</v>
      </c>
      <c r="C188" s="22" t="s">
        <v>73</v>
      </c>
      <c r="D188" s="23" t="s">
        <v>74</v>
      </c>
      <c r="E188" s="24">
        <v>20.9</v>
      </c>
      <c r="F188" s="25">
        <v>13</v>
      </c>
      <c r="G188" s="25">
        <v>30</v>
      </c>
      <c r="H188" s="25">
        <v>20.52</v>
      </c>
      <c r="I188" s="25">
        <v>20.71</v>
      </c>
      <c r="J188" s="26">
        <v>2495000</v>
      </c>
      <c r="K188" s="27">
        <v>5359500</v>
      </c>
      <c r="L188" s="28">
        <v>77</v>
      </c>
      <c r="M188" s="28">
        <v>22</v>
      </c>
      <c r="N188" s="29">
        <v>2.96</v>
      </c>
      <c r="O188" s="27">
        <v>69604</v>
      </c>
      <c r="P188" s="27">
        <v>206135</v>
      </c>
      <c r="Q188" s="27">
        <v>222391</v>
      </c>
      <c r="R188" s="27">
        <v>155938</v>
      </c>
      <c r="S188" s="27">
        <v>184407</v>
      </c>
      <c r="T188" s="30">
        <v>2.15</v>
      </c>
      <c r="U188" s="31">
        <v>26</v>
      </c>
      <c r="V188" s="28">
        <v>16</v>
      </c>
      <c r="W188" s="32">
        <v>52145500</v>
      </c>
      <c r="X188" s="23" t="s">
        <v>75</v>
      </c>
      <c r="Y188" s="33">
        <v>1128600</v>
      </c>
      <c r="Z188" s="34">
        <v>2215400</v>
      </c>
      <c r="AA188" s="34">
        <v>2758800</v>
      </c>
      <c r="AB188" s="34">
        <v>146300</v>
      </c>
      <c r="AC188" s="34">
        <v>3950100</v>
      </c>
      <c r="AD188" s="34"/>
      <c r="AE188" s="34">
        <v>1013650</v>
      </c>
      <c r="AF188" s="34">
        <v>888250</v>
      </c>
      <c r="AG188" s="34">
        <v>3166350</v>
      </c>
      <c r="AH188" s="34">
        <v>7701650</v>
      </c>
      <c r="AI188" s="34">
        <v>1358500</v>
      </c>
      <c r="AJ188" s="34">
        <v>4472600</v>
      </c>
      <c r="AK188" s="34">
        <v>449350</v>
      </c>
      <c r="AL188" s="34">
        <v>1421200</v>
      </c>
      <c r="AM188" s="34">
        <v>762850</v>
      </c>
      <c r="AN188" s="34"/>
      <c r="AO188" s="34">
        <v>7983800</v>
      </c>
      <c r="AP188" s="34"/>
      <c r="AQ188" s="34">
        <v>522500</v>
      </c>
      <c r="AR188" s="34">
        <v>104500</v>
      </c>
      <c r="AS188" s="34">
        <v>261250</v>
      </c>
      <c r="AT188" s="34">
        <v>94050</v>
      </c>
      <c r="AU188" s="34">
        <v>2737900</v>
      </c>
      <c r="AV188" s="34"/>
      <c r="AW188" s="34"/>
      <c r="AX188" s="34">
        <v>1588400</v>
      </c>
      <c r="AY188" s="34">
        <v>4702500</v>
      </c>
      <c r="AZ188" s="34">
        <v>773300</v>
      </c>
      <c r="BA188" s="34">
        <v>407550</v>
      </c>
      <c r="BB188" s="34">
        <v>1536150</v>
      </c>
      <c r="BC188" s="35"/>
    </row>
    <row r="189" spans="1:55" x14ac:dyDescent="0.4">
      <c r="A189" s="20">
        <v>43523</v>
      </c>
      <c r="B189" s="21">
        <v>43523.458738425928</v>
      </c>
      <c r="C189" s="22" t="s">
        <v>78</v>
      </c>
      <c r="D189" s="23" t="s">
        <v>74</v>
      </c>
      <c r="E189" s="24">
        <v>20.309999999999999</v>
      </c>
      <c r="F189" s="25">
        <v>5</v>
      </c>
      <c r="G189" s="25">
        <v>23</v>
      </c>
      <c r="H189" s="25">
        <v>19.75</v>
      </c>
      <c r="I189" s="25">
        <v>20.399999999999999</v>
      </c>
      <c r="J189" s="26">
        <v>4428500</v>
      </c>
      <c r="K189" s="27">
        <v>7262500</v>
      </c>
      <c r="L189" s="28">
        <v>59</v>
      </c>
      <c r="M189" s="28">
        <v>37</v>
      </c>
      <c r="N189" s="29">
        <v>2.81</v>
      </c>
      <c r="O189" s="27">
        <v>123093</v>
      </c>
      <c r="P189" s="27">
        <v>345833</v>
      </c>
      <c r="Q189" s="27">
        <v>376154</v>
      </c>
      <c r="R189" s="27">
        <v>260500</v>
      </c>
      <c r="S189" s="27">
        <v>350071</v>
      </c>
      <c r="T189" s="30">
        <v>1.64</v>
      </c>
      <c r="U189" s="31">
        <v>21</v>
      </c>
      <c r="V189" s="28">
        <v>17</v>
      </c>
      <c r="W189" s="32">
        <v>89942835</v>
      </c>
      <c r="X189" s="23" t="s">
        <v>79</v>
      </c>
      <c r="Y189" s="33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>
        <v>89942835</v>
      </c>
      <c r="AX189" s="34"/>
      <c r="AY189" s="34"/>
      <c r="AZ189" s="34"/>
      <c r="BA189" s="34"/>
      <c r="BB189" s="34"/>
      <c r="BC189" s="35"/>
    </row>
    <row r="190" spans="1:55" x14ac:dyDescent="0.4">
      <c r="A190" s="20">
        <v>43522</v>
      </c>
      <c r="B190" s="21">
        <v>43522.458599537036</v>
      </c>
      <c r="C190" s="22" t="s">
        <v>73</v>
      </c>
      <c r="D190" s="23" t="s">
        <v>74</v>
      </c>
      <c r="E190" s="24">
        <v>19.600000000000001</v>
      </c>
      <c r="F190" s="25">
        <v>8</v>
      </c>
      <c r="G190" s="25">
        <v>30</v>
      </c>
      <c r="H190" s="25">
        <v>19.149999999999999</v>
      </c>
      <c r="I190" s="25">
        <v>19.39</v>
      </c>
      <c r="J190" s="26">
        <v>2495000</v>
      </c>
      <c r="K190" s="27">
        <v>7708500</v>
      </c>
      <c r="L190" s="28">
        <v>80</v>
      </c>
      <c r="M190" s="28">
        <v>20</v>
      </c>
      <c r="N190" s="29">
        <v>2.96</v>
      </c>
      <c r="O190" s="27">
        <v>96356</v>
      </c>
      <c r="P190" s="27">
        <v>285500</v>
      </c>
      <c r="Q190" s="27">
        <v>446698</v>
      </c>
      <c r="R190" s="27">
        <v>155938</v>
      </c>
      <c r="S190" s="27">
        <v>163601</v>
      </c>
      <c r="T190" s="30">
        <v>3.09</v>
      </c>
      <c r="U190" s="31">
        <v>27</v>
      </c>
      <c r="V190" s="28">
        <v>16</v>
      </c>
      <c r="W190" s="32">
        <v>48902000</v>
      </c>
      <c r="X190" s="23" t="s">
        <v>75</v>
      </c>
      <c r="Y190" s="33">
        <v>1058400</v>
      </c>
      <c r="Z190" s="34">
        <v>2077600</v>
      </c>
      <c r="AA190" s="34">
        <v>2587200</v>
      </c>
      <c r="AB190" s="34">
        <v>137200</v>
      </c>
      <c r="AC190" s="34">
        <v>3704400</v>
      </c>
      <c r="AD190" s="34"/>
      <c r="AE190" s="34">
        <v>950600</v>
      </c>
      <c r="AF190" s="34">
        <v>833000</v>
      </c>
      <c r="AG190" s="34">
        <v>2969400</v>
      </c>
      <c r="AH190" s="34">
        <v>7222600</v>
      </c>
      <c r="AI190" s="34">
        <v>1274000</v>
      </c>
      <c r="AJ190" s="34">
        <v>4194400</v>
      </c>
      <c r="AK190" s="34">
        <v>421400</v>
      </c>
      <c r="AL190" s="34">
        <v>1332800</v>
      </c>
      <c r="AM190" s="34">
        <v>715400</v>
      </c>
      <c r="AN190" s="34"/>
      <c r="AO190" s="34">
        <v>7487200</v>
      </c>
      <c r="AP190" s="34"/>
      <c r="AQ190" s="34">
        <v>490000</v>
      </c>
      <c r="AR190" s="34">
        <v>98000</v>
      </c>
      <c r="AS190" s="34">
        <v>245000</v>
      </c>
      <c r="AT190" s="34">
        <v>88200</v>
      </c>
      <c r="AU190" s="34">
        <v>2567600</v>
      </c>
      <c r="AV190" s="34"/>
      <c r="AW190" s="34"/>
      <c r="AX190" s="34">
        <v>1489600</v>
      </c>
      <c r="AY190" s="34">
        <v>4410000</v>
      </c>
      <c r="AZ190" s="34">
        <v>725200</v>
      </c>
      <c r="BA190" s="34">
        <v>382200</v>
      </c>
      <c r="BB190" s="34">
        <v>1440600</v>
      </c>
      <c r="BC190" s="35"/>
    </row>
    <row r="191" spans="1:55" x14ac:dyDescent="0.4">
      <c r="A191" s="20">
        <v>43521</v>
      </c>
      <c r="B191" s="21">
        <v>43521.458761574075</v>
      </c>
      <c r="C191" s="22" t="s">
        <v>73</v>
      </c>
      <c r="D191" s="23" t="s">
        <v>74</v>
      </c>
      <c r="E191" s="24">
        <v>18.62</v>
      </c>
      <c r="F191" s="25">
        <v>13</v>
      </c>
      <c r="G191" s="25">
        <v>30</v>
      </c>
      <c r="H191" s="25">
        <v>18.510000000000002</v>
      </c>
      <c r="I191" s="25">
        <v>18.5</v>
      </c>
      <c r="J191" s="26">
        <v>2495000</v>
      </c>
      <c r="K191" s="27">
        <v>6033500</v>
      </c>
      <c r="L191" s="28">
        <v>76</v>
      </c>
      <c r="M191" s="28">
        <v>25</v>
      </c>
      <c r="N191" s="29">
        <v>2.81</v>
      </c>
      <c r="O191" s="27">
        <v>79388</v>
      </c>
      <c r="P191" s="27">
        <v>223463</v>
      </c>
      <c r="Q191" s="27">
        <v>284114</v>
      </c>
      <c r="R191" s="27">
        <v>138611</v>
      </c>
      <c r="S191" s="27">
        <v>193967</v>
      </c>
      <c r="T191" s="30">
        <v>2.42</v>
      </c>
      <c r="U191" s="31">
        <v>27</v>
      </c>
      <c r="V191" s="28">
        <v>18</v>
      </c>
      <c r="W191" s="32">
        <v>46456900</v>
      </c>
      <c r="X191" s="23" t="s">
        <v>75</v>
      </c>
      <c r="Y191" s="33">
        <v>1005480</v>
      </c>
      <c r="Z191" s="34">
        <v>1973720</v>
      </c>
      <c r="AA191" s="34">
        <v>2457840</v>
      </c>
      <c r="AB191" s="34">
        <v>130340</v>
      </c>
      <c r="AC191" s="34">
        <v>3519180</v>
      </c>
      <c r="AD191" s="34"/>
      <c r="AE191" s="34">
        <v>903070</v>
      </c>
      <c r="AF191" s="34">
        <v>791350</v>
      </c>
      <c r="AG191" s="34">
        <v>2820930</v>
      </c>
      <c r="AH191" s="34">
        <v>6861470</v>
      </c>
      <c r="AI191" s="34">
        <v>1210300</v>
      </c>
      <c r="AJ191" s="34">
        <v>3984680</v>
      </c>
      <c r="AK191" s="34">
        <v>400330</v>
      </c>
      <c r="AL191" s="34">
        <v>1266160</v>
      </c>
      <c r="AM191" s="34">
        <v>679630</v>
      </c>
      <c r="AN191" s="34"/>
      <c r="AO191" s="34">
        <v>7112840</v>
      </c>
      <c r="AP191" s="34"/>
      <c r="AQ191" s="34">
        <v>465500</v>
      </c>
      <c r="AR191" s="34">
        <v>93100</v>
      </c>
      <c r="AS191" s="34">
        <v>232750</v>
      </c>
      <c r="AT191" s="34">
        <v>83790</v>
      </c>
      <c r="AU191" s="34">
        <v>2439220</v>
      </c>
      <c r="AV191" s="34"/>
      <c r="AW191" s="34"/>
      <c r="AX191" s="34">
        <v>1415120</v>
      </c>
      <c r="AY191" s="34">
        <v>4189500</v>
      </c>
      <c r="AZ191" s="34">
        <v>688940</v>
      </c>
      <c r="BA191" s="34">
        <v>363090</v>
      </c>
      <c r="BB191" s="34">
        <v>1368570</v>
      </c>
      <c r="BC191" s="35"/>
    </row>
    <row r="192" spans="1:55" x14ac:dyDescent="0.4">
      <c r="A192" s="20">
        <v>43518</v>
      </c>
      <c r="B192" s="21">
        <v>43518.458611111113</v>
      </c>
      <c r="C192" s="22" t="s">
        <v>76</v>
      </c>
      <c r="D192" s="23" t="s">
        <v>74</v>
      </c>
      <c r="E192" s="24">
        <v>18.350000000000001</v>
      </c>
      <c r="F192" s="25">
        <v>13.5</v>
      </c>
      <c r="G192" s="25">
        <v>30</v>
      </c>
      <c r="H192" s="25">
        <v>18.420000000000002</v>
      </c>
      <c r="I192" s="25">
        <v>18.329999999999998</v>
      </c>
      <c r="J192" s="26">
        <v>3209000</v>
      </c>
      <c r="K192" s="27">
        <v>6307000</v>
      </c>
      <c r="L192" s="28">
        <v>88</v>
      </c>
      <c r="M192" s="28">
        <v>42</v>
      </c>
      <c r="N192" s="29">
        <v>3.38</v>
      </c>
      <c r="O192" s="27">
        <v>71670</v>
      </c>
      <c r="P192" s="27">
        <v>242577</v>
      </c>
      <c r="Q192" s="27">
        <v>248701</v>
      </c>
      <c r="R192" s="27">
        <v>139522</v>
      </c>
      <c r="S192" s="27">
        <v>138379</v>
      </c>
      <c r="T192" s="30">
        <v>1.97</v>
      </c>
      <c r="U192" s="31">
        <v>26</v>
      </c>
      <c r="V192" s="28">
        <v>23</v>
      </c>
      <c r="W192" s="32">
        <v>58885150</v>
      </c>
      <c r="X192" s="23" t="s">
        <v>77</v>
      </c>
      <c r="Y192" s="33"/>
      <c r="Z192" s="34"/>
      <c r="AA192" s="34"/>
      <c r="AB192" s="34"/>
      <c r="AC192" s="34"/>
      <c r="AD192" s="34">
        <v>58885150</v>
      </c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5"/>
    </row>
    <row r="193" spans="1:55" x14ac:dyDescent="0.4">
      <c r="A193" s="20">
        <v>43517</v>
      </c>
      <c r="B193" s="21">
        <v>43517.458657407406</v>
      </c>
      <c r="C193" s="22" t="s">
        <v>73</v>
      </c>
      <c r="D193" s="23" t="s">
        <v>74</v>
      </c>
      <c r="E193" s="24">
        <v>19.850000000000001</v>
      </c>
      <c r="F193" s="25">
        <v>16</v>
      </c>
      <c r="G193" s="25">
        <v>30</v>
      </c>
      <c r="H193" s="25">
        <v>19.97</v>
      </c>
      <c r="I193" s="25">
        <v>19.809999999999999</v>
      </c>
      <c r="J193" s="26">
        <v>2495000</v>
      </c>
      <c r="K193" s="27">
        <v>7611500</v>
      </c>
      <c r="L193" s="28">
        <v>102</v>
      </c>
      <c r="M193" s="28">
        <v>40</v>
      </c>
      <c r="N193" s="29">
        <v>3.52</v>
      </c>
      <c r="O193" s="27">
        <v>74623</v>
      </c>
      <c r="P193" s="27">
        <v>262466</v>
      </c>
      <c r="Q193" s="27">
        <v>479847</v>
      </c>
      <c r="R193" s="27">
        <v>108478</v>
      </c>
      <c r="S193" s="27">
        <v>125571</v>
      </c>
      <c r="T193" s="30">
        <v>3.05</v>
      </c>
      <c r="U193" s="31">
        <v>29</v>
      </c>
      <c r="V193" s="28">
        <v>23</v>
      </c>
      <c r="W193" s="32">
        <v>49525750</v>
      </c>
      <c r="X193" s="23" t="s">
        <v>75</v>
      </c>
      <c r="Y193" s="33">
        <v>1071900</v>
      </c>
      <c r="Z193" s="34">
        <v>2104100</v>
      </c>
      <c r="AA193" s="34">
        <v>2620200</v>
      </c>
      <c r="AB193" s="34">
        <v>138950</v>
      </c>
      <c r="AC193" s="34">
        <v>3751650</v>
      </c>
      <c r="AD193" s="34"/>
      <c r="AE193" s="34">
        <v>962725</v>
      </c>
      <c r="AF193" s="34">
        <v>843625</v>
      </c>
      <c r="AG193" s="34">
        <v>3007275</v>
      </c>
      <c r="AH193" s="34">
        <v>7314725</v>
      </c>
      <c r="AI193" s="34">
        <v>1290250</v>
      </c>
      <c r="AJ193" s="34">
        <v>4247900</v>
      </c>
      <c r="AK193" s="34">
        <v>426775</v>
      </c>
      <c r="AL193" s="34">
        <v>1349800</v>
      </c>
      <c r="AM193" s="34">
        <v>724525</v>
      </c>
      <c r="AN193" s="34"/>
      <c r="AO193" s="34">
        <v>7582700</v>
      </c>
      <c r="AP193" s="34"/>
      <c r="AQ193" s="34">
        <v>496250</v>
      </c>
      <c r="AR193" s="34">
        <v>99250</v>
      </c>
      <c r="AS193" s="34">
        <v>248125</v>
      </c>
      <c r="AT193" s="34">
        <v>89325</v>
      </c>
      <c r="AU193" s="34">
        <v>2600350</v>
      </c>
      <c r="AV193" s="34"/>
      <c r="AW193" s="34"/>
      <c r="AX193" s="34">
        <v>1508600</v>
      </c>
      <c r="AY193" s="34">
        <v>4466250</v>
      </c>
      <c r="AZ193" s="34">
        <v>734450</v>
      </c>
      <c r="BA193" s="34">
        <v>387075</v>
      </c>
      <c r="BB193" s="34">
        <v>1458975</v>
      </c>
      <c r="BC193" s="35"/>
    </row>
    <row r="194" spans="1:55" x14ac:dyDescent="0.4">
      <c r="A194" s="20">
        <v>43515</v>
      </c>
      <c r="B194" s="21">
        <v>43515.458622685182</v>
      </c>
      <c r="C194" s="22" t="s">
        <v>73</v>
      </c>
      <c r="D194" s="23" t="s">
        <v>74</v>
      </c>
      <c r="E194" s="24">
        <v>20.260000000000002</v>
      </c>
      <c r="F194" s="25">
        <v>18</v>
      </c>
      <c r="G194" s="25">
        <v>30</v>
      </c>
      <c r="H194" s="25">
        <v>20.36</v>
      </c>
      <c r="I194" s="25">
        <v>20.170000000000002</v>
      </c>
      <c r="J194" s="26">
        <v>2495000</v>
      </c>
      <c r="K194" s="27">
        <v>7700500</v>
      </c>
      <c r="L194" s="28">
        <v>86</v>
      </c>
      <c r="M194" s="28">
        <v>34</v>
      </c>
      <c r="N194" s="29">
        <v>3.07</v>
      </c>
      <c r="O194" s="27">
        <v>89541</v>
      </c>
      <c r="P194" s="27">
        <v>275018</v>
      </c>
      <c r="Q194" s="27">
        <v>447985</v>
      </c>
      <c r="R194" s="27">
        <v>103958</v>
      </c>
      <c r="S194" s="27">
        <v>133867</v>
      </c>
      <c r="T194" s="30">
        <v>3.09</v>
      </c>
      <c r="U194" s="31">
        <v>28</v>
      </c>
      <c r="V194" s="28">
        <v>24</v>
      </c>
      <c r="W194" s="32">
        <v>50548700</v>
      </c>
      <c r="X194" s="23" t="s">
        <v>75</v>
      </c>
      <c r="Y194" s="33">
        <v>1094040</v>
      </c>
      <c r="Z194" s="34">
        <v>2147560</v>
      </c>
      <c r="AA194" s="34">
        <v>2674320</v>
      </c>
      <c r="AB194" s="34">
        <v>141820</v>
      </c>
      <c r="AC194" s="34">
        <v>3829140</v>
      </c>
      <c r="AD194" s="34"/>
      <c r="AE194" s="34">
        <v>982610</v>
      </c>
      <c r="AF194" s="34">
        <v>861050</v>
      </c>
      <c r="AG194" s="34">
        <v>3069390</v>
      </c>
      <c r="AH194" s="34">
        <v>7465810</v>
      </c>
      <c r="AI194" s="34">
        <v>1316900</v>
      </c>
      <c r="AJ194" s="34">
        <v>4335640</v>
      </c>
      <c r="AK194" s="34">
        <v>435590</v>
      </c>
      <c r="AL194" s="34">
        <v>1377680</v>
      </c>
      <c r="AM194" s="34">
        <v>739490</v>
      </c>
      <c r="AN194" s="34"/>
      <c r="AO194" s="34">
        <v>7739320</v>
      </c>
      <c r="AP194" s="34"/>
      <c r="AQ194" s="34">
        <v>506500</v>
      </c>
      <c r="AR194" s="34">
        <v>101300</v>
      </c>
      <c r="AS194" s="34">
        <v>253250</v>
      </c>
      <c r="AT194" s="34">
        <v>91170</v>
      </c>
      <c r="AU194" s="34">
        <v>2654060</v>
      </c>
      <c r="AV194" s="34"/>
      <c r="AW194" s="34"/>
      <c r="AX194" s="34">
        <v>1539760</v>
      </c>
      <c r="AY194" s="34">
        <v>4558500</v>
      </c>
      <c r="AZ194" s="34">
        <v>749620</v>
      </c>
      <c r="BA194" s="34">
        <v>395070</v>
      </c>
      <c r="BB194" s="34">
        <v>1489110</v>
      </c>
      <c r="BC194" s="35"/>
    </row>
    <row r="195" spans="1:55" x14ac:dyDescent="0.4">
      <c r="A195" s="20">
        <v>43514</v>
      </c>
      <c r="B195" s="21">
        <v>43514.458599537036</v>
      </c>
      <c r="C195" s="22" t="s">
        <v>73</v>
      </c>
      <c r="D195" s="23" t="s">
        <v>74</v>
      </c>
      <c r="E195" s="24">
        <v>20.14</v>
      </c>
      <c r="F195" s="25">
        <v>13</v>
      </c>
      <c r="G195" s="25">
        <v>25</v>
      </c>
      <c r="H195" s="25">
        <v>19.78</v>
      </c>
      <c r="I195" s="25">
        <v>20</v>
      </c>
      <c r="J195" s="26">
        <v>2495000</v>
      </c>
      <c r="K195" s="27">
        <v>6886000</v>
      </c>
      <c r="L195" s="28">
        <v>85</v>
      </c>
      <c r="M195" s="28">
        <v>27</v>
      </c>
      <c r="N195" s="29">
        <v>3.27</v>
      </c>
      <c r="O195" s="27">
        <v>81012</v>
      </c>
      <c r="P195" s="27">
        <v>264846</v>
      </c>
      <c r="Q195" s="27">
        <v>285867</v>
      </c>
      <c r="R195" s="27">
        <v>124750</v>
      </c>
      <c r="S195" s="27">
        <v>107935</v>
      </c>
      <c r="T195" s="30">
        <v>2.76</v>
      </c>
      <c r="U195" s="31">
        <v>26</v>
      </c>
      <c r="V195" s="28">
        <v>20</v>
      </c>
      <c r="W195" s="32">
        <v>50249300</v>
      </c>
      <c r="X195" s="23" t="s">
        <v>75</v>
      </c>
      <c r="Y195" s="33">
        <v>1087560</v>
      </c>
      <c r="Z195" s="34">
        <v>2134840</v>
      </c>
      <c r="AA195" s="34">
        <v>2658480</v>
      </c>
      <c r="AB195" s="34">
        <v>140980</v>
      </c>
      <c r="AC195" s="34">
        <v>3806460</v>
      </c>
      <c r="AD195" s="34"/>
      <c r="AE195" s="34">
        <v>976790</v>
      </c>
      <c r="AF195" s="34">
        <v>855950</v>
      </c>
      <c r="AG195" s="34">
        <v>3051210</v>
      </c>
      <c r="AH195" s="34">
        <v>7421590</v>
      </c>
      <c r="AI195" s="34">
        <v>1309100</v>
      </c>
      <c r="AJ195" s="34">
        <v>4309960</v>
      </c>
      <c r="AK195" s="34">
        <v>433010</v>
      </c>
      <c r="AL195" s="34">
        <v>1369520</v>
      </c>
      <c r="AM195" s="34">
        <v>735110</v>
      </c>
      <c r="AN195" s="34"/>
      <c r="AO195" s="34">
        <v>7693480</v>
      </c>
      <c r="AP195" s="34"/>
      <c r="AQ195" s="34">
        <v>503500</v>
      </c>
      <c r="AR195" s="34">
        <v>100700</v>
      </c>
      <c r="AS195" s="34">
        <v>251750</v>
      </c>
      <c r="AT195" s="34">
        <v>90630</v>
      </c>
      <c r="AU195" s="34">
        <v>2638340</v>
      </c>
      <c r="AV195" s="34"/>
      <c r="AW195" s="34"/>
      <c r="AX195" s="34">
        <v>1530640</v>
      </c>
      <c r="AY195" s="34">
        <v>4531500</v>
      </c>
      <c r="AZ195" s="34">
        <v>745180</v>
      </c>
      <c r="BA195" s="34">
        <v>392730</v>
      </c>
      <c r="BB195" s="34">
        <v>1480290</v>
      </c>
      <c r="BC195" s="35"/>
    </row>
    <row r="196" spans="1:55" x14ac:dyDescent="0.4">
      <c r="A196" s="20">
        <v>43511</v>
      </c>
      <c r="B196" s="21">
        <v>43511.45857638889</v>
      </c>
      <c r="C196" s="22" t="s">
        <v>76</v>
      </c>
      <c r="D196" s="23" t="s">
        <v>74</v>
      </c>
      <c r="E196" s="24">
        <v>19.989999999999998</v>
      </c>
      <c r="F196" s="25">
        <v>13</v>
      </c>
      <c r="G196" s="25">
        <v>25</v>
      </c>
      <c r="H196" s="25">
        <v>19.66</v>
      </c>
      <c r="I196" s="25">
        <v>19.84</v>
      </c>
      <c r="J196" s="26">
        <v>3209000</v>
      </c>
      <c r="K196" s="27">
        <v>5913500</v>
      </c>
      <c r="L196" s="28">
        <v>86</v>
      </c>
      <c r="M196" s="28">
        <v>32</v>
      </c>
      <c r="N196" s="29">
        <v>3.19</v>
      </c>
      <c r="O196" s="27">
        <v>68762</v>
      </c>
      <c r="P196" s="27">
        <v>219019</v>
      </c>
      <c r="Q196" s="27">
        <v>229785</v>
      </c>
      <c r="R196" s="27">
        <v>178278</v>
      </c>
      <c r="S196" s="27">
        <v>204645</v>
      </c>
      <c r="T196" s="30">
        <v>1.84</v>
      </c>
      <c r="U196" s="31">
        <v>27</v>
      </c>
      <c r="V196" s="28">
        <v>18</v>
      </c>
      <c r="W196" s="32">
        <v>64147910</v>
      </c>
      <c r="X196" s="23" t="s">
        <v>77</v>
      </c>
      <c r="Y196" s="33"/>
      <c r="Z196" s="34"/>
      <c r="AA196" s="34"/>
      <c r="AB196" s="34"/>
      <c r="AC196" s="34"/>
      <c r="AD196" s="34">
        <v>64147910</v>
      </c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5"/>
    </row>
    <row r="197" spans="1:55" x14ac:dyDescent="0.4">
      <c r="A197" s="20">
        <v>43510</v>
      </c>
      <c r="B197" s="21">
        <v>43510.458634259259</v>
      </c>
      <c r="C197" s="22" t="s">
        <v>73</v>
      </c>
      <c r="D197" s="23" t="s">
        <v>74</v>
      </c>
      <c r="E197" s="24">
        <v>20.86</v>
      </c>
      <c r="F197" s="25">
        <v>13</v>
      </c>
      <c r="G197" s="25">
        <v>26</v>
      </c>
      <c r="H197" s="25">
        <v>20.52</v>
      </c>
      <c r="I197" s="25">
        <v>20.71</v>
      </c>
      <c r="J197" s="26">
        <v>2495000</v>
      </c>
      <c r="K197" s="27">
        <v>6360000</v>
      </c>
      <c r="L197" s="28">
        <v>85</v>
      </c>
      <c r="M197" s="28">
        <v>28</v>
      </c>
      <c r="N197" s="29">
        <v>3.04</v>
      </c>
      <c r="O197" s="27">
        <v>74824</v>
      </c>
      <c r="P197" s="27">
        <v>227143</v>
      </c>
      <c r="Q197" s="27">
        <v>238495</v>
      </c>
      <c r="R197" s="27">
        <v>131316</v>
      </c>
      <c r="S197" s="27">
        <v>126066</v>
      </c>
      <c r="T197" s="30">
        <v>2.5499999999999998</v>
      </c>
      <c r="U197" s="31">
        <v>28</v>
      </c>
      <c r="V197" s="28">
        <v>19</v>
      </c>
      <c r="W197" s="32">
        <v>52045700</v>
      </c>
      <c r="X197" s="23" t="s">
        <v>75</v>
      </c>
      <c r="Y197" s="33">
        <v>1126440</v>
      </c>
      <c r="Z197" s="34">
        <v>2211160</v>
      </c>
      <c r="AA197" s="34">
        <v>2753520</v>
      </c>
      <c r="AB197" s="34">
        <v>146020</v>
      </c>
      <c r="AC197" s="34">
        <v>3942540</v>
      </c>
      <c r="AD197" s="34"/>
      <c r="AE197" s="34">
        <v>1011710</v>
      </c>
      <c r="AF197" s="34">
        <v>886550</v>
      </c>
      <c r="AG197" s="34">
        <v>3160290</v>
      </c>
      <c r="AH197" s="34">
        <v>7686910</v>
      </c>
      <c r="AI197" s="34">
        <v>1355900</v>
      </c>
      <c r="AJ197" s="34">
        <v>4464040</v>
      </c>
      <c r="AK197" s="34">
        <v>448490</v>
      </c>
      <c r="AL197" s="34">
        <v>1418480</v>
      </c>
      <c r="AM197" s="34">
        <v>761390</v>
      </c>
      <c r="AN197" s="34"/>
      <c r="AO197" s="34">
        <v>7968520</v>
      </c>
      <c r="AP197" s="34"/>
      <c r="AQ197" s="34">
        <v>521500</v>
      </c>
      <c r="AR197" s="34">
        <v>104300</v>
      </c>
      <c r="AS197" s="34">
        <v>260750</v>
      </c>
      <c r="AT197" s="34">
        <v>93870</v>
      </c>
      <c r="AU197" s="34">
        <v>2732660</v>
      </c>
      <c r="AV197" s="34"/>
      <c r="AW197" s="34"/>
      <c r="AX197" s="34">
        <v>1585360</v>
      </c>
      <c r="AY197" s="34">
        <v>4693500</v>
      </c>
      <c r="AZ197" s="34">
        <v>771820</v>
      </c>
      <c r="BA197" s="34">
        <v>406770</v>
      </c>
      <c r="BB197" s="34">
        <v>1533210</v>
      </c>
      <c r="BC197" s="35"/>
    </row>
    <row r="198" spans="1:55" x14ac:dyDescent="0.4">
      <c r="A198" s="20">
        <v>43509</v>
      </c>
      <c r="B198" s="21">
        <v>43509.458622685182</v>
      </c>
      <c r="C198" s="22" t="s">
        <v>78</v>
      </c>
      <c r="D198" s="23" t="s">
        <v>74</v>
      </c>
      <c r="E198" s="24">
        <v>20.010000000000002</v>
      </c>
      <c r="F198" s="25">
        <v>13</v>
      </c>
      <c r="G198" s="25">
        <v>25.25</v>
      </c>
      <c r="H198" s="25">
        <v>19.89</v>
      </c>
      <c r="I198" s="25">
        <v>20.059999999999999</v>
      </c>
      <c r="J198" s="26">
        <v>4428500</v>
      </c>
      <c r="K198" s="27">
        <v>6954500</v>
      </c>
      <c r="L198" s="28">
        <v>99</v>
      </c>
      <c r="M198" s="28">
        <v>60</v>
      </c>
      <c r="N198" s="29">
        <v>3.67</v>
      </c>
      <c r="O198" s="27">
        <v>70247</v>
      </c>
      <c r="P198" s="27">
        <v>257574</v>
      </c>
      <c r="Q198" s="27">
        <v>262060</v>
      </c>
      <c r="R198" s="27">
        <v>192543</v>
      </c>
      <c r="S198" s="27">
        <v>189258</v>
      </c>
      <c r="T198" s="30">
        <v>1.57</v>
      </c>
      <c r="U198" s="31">
        <v>27</v>
      </c>
      <c r="V198" s="28">
        <v>23</v>
      </c>
      <c r="W198" s="32">
        <v>88614285</v>
      </c>
      <c r="X198" s="23" t="s">
        <v>79</v>
      </c>
      <c r="Y198" s="33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>
        <v>88614285</v>
      </c>
      <c r="AX198" s="34"/>
      <c r="AY198" s="34"/>
      <c r="AZ198" s="34"/>
      <c r="BA198" s="34"/>
      <c r="BB198" s="34"/>
      <c r="BC198" s="35"/>
    </row>
    <row r="199" spans="1:55" x14ac:dyDescent="0.4">
      <c r="A199" s="20">
        <v>43508</v>
      </c>
      <c r="B199" s="21">
        <v>43508.458506944444</v>
      </c>
      <c r="C199" s="22" t="s">
        <v>73</v>
      </c>
      <c r="D199" s="23" t="s">
        <v>74</v>
      </c>
      <c r="E199" s="24">
        <v>21.71</v>
      </c>
      <c r="F199" s="25">
        <v>13</v>
      </c>
      <c r="G199" s="25">
        <v>30</v>
      </c>
      <c r="H199" s="25">
        <v>21.59</v>
      </c>
      <c r="I199" s="25">
        <v>21.6</v>
      </c>
      <c r="J199" s="26">
        <v>2495000</v>
      </c>
      <c r="K199" s="27">
        <v>5631500</v>
      </c>
      <c r="L199" s="28">
        <v>87</v>
      </c>
      <c r="M199" s="28">
        <v>29</v>
      </c>
      <c r="N199" s="29">
        <v>3</v>
      </c>
      <c r="O199" s="27">
        <v>64730</v>
      </c>
      <c r="P199" s="27">
        <v>194190</v>
      </c>
      <c r="Q199" s="27">
        <v>197270</v>
      </c>
      <c r="R199" s="27">
        <v>124750</v>
      </c>
      <c r="S199" s="27">
        <v>146829</v>
      </c>
      <c r="T199" s="30">
        <v>2.2599999999999998</v>
      </c>
      <c r="U199" s="31">
        <v>29</v>
      </c>
      <c r="V199" s="28">
        <v>20</v>
      </c>
      <c r="W199" s="32">
        <v>54166450</v>
      </c>
      <c r="X199" s="23" t="s">
        <v>75</v>
      </c>
      <c r="Y199" s="33">
        <v>1172340</v>
      </c>
      <c r="Z199" s="34">
        <v>2301260</v>
      </c>
      <c r="AA199" s="34">
        <v>2865720</v>
      </c>
      <c r="AB199" s="34">
        <v>151970</v>
      </c>
      <c r="AC199" s="34">
        <v>4103190</v>
      </c>
      <c r="AD199" s="34"/>
      <c r="AE199" s="34">
        <v>1052935</v>
      </c>
      <c r="AF199" s="34">
        <v>922675</v>
      </c>
      <c r="AG199" s="34">
        <v>3289065</v>
      </c>
      <c r="AH199" s="34">
        <v>8000135</v>
      </c>
      <c r="AI199" s="34">
        <v>1411150</v>
      </c>
      <c r="AJ199" s="34">
        <v>4645940</v>
      </c>
      <c r="AK199" s="34">
        <v>466765</v>
      </c>
      <c r="AL199" s="34">
        <v>1476280</v>
      </c>
      <c r="AM199" s="34">
        <v>792415</v>
      </c>
      <c r="AN199" s="34"/>
      <c r="AO199" s="34">
        <v>8293220</v>
      </c>
      <c r="AP199" s="34"/>
      <c r="AQ199" s="34">
        <v>542750</v>
      </c>
      <c r="AR199" s="34">
        <v>108550</v>
      </c>
      <c r="AS199" s="34">
        <v>271375</v>
      </c>
      <c r="AT199" s="34">
        <v>97695</v>
      </c>
      <c r="AU199" s="34">
        <v>2844010</v>
      </c>
      <c r="AV199" s="34"/>
      <c r="AW199" s="34"/>
      <c r="AX199" s="34">
        <v>1649960</v>
      </c>
      <c r="AY199" s="34">
        <v>4884750</v>
      </c>
      <c r="AZ199" s="34">
        <v>803270</v>
      </c>
      <c r="BA199" s="34">
        <v>423345</v>
      </c>
      <c r="BB199" s="34">
        <v>1595685</v>
      </c>
      <c r="BC199" s="35"/>
    </row>
    <row r="200" spans="1:55" x14ac:dyDescent="0.4">
      <c r="A200" s="20">
        <v>43507</v>
      </c>
      <c r="B200" s="21">
        <v>43507.458611111113</v>
      </c>
      <c r="C200" s="22" t="s">
        <v>73</v>
      </c>
      <c r="D200" s="23" t="s">
        <v>74</v>
      </c>
      <c r="E200" s="24">
        <v>21.8</v>
      </c>
      <c r="F200" s="25">
        <v>13</v>
      </c>
      <c r="G200" s="25">
        <v>30</v>
      </c>
      <c r="H200" s="25">
        <v>21.61</v>
      </c>
      <c r="I200" s="25">
        <v>21.77</v>
      </c>
      <c r="J200" s="26">
        <v>2495000</v>
      </c>
      <c r="K200" s="27">
        <v>4508000</v>
      </c>
      <c r="L200" s="28">
        <v>89</v>
      </c>
      <c r="M200" s="28">
        <v>39</v>
      </c>
      <c r="N200" s="29">
        <v>3.18</v>
      </c>
      <c r="O200" s="27">
        <v>50652</v>
      </c>
      <c r="P200" s="27">
        <v>161000</v>
      </c>
      <c r="Q200" s="27">
        <v>174260</v>
      </c>
      <c r="R200" s="27">
        <v>113409</v>
      </c>
      <c r="S200" s="27">
        <v>122419</v>
      </c>
      <c r="T200" s="30">
        <v>1.81</v>
      </c>
      <c r="U200" s="31">
        <v>28</v>
      </c>
      <c r="V200" s="28">
        <v>22</v>
      </c>
      <c r="W200" s="32">
        <v>54391000</v>
      </c>
      <c r="X200" s="23" t="s">
        <v>75</v>
      </c>
      <c r="Y200" s="33">
        <v>1177200</v>
      </c>
      <c r="Z200" s="34">
        <v>2310800</v>
      </c>
      <c r="AA200" s="34">
        <v>2877600</v>
      </c>
      <c r="AB200" s="34">
        <v>152600</v>
      </c>
      <c r="AC200" s="34">
        <v>4120200</v>
      </c>
      <c r="AD200" s="34"/>
      <c r="AE200" s="34">
        <v>1057300</v>
      </c>
      <c r="AF200" s="34">
        <v>926500</v>
      </c>
      <c r="AG200" s="34">
        <v>3302700</v>
      </c>
      <c r="AH200" s="34">
        <v>8033300</v>
      </c>
      <c r="AI200" s="34">
        <v>1417000</v>
      </c>
      <c r="AJ200" s="34">
        <v>4665200</v>
      </c>
      <c r="AK200" s="34">
        <v>468700</v>
      </c>
      <c r="AL200" s="34">
        <v>1482400</v>
      </c>
      <c r="AM200" s="34">
        <v>795700</v>
      </c>
      <c r="AN200" s="34"/>
      <c r="AO200" s="34">
        <v>8327600</v>
      </c>
      <c r="AP200" s="34"/>
      <c r="AQ200" s="34">
        <v>545000</v>
      </c>
      <c r="AR200" s="34">
        <v>109000</v>
      </c>
      <c r="AS200" s="34">
        <v>272500</v>
      </c>
      <c r="AT200" s="34">
        <v>98100</v>
      </c>
      <c r="AU200" s="34">
        <v>2855800</v>
      </c>
      <c r="AV200" s="34"/>
      <c r="AW200" s="34"/>
      <c r="AX200" s="34">
        <v>1656800</v>
      </c>
      <c r="AY200" s="34">
        <v>4905000</v>
      </c>
      <c r="AZ200" s="34">
        <v>806600</v>
      </c>
      <c r="BA200" s="34">
        <v>425100</v>
      </c>
      <c r="BB200" s="34">
        <v>1602300</v>
      </c>
      <c r="BC200" s="35"/>
    </row>
    <row r="201" spans="1:55" x14ac:dyDescent="0.4">
      <c r="A201" s="20">
        <v>43504</v>
      </c>
      <c r="B201" s="21">
        <v>43504.458692129629</v>
      </c>
      <c r="C201" s="22" t="s">
        <v>76</v>
      </c>
      <c r="D201" s="23" t="s">
        <v>74</v>
      </c>
      <c r="E201" s="24">
        <v>23.28</v>
      </c>
      <c r="F201" s="25">
        <v>19.579999999999998</v>
      </c>
      <c r="G201" s="25">
        <v>30</v>
      </c>
      <c r="H201" s="25">
        <v>23.49</v>
      </c>
      <c r="I201" s="25">
        <v>23.32</v>
      </c>
      <c r="J201" s="26">
        <v>3209000</v>
      </c>
      <c r="K201" s="27">
        <v>4977000</v>
      </c>
      <c r="L201" s="28">
        <v>94</v>
      </c>
      <c r="M201" s="28">
        <v>56</v>
      </c>
      <c r="N201" s="29">
        <v>3.62</v>
      </c>
      <c r="O201" s="27">
        <v>52947</v>
      </c>
      <c r="P201" s="27">
        <v>191423</v>
      </c>
      <c r="Q201" s="27">
        <v>180669</v>
      </c>
      <c r="R201" s="27">
        <v>139522</v>
      </c>
      <c r="S201" s="27">
        <v>140338</v>
      </c>
      <c r="T201" s="30">
        <v>1.55</v>
      </c>
      <c r="U201" s="31">
        <v>26</v>
      </c>
      <c r="V201" s="28">
        <v>23</v>
      </c>
      <c r="W201" s="32">
        <v>74705520</v>
      </c>
      <c r="X201" s="23" t="s">
        <v>77</v>
      </c>
      <c r="Y201" s="33"/>
      <c r="Z201" s="34"/>
      <c r="AA201" s="34"/>
      <c r="AB201" s="34"/>
      <c r="AC201" s="34"/>
      <c r="AD201" s="34">
        <v>74705520</v>
      </c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5"/>
    </row>
    <row r="202" spans="1:55" x14ac:dyDescent="0.4">
      <c r="A202" s="20">
        <v>43503</v>
      </c>
      <c r="B202" s="21">
        <v>43503.458831018521</v>
      </c>
      <c r="C202" s="22" t="s">
        <v>73</v>
      </c>
      <c r="D202" s="23" t="s">
        <v>74</v>
      </c>
      <c r="E202" s="24">
        <v>23.8</v>
      </c>
      <c r="F202" s="25">
        <v>13</v>
      </c>
      <c r="G202" s="25">
        <v>30</v>
      </c>
      <c r="H202" s="25">
        <v>23.22</v>
      </c>
      <c r="I202" s="25">
        <v>23.69</v>
      </c>
      <c r="J202" s="26">
        <v>2495000</v>
      </c>
      <c r="K202" s="27">
        <v>6086000</v>
      </c>
      <c r="L202" s="28">
        <v>86</v>
      </c>
      <c r="M202" s="28">
        <v>34</v>
      </c>
      <c r="N202" s="29">
        <v>3.31</v>
      </c>
      <c r="O202" s="27">
        <v>70767</v>
      </c>
      <c r="P202" s="27">
        <v>234077</v>
      </c>
      <c r="Q202" s="27">
        <v>312964</v>
      </c>
      <c r="R202" s="27">
        <v>113409</v>
      </c>
      <c r="S202" s="27">
        <v>168532</v>
      </c>
      <c r="T202" s="30">
        <v>2.44</v>
      </c>
      <c r="U202" s="31">
        <v>26</v>
      </c>
      <c r="V202" s="28">
        <v>22</v>
      </c>
      <c r="W202" s="32">
        <v>59381000</v>
      </c>
      <c r="X202" s="23" t="s">
        <v>75</v>
      </c>
      <c r="Y202" s="33">
        <v>1285200</v>
      </c>
      <c r="Z202" s="34">
        <v>2522800</v>
      </c>
      <c r="AA202" s="34">
        <v>3141600</v>
      </c>
      <c r="AB202" s="34">
        <v>166600</v>
      </c>
      <c r="AC202" s="34">
        <v>4498200</v>
      </c>
      <c r="AD202" s="34"/>
      <c r="AE202" s="34">
        <v>1154300</v>
      </c>
      <c r="AF202" s="34">
        <v>1011500</v>
      </c>
      <c r="AG202" s="34">
        <v>3605700</v>
      </c>
      <c r="AH202" s="34">
        <v>8770300</v>
      </c>
      <c r="AI202" s="34">
        <v>1547000</v>
      </c>
      <c r="AJ202" s="34">
        <v>5093200</v>
      </c>
      <c r="AK202" s="34">
        <v>511700</v>
      </c>
      <c r="AL202" s="34">
        <v>1618400</v>
      </c>
      <c r="AM202" s="34">
        <v>868700</v>
      </c>
      <c r="AN202" s="34"/>
      <c r="AO202" s="34">
        <v>9091600</v>
      </c>
      <c r="AP202" s="34"/>
      <c r="AQ202" s="34">
        <v>595000</v>
      </c>
      <c r="AR202" s="34">
        <v>119000</v>
      </c>
      <c r="AS202" s="34">
        <v>297500</v>
      </c>
      <c r="AT202" s="34">
        <v>107100</v>
      </c>
      <c r="AU202" s="34">
        <v>3117800</v>
      </c>
      <c r="AV202" s="34"/>
      <c r="AW202" s="34"/>
      <c r="AX202" s="34">
        <v>1808800</v>
      </c>
      <c r="AY202" s="34">
        <v>5355000</v>
      </c>
      <c r="AZ202" s="34">
        <v>880600</v>
      </c>
      <c r="BA202" s="34">
        <v>464100</v>
      </c>
      <c r="BB202" s="34">
        <v>1749300</v>
      </c>
      <c r="BC202" s="35"/>
    </row>
    <row r="203" spans="1:55" x14ac:dyDescent="0.4">
      <c r="A203" s="20">
        <v>43501</v>
      </c>
      <c r="B203" s="21">
        <v>43501.458541666667</v>
      </c>
      <c r="C203" s="22" t="s">
        <v>73</v>
      </c>
      <c r="D203" s="23" t="s">
        <v>74</v>
      </c>
      <c r="E203" s="24">
        <v>22.93</v>
      </c>
      <c r="F203" s="25">
        <v>13</v>
      </c>
      <c r="G203" s="25">
        <v>30</v>
      </c>
      <c r="H203" s="25">
        <v>22.49</v>
      </c>
      <c r="I203" s="25">
        <v>22.76</v>
      </c>
      <c r="J203" s="26">
        <v>2495000</v>
      </c>
      <c r="K203" s="27">
        <v>5152000</v>
      </c>
      <c r="L203" s="28">
        <v>86</v>
      </c>
      <c r="M203" s="28">
        <v>25</v>
      </c>
      <c r="N203" s="29">
        <v>3.44</v>
      </c>
      <c r="O203" s="27">
        <v>59907</v>
      </c>
      <c r="P203" s="27">
        <v>206080</v>
      </c>
      <c r="Q203" s="27">
        <v>243799</v>
      </c>
      <c r="R203" s="27">
        <v>138611</v>
      </c>
      <c r="S203" s="27">
        <v>167390</v>
      </c>
      <c r="T203" s="30">
        <v>2.06</v>
      </c>
      <c r="U203" s="31">
        <v>25</v>
      </c>
      <c r="V203" s="28">
        <v>18</v>
      </c>
      <c r="W203" s="32">
        <v>57210350</v>
      </c>
      <c r="X203" s="23" t="s">
        <v>75</v>
      </c>
      <c r="Y203" s="33">
        <v>1238220</v>
      </c>
      <c r="Z203" s="34">
        <v>2430580</v>
      </c>
      <c r="AA203" s="34">
        <v>3026760</v>
      </c>
      <c r="AB203" s="34">
        <v>160510</v>
      </c>
      <c r="AC203" s="34">
        <v>4333770</v>
      </c>
      <c r="AD203" s="34"/>
      <c r="AE203" s="34">
        <v>1112105</v>
      </c>
      <c r="AF203" s="34">
        <v>974525</v>
      </c>
      <c r="AG203" s="34">
        <v>3473895</v>
      </c>
      <c r="AH203" s="34">
        <v>8449705</v>
      </c>
      <c r="AI203" s="34">
        <v>1490450</v>
      </c>
      <c r="AJ203" s="34">
        <v>4907020</v>
      </c>
      <c r="AK203" s="34">
        <v>492995</v>
      </c>
      <c r="AL203" s="34">
        <v>1559240</v>
      </c>
      <c r="AM203" s="34">
        <v>836945</v>
      </c>
      <c r="AN203" s="34"/>
      <c r="AO203" s="34">
        <v>8759260</v>
      </c>
      <c r="AP203" s="34"/>
      <c r="AQ203" s="34">
        <v>573250</v>
      </c>
      <c r="AR203" s="34">
        <v>114650</v>
      </c>
      <c r="AS203" s="34">
        <v>286625</v>
      </c>
      <c r="AT203" s="34">
        <v>103185</v>
      </c>
      <c r="AU203" s="34">
        <v>3003830</v>
      </c>
      <c r="AV203" s="34"/>
      <c r="AW203" s="34"/>
      <c r="AX203" s="34">
        <v>1742680</v>
      </c>
      <c r="AY203" s="34">
        <v>5159250</v>
      </c>
      <c r="AZ203" s="34">
        <v>848410</v>
      </c>
      <c r="BA203" s="34">
        <v>447135</v>
      </c>
      <c r="BB203" s="34">
        <v>1685355</v>
      </c>
      <c r="BC203" s="35"/>
    </row>
    <row r="204" spans="1:55" x14ac:dyDescent="0.4">
      <c r="A204" s="20">
        <v>43500</v>
      </c>
      <c r="B204" s="21">
        <v>43500.458680555559</v>
      </c>
      <c r="C204" s="22" t="s">
        <v>73</v>
      </c>
      <c r="D204" s="23" t="s">
        <v>74</v>
      </c>
      <c r="E204" s="24">
        <v>21.38</v>
      </c>
      <c r="F204" s="25">
        <v>13</v>
      </c>
      <c r="G204" s="25">
        <v>30</v>
      </c>
      <c r="H204" s="25">
        <v>21.21</v>
      </c>
      <c r="I204" s="25">
        <v>21.26</v>
      </c>
      <c r="J204" s="26">
        <v>2495000</v>
      </c>
      <c r="K204" s="27">
        <v>6482000</v>
      </c>
      <c r="L204" s="28">
        <v>105</v>
      </c>
      <c r="M204" s="28">
        <v>35</v>
      </c>
      <c r="N204" s="29">
        <v>3.89</v>
      </c>
      <c r="O204" s="27">
        <v>61733</v>
      </c>
      <c r="P204" s="27">
        <v>240074</v>
      </c>
      <c r="Q204" s="27">
        <v>313849</v>
      </c>
      <c r="R204" s="27">
        <v>118810</v>
      </c>
      <c r="S204" s="27">
        <v>162564</v>
      </c>
      <c r="T204" s="30">
        <v>2.6</v>
      </c>
      <c r="U204" s="31">
        <v>27</v>
      </c>
      <c r="V204" s="28">
        <v>21</v>
      </c>
      <c r="W204" s="32">
        <v>53343100</v>
      </c>
      <c r="X204" s="23" t="s">
        <v>75</v>
      </c>
      <c r="Y204" s="33">
        <v>1154520</v>
      </c>
      <c r="Z204" s="34">
        <v>2266280</v>
      </c>
      <c r="AA204" s="34">
        <v>2822160</v>
      </c>
      <c r="AB204" s="34">
        <v>149660</v>
      </c>
      <c r="AC204" s="34">
        <v>4040820</v>
      </c>
      <c r="AD204" s="34"/>
      <c r="AE204" s="34">
        <v>1036930</v>
      </c>
      <c r="AF204" s="34">
        <v>908650</v>
      </c>
      <c r="AG204" s="34">
        <v>3239070</v>
      </c>
      <c r="AH204" s="34">
        <v>7878530</v>
      </c>
      <c r="AI204" s="34">
        <v>1389700</v>
      </c>
      <c r="AJ204" s="34">
        <v>4575320</v>
      </c>
      <c r="AK204" s="34">
        <v>459670</v>
      </c>
      <c r="AL204" s="34">
        <v>1453840</v>
      </c>
      <c r="AM204" s="34">
        <v>780370</v>
      </c>
      <c r="AN204" s="34"/>
      <c r="AO204" s="34">
        <v>8167160</v>
      </c>
      <c r="AP204" s="34"/>
      <c r="AQ204" s="34">
        <v>534500</v>
      </c>
      <c r="AR204" s="34">
        <v>106900</v>
      </c>
      <c r="AS204" s="34">
        <v>267250</v>
      </c>
      <c r="AT204" s="34">
        <v>96210</v>
      </c>
      <c r="AU204" s="34">
        <v>2800780</v>
      </c>
      <c r="AV204" s="34"/>
      <c r="AW204" s="34"/>
      <c r="AX204" s="34">
        <v>1624880</v>
      </c>
      <c r="AY204" s="34">
        <v>4810500</v>
      </c>
      <c r="AZ204" s="34">
        <v>791060</v>
      </c>
      <c r="BA204" s="34">
        <v>416910</v>
      </c>
      <c r="BB204" s="34">
        <v>1571430</v>
      </c>
      <c r="BC204" s="35"/>
    </row>
    <row r="205" spans="1:55" x14ac:dyDescent="0.4">
      <c r="A205" s="20">
        <v>43497</v>
      </c>
      <c r="B205" s="21">
        <v>43497.458761574075</v>
      </c>
      <c r="C205" s="22" t="s">
        <v>76</v>
      </c>
      <c r="D205" s="23" t="s">
        <v>74</v>
      </c>
      <c r="E205" s="24">
        <v>21.38</v>
      </c>
      <c r="F205" s="25">
        <v>13</v>
      </c>
      <c r="G205" s="25">
        <v>30</v>
      </c>
      <c r="H205" s="25">
        <v>21.24</v>
      </c>
      <c r="I205" s="25">
        <v>21.37</v>
      </c>
      <c r="J205" s="26">
        <v>3209000</v>
      </c>
      <c r="K205" s="27">
        <v>9213000</v>
      </c>
      <c r="L205" s="28">
        <v>101</v>
      </c>
      <c r="M205" s="28">
        <v>49</v>
      </c>
      <c r="N205" s="29">
        <v>3.37</v>
      </c>
      <c r="O205" s="27">
        <v>91218</v>
      </c>
      <c r="P205" s="27">
        <v>307100</v>
      </c>
      <c r="Q205" s="27">
        <v>504918</v>
      </c>
      <c r="R205" s="27">
        <v>128360</v>
      </c>
      <c r="S205" s="27">
        <v>139222</v>
      </c>
      <c r="T205" s="30">
        <v>2.87</v>
      </c>
      <c r="U205" s="31">
        <v>30</v>
      </c>
      <c r="V205" s="28">
        <v>25</v>
      </c>
      <c r="W205" s="32">
        <v>68608420</v>
      </c>
      <c r="X205" s="23" t="s">
        <v>77</v>
      </c>
      <c r="Y205" s="33"/>
      <c r="Z205" s="34"/>
      <c r="AA205" s="34"/>
      <c r="AB205" s="34"/>
      <c r="AC205" s="34"/>
      <c r="AD205" s="34">
        <v>68608420</v>
      </c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5"/>
    </row>
    <row r="206" spans="1:55" x14ac:dyDescent="0.4">
      <c r="A206" s="20">
        <v>43496</v>
      </c>
      <c r="B206" s="21">
        <v>43496.458645833336</v>
      </c>
      <c r="C206" s="22" t="s">
        <v>73</v>
      </c>
      <c r="D206" s="23" t="s">
        <v>74</v>
      </c>
      <c r="E206" s="24">
        <v>22.3</v>
      </c>
      <c r="F206" s="25">
        <v>13</v>
      </c>
      <c r="G206" s="25">
        <v>30</v>
      </c>
      <c r="H206" s="25">
        <v>21.97</v>
      </c>
      <c r="I206" s="25">
        <v>22.25</v>
      </c>
      <c r="J206" s="26">
        <v>2495000</v>
      </c>
      <c r="K206" s="27">
        <v>5707000</v>
      </c>
      <c r="L206" s="28">
        <v>84</v>
      </c>
      <c r="M206" s="28">
        <v>33</v>
      </c>
      <c r="N206" s="29">
        <v>2.9</v>
      </c>
      <c r="O206" s="27">
        <v>67940</v>
      </c>
      <c r="P206" s="27">
        <v>196793</v>
      </c>
      <c r="Q206" s="27">
        <v>216089</v>
      </c>
      <c r="R206" s="27">
        <v>103958</v>
      </c>
      <c r="S206" s="27">
        <v>117541</v>
      </c>
      <c r="T206" s="30">
        <v>2.29</v>
      </c>
      <c r="U206" s="31">
        <v>29</v>
      </c>
      <c r="V206" s="28">
        <v>24</v>
      </c>
      <c r="W206" s="32">
        <v>55638500</v>
      </c>
      <c r="X206" s="23" t="s">
        <v>75</v>
      </c>
      <c r="Y206" s="33">
        <v>1204200</v>
      </c>
      <c r="Z206" s="34">
        <v>2363800</v>
      </c>
      <c r="AA206" s="34">
        <v>2943600</v>
      </c>
      <c r="AB206" s="34">
        <v>156100</v>
      </c>
      <c r="AC206" s="34">
        <v>4214700</v>
      </c>
      <c r="AD206" s="34"/>
      <c r="AE206" s="34">
        <v>1081550</v>
      </c>
      <c r="AF206" s="34">
        <v>947750</v>
      </c>
      <c r="AG206" s="34">
        <v>3378450</v>
      </c>
      <c r="AH206" s="34">
        <v>8217550</v>
      </c>
      <c r="AI206" s="34">
        <v>1449500</v>
      </c>
      <c r="AJ206" s="34">
        <v>4772200</v>
      </c>
      <c r="AK206" s="34">
        <v>479450</v>
      </c>
      <c r="AL206" s="34">
        <v>1516400</v>
      </c>
      <c r="AM206" s="34">
        <v>813950</v>
      </c>
      <c r="AN206" s="34"/>
      <c r="AO206" s="34">
        <v>8518600</v>
      </c>
      <c r="AP206" s="34"/>
      <c r="AQ206" s="34">
        <v>557500</v>
      </c>
      <c r="AR206" s="34">
        <v>111500</v>
      </c>
      <c r="AS206" s="34">
        <v>278750</v>
      </c>
      <c r="AT206" s="34">
        <v>100350</v>
      </c>
      <c r="AU206" s="34">
        <v>2921300</v>
      </c>
      <c r="AV206" s="34"/>
      <c r="AW206" s="34"/>
      <c r="AX206" s="34">
        <v>1694800</v>
      </c>
      <c r="AY206" s="34">
        <v>5017500</v>
      </c>
      <c r="AZ206" s="34">
        <v>825100</v>
      </c>
      <c r="BA206" s="34">
        <v>434850</v>
      </c>
      <c r="BB206" s="34">
        <v>1639050</v>
      </c>
      <c r="BC206" s="35"/>
    </row>
    <row r="207" spans="1:55" x14ac:dyDescent="0.4">
      <c r="A207" s="20">
        <v>43495</v>
      </c>
      <c r="B207" s="21">
        <v>43495.458622685182</v>
      </c>
      <c r="C207" s="22" t="s">
        <v>78</v>
      </c>
      <c r="D207" s="23" t="s">
        <v>74</v>
      </c>
      <c r="E207" s="24">
        <v>22.91</v>
      </c>
      <c r="F207" s="25">
        <v>12</v>
      </c>
      <c r="G207" s="25">
        <v>28.1</v>
      </c>
      <c r="H207" s="25">
        <v>22.4</v>
      </c>
      <c r="I207" s="25">
        <v>22.86</v>
      </c>
      <c r="J207" s="26">
        <v>4428500</v>
      </c>
      <c r="K207" s="27">
        <v>9436000</v>
      </c>
      <c r="L207" s="28">
        <v>94</v>
      </c>
      <c r="M207" s="28">
        <v>34</v>
      </c>
      <c r="N207" s="29">
        <v>3.36</v>
      </c>
      <c r="O207" s="27">
        <v>100383</v>
      </c>
      <c r="P207" s="27">
        <v>337000</v>
      </c>
      <c r="Q207" s="27">
        <v>370428</v>
      </c>
      <c r="R207" s="27">
        <v>210881</v>
      </c>
      <c r="S207" s="27">
        <v>288193</v>
      </c>
      <c r="T207" s="30">
        <v>2.13</v>
      </c>
      <c r="U207" s="31">
        <v>28</v>
      </c>
      <c r="V207" s="28">
        <v>21</v>
      </c>
      <c r="W207" s="32">
        <v>101456935</v>
      </c>
      <c r="X207" s="23" t="s">
        <v>79</v>
      </c>
      <c r="Y207" s="33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>
        <v>101456935</v>
      </c>
      <c r="AX207" s="34"/>
      <c r="AY207" s="34"/>
      <c r="AZ207" s="34"/>
      <c r="BA207" s="34"/>
      <c r="BB207" s="34"/>
      <c r="BC207" s="35"/>
    </row>
    <row r="208" spans="1:55" x14ac:dyDescent="0.4">
      <c r="A208" s="20">
        <v>43494</v>
      </c>
      <c r="B208" s="21">
        <v>43494.458611111113</v>
      </c>
      <c r="C208" s="22" t="s">
        <v>73</v>
      </c>
      <c r="D208" s="23" t="s">
        <v>74</v>
      </c>
      <c r="E208" s="24">
        <v>22.43</v>
      </c>
      <c r="F208" s="25">
        <v>13</v>
      </c>
      <c r="G208" s="25">
        <v>30</v>
      </c>
      <c r="H208" s="25">
        <v>22.08</v>
      </c>
      <c r="I208" s="25">
        <v>22.31</v>
      </c>
      <c r="J208" s="26">
        <v>2495000</v>
      </c>
      <c r="K208" s="27">
        <v>5526000</v>
      </c>
      <c r="L208" s="28">
        <v>84</v>
      </c>
      <c r="M208" s="28">
        <v>29</v>
      </c>
      <c r="N208" s="29">
        <v>2.8</v>
      </c>
      <c r="O208" s="27">
        <v>65786</v>
      </c>
      <c r="P208" s="27">
        <v>184200</v>
      </c>
      <c r="Q208" s="27">
        <v>192287</v>
      </c>
      <c r="R208" s="27">
        <v>118810</v>
      </c>
      <c r="S208" s="27">
        <v>131119</v>
      </c>
      <c r="T208" s="30">
        <v>2.21</v>
      </c>
      <c r="U208" s="31">
        <v>30</v>
      </c>
      <c r="V208" s="28">
        <v>21</v>
      </c>
      <c r="W208" s="32">
        <v>55962850</v>
      </c>
      <c r="X208" s="23" t="s">
        <v>75</v>
      </c>
      <c r="Y208" s="33">
        <v>1211220</v>
      </c>
      <c r="Z208" s="34">
        <v>2377580</v>
      </c>
      <c r="AA208" s="34">
        <v>2960760</v>
      </c>
      <c r="AB208" s="34">
        <v>157010</v>
      </c>
      <c r="AC208" s="34">
        <v>4239270</v>
      </c>
      <c r="AD208" s="34"/>
      <c r="AE208" s="34">
        <v>1087855</v>
      </c>
      <c r="AF208" s="34">
        <v>953275</v>
      </c>
      <c r="AG208" s="34">
        <v>3398145</v>
      </c>
      <c r="AH208" s="34">
        <v>8265455</v>
      </c>
      <c r="AI208" s="34">
        <v>1457950</v>
      </c>
      <c r="AJ208" s="34">
        <v>4800020</v>
      </c>
      <c r="AK208" s="34">
        <v>482245</v>
      </c>
      <c r="AL208" s="34">
        <v>1525240</v>
      </c>
      <c r="AM208" s="34">
        <v>818695</v>
      </c>
      <c r="AN208" s="34"/>
      <c r="AO208" s="34">
        <v>8568260</v>
      </c>
      <c r="AP208" s="34"/>
      <c r="AQ208" s="34">
        <v>560750</v>
      </c>
      <c r="AR208" s="34">
        <v>112150</v>
      </c>
      <c r="AS208" s="34">
        <v>280375</v>
      </c>
      <c r="AT208" s="34">
        <v>100935</v>
      </c>
      <c r="AU208" s="34">
        <v>2938330</v>
      </c>
      <c r="AV208" s="34"/>
      <c r="AW208" s="34"/>
      <c r="AX208" s="34">
        <v>1704680</v>
      </c>
      <c r="AY208" s="34">
        <v>5046750</v>
      </c>
      <c r="AZ208" s="34">
        <v>829910</v>
      </c>
      <c r="BA208" s="34">
        <v>437385</v>
      </c>
      <c r="BB208" s="34">
        <v>1648605</v>
      </c>
      <c r="BC208" s="35"/>
    </row>
    <row r="209" spans="1:55" x14ac:dyDescent="0.4">
      <c r="A209" s="20">
        <v>43493</v>
      </c>
      <c r="B209" s="21">
        <v>43493.458564814813</v>
      </c>
      <c r="C209" s="22" t="s">
        <v>73</v>
      </c>
      <c r="D209" s="23" t="s">
        <v>74</v>
      </c>
      <c r="E209" s="24">
        <v>23.01</v>
      </c>
      <c r="F209" s="25">
        <v>12</v>
      </c>
      <c r="G209" s="25">
        <v>24.5</v>
      </c>
      <c r="H209" s="25">
        <v>22.37</v>
      </c>
      <c r="I209" s="25">
        <v>22.88</v>
      </c>
      <c r="J209" s="26">
        <v>2495000</v>
      </c>
      <c r="K209" s="27">
        <v>5533000</v>
      </c>
      <c r="L209" s="28">
        <v>82</v>
      </c>
      <c r="M209" s="28">
        <v>30</v>
      </c>
      <c r="N209" s="29">
        <v>2.83</v>
      </c>
      <c r="O209" s="27">
        <v>67476</v>
      </c>
      <c r="P209" s="27">
        <v>190793</v>
      </c>
      <c r="Q209" s="27">
        <v>190479</v>
      </c>
      <c r="R209" s="27">
        <v>131316</v>
      </c>
      <c r="S209" s="27">
        <v>135970</v>
      </c>
      <c r="T209" s="30">
        <v>2.2200000000000002</v>
      </c>
      <c r="U209" s="31">
        <v>29</v>
      </c>
      <c r="V209" s="28">
        <v>19</v>
      </c>
      <c r="W209" s="32">
        <v>57409950</v>
      </c>
      <c r="X209" s="23" t="s">
        <v>75</v>
      </c>
      <c r="Y209" s="33">
        <v>1242540</v>
      </c>
      <c r="Z209" s="34">
        <v>2439060</v>
      </c>
      <c r="AA209" s="34">
        <v>3037320</v>
      </c>
      <c r="AB209" s="34">
        <v>161070</v>
      </c>
      <c r="AC209" s="34">
        <v>4348890</v>
      </c>
      <c r="AD209" s="34"/>
      <c r="AE209" s="34">
        <v>1115985</v>
      </c>
      <c r="AF209" s="34">
        <v>977925</v>
      </c>
      <c r="AG209" s="34">
        <v>3486015</v>
      </c>
      <c r="AH209" s="34">
        <v>8479185</v>
      </c>
      <c r="AI209" s="34">
        <v>1495650</v>
      </c>
      <c r="AJ209" s="34">
        <v>4924140</v>
      </c>
      <c r="AK209" s="34">
        <v>494715</v>
      </c>
      <c r="AL209" s="34">
        <v>1564680</v>
      </c>
      <c r="AM209" s="34">
        <v>839865</v>
      </c>
      <c r="AN209" s="34"/>
      <c r="AO209" s="34">
        <v>8789820</v>
      </c>
      <c r="AP209" s="34"/>
      <c r="AQ209" s="34">
        <v>575250</v>
      </c>
      <c r="AR209" s="34">
        <v>115050</v>
      </c>
      <c r="AS209" s="34">
        <v>287625</v>
      </c>
      <c r="AT209" s="34">
        <v>103545</v>
      </c>
      <c r="AU209" s="34">
        <v>3014310</v>
      </c>
      <c r="AV209" s="34"/>
      <c r="AW209" s="34"/>
      <c r="AX209" s="34">
        <v>1748760</v>
      </c>
      <c r="AY209" s="34">
        <v>5177250</v>
      </c>
      <c r="AZ209" s="34">
        <v>851370</v>
      </c>
      <c r="BA209" s="34">
        <v>448695</v>
      </c>
      <c r="BB209" s="34">
        <v>1691235</v>
      </c>
      <c r="BC209" s="35"/>
    </row>
    <row r="210" spans="1:55" x14ac:dyDescent="0.4">
      <c r="A210" s="20">
        <v>43489</v>
      </c>
      <c r="B210" s="21">
        <v>43489.458738425928</v>
      </c>
      <c r="C210" s="22" t="s">
        <v>73</v>
      </c>
      <c r="D210" s="23" t="s">
        <v>74</v>
      </c>
      <c r="E210" s="24">
        <v>24.6</v>
      </c>
      <c r="F210" s="25">
        <v>12</v>
      </c>
      <c r="G210" s="25">
        <v>30</v>
      </c>
      <c r="H210" s="25">
        <v>23.95</v>
      </c>
      <c r="I210" s="25">
        <v>24.34</v>
      </c>
      <c r="J210" s="26">
        <v>2495000</v>
      </c>
      <c r="K210" s="27">
        <v>6014000</v>
      </c>
      <c r="L210" s="28">
        <v>86</v>
      </c>
      <c r="M210" s="28">
        <v>22</v>
      </c>
      <c r="N210" s="29">
        <v>2.87</v>
      </c>
      <c r="O210" s="27">
        <v>69930</v>
      </c>
      <c r="P210" s="27">
        <v>200467</v>
      </c>
      <c r="Q210" s="27">
        <v>234290</v>
      </c>
      <c r="R210" s="27">
        <v>146765</v>
      </c>
      <c r="S210" s="27">
        <v>146532</v>
      </c>
      <c r="T210" s="30">
        <v>2.41</v>
      </c>
      <c r="U210" s="31">
        <v>30</v>
      </c>
      <c r="V210" s="28">
        <v>17</v>
      </c>
      <c r="W210" s="32">
        <v>61377000</v>
      </c>
      <c r="X210" s="23" t="s">
        <v>75</v>
      </c>
      <c r="Y210" s="33">
        <v>1328400</v>
      </c>
      <c r="Z210" s="34">
        <v>2607600</v>
      </c>
      <c r="AA210" s="34">
        <v>3247200</v>
      </c>
      <c r="AB210" s="34">
        <v>172200</v>
      </c>
      <c r="AC210" s="34">
        <v>4649400</v>
      </c>
      <c r="AD210" s="34"/>
      <c r="AE210" s="34">
        <v>1193100</v>
      </c>
      <c r="AF210" s="34">
        <v>1045500</v>
      </c>
      <c r="AG210" s="34">
        <v>3726900</v>
      </c>
      <c r="AH210" s="34">
        <v>9065100</v>
      </c>
      <c r="AI210" s="34">
        <v>1599000</v>
      </c>
      <c r="AJ210" s="34">
        <v>5264400</v>
      </c>
      <c r="AK210" s="34">
        <v>528900</v>
      </c>
      <c r="AL210" s="34">
        <v>1672800</v>
      </c>
      <c r="AM210" s="34">
        <v>897900</v>
      </c>
      <c r="AN210" s="34"/>
      <c r="AO210" s="34">
        <v>9397200</v>
      </c>
      <c r="AP210" s="34"/>
      <c r="AQ210" s="34">
        <v>615000</v>
      </c>
      <c r="AR210" s="34">
        <v>123000</v>
      </c>
      <c r="AS210" s="34">
        <v>307500</v>
      </c>
      <c r="AT210" s="34">
        <v>110700</v>
      </c>
      <c r="AU210" s="34">
        <v>3222600</v>
      </c>
      <c r="AV210" s="34"/>
      <c r="AW210" s="34"/>
      <c r="AX210" s="34">
        <v>1869600</v>
      </c>
      <c r="AY210" s="34">
        <v>5535000</v>
      </c>
      <c r="AZ210" s="34">
        <v>910200</v>
      </c>
      <c r="BA210" s="34">
        <v>479700</v>
      </c>
      <c r="BB210" s="34">
        <v>1808100</v>
      </c>
      <c r="BC210" s="35"/>
    </row>
    <row r="211" spans="1:55" x14ac:dyDescent="0.4">
      <c r="A211" s="20">
        <v>43487</v>
      </c>
      <c r="B211" s="21">
        <v>43487.458645833336</v>
      </c>
      <c r="C211" s="22" t="s">
        <v>73</v>
      </c>
      <c r="D211" s="23" t="s">
        <v>74</v>
      </c>
      <c r="E211" s="24">
        <v>24.42</v>
      </c>
      <c r="F211" s="25">
        <v>13</v>
      </c>
      <c r="G211" s="25">
        <v>30</v>
      </c>
      <c r="H211" s="25">
        <v>23.94</v>
      </c>
      <c r="I211" s="25">
        <v>24.4</v>
      </c>
      <c r="J211" s="26">
        <v>2495000</v>
      </c>
      <c r="K211" s="27">
        <v>4668000</v>
      </c>
      <c r="L211" s="28">
        <v>85</v>
      </c>
      <c r="M211" s="28">
        <v>37</v>
      </c>
      <c r="N211" s="29">
        <v>3.04</v>
      </c>
      <c r="O211" s="27">
        <v>54918</v>
      </c>
      <c r="P211" s="27">
        <v>166714</v>
      </c>
      <c r="Q211" s="27">
        <v>171311</v>
      </c>
      <c r="R211" s="27">
        <v>113409</v>
      </c>
      <c r="S211" s="27">
        <v>128652</v>
      </c>
      <c r="T211" s="30">
        <v>1.87</v>
      </c>
      <c r="U211" s="31">
        <v>28</v>
      </c>
      <c r="V211" s="28">
        <v>22</v>
      </c>
      <c r="W211" s="32">
        <v>60927900</v>
      </c>
      <c r="X211" s="23" t="s">
        <v>75</v>
      </c>
      <c r="Y211" s="33">
        <v>1318680</v>
      </c>
      <c r="Z211" s="34">
        <v>2588520</v>
      </c>
      <c r="AA211" s="34">
        <v>3223440</v>
      </c>
      <c r="AB211" s="34">
        <v>170940</v>
      </c>
      <c r="AC211" s="34">
        <v>4615380</v>
      </c>
      <c r="AD211" s="34"/>
      <c r="AE211" s="34">
        <v>1184370</v>
      </c>
      <c r="AF211" s="34">
        <v>1037850</v>
      </c>
      <c r="AG211" s="34">
        <v>3699630</v>
      </c>
      <c r="AH211" s="34">
        <v>8998770</v>
      </c>
      <c r="AI211" s="34">
        <v>1587300</v>
      </c>
      <c r="AJ211" s="34">
        <v>5225880</v>
      </c>
      <c r="AK211" s="34">
        <v>525030</v>
      </c>
      <c r="AL211" s="34">
        <v>1660560</v>
      </c>
      <c r="AM211" s="34">
        <v>891330</v>
      </c>
      <c r="AN211" s="34"/>
      <c r="AO211" s="34">
        <v>9328440</v>
      </c>
      <c r="AP211" s="34"/>
      <c r="AQ211" s="34">
        <v>610500</v>
      </c>
      <c r="AR211" s="34">
        <v>122100</v>
      </c>
      <c r="AS211" s="34">
        <v>305250</v>
      </c>
      <c r="AT211" s="34">
        <v>109890</v>
      </c>
      <c r="AU211" s="34">
        <v>3199020</v>
      </c>
      <c r="AV211" s="34"/>
      <c r="AW211" s="34"/>
      <c r="AX211" s="34">
        <v>1855920</v>
      </c>
      <c r="AY211" s="34">
        <v>5494500</v>
      </c>
      <c r="AZ211" s="34">
        <v>903540</v>
      </c>
      <c r="BA211" s="34">
        <v>476190</v>
      </c>
      <c r="BB211" s="34">
        <v>1794870</v>
      </c>
      <c r="BC211" s="35"/>
    </row>
    <row r="212" spans="1:55" x14ac:dyDescent="0.4">
      <c r="A212" s="20">
        <v>43486</v>
      </c>
      <c r="B212" s="21">
        <v>43486.459108796298</v>
      </c>
      <c r="C212" s="22" t="s">
        <v>73</v>
      </c>
      <c r="D212" s="23" t="s">
        <v>74</v>
      </c>
      <c r="E212" s="24">
        <v>24.22</v>
      </c>
      <c r="F212" s="25">
        <v>13</v>
      </c>
      <c r="G212" s="25">
        <v>30</v>
      </c>
      <c r="H212" s="25">
        <v>23.66</v>
      </c>
      <c r="I212" s="25">
        <v>24.16</v>
      </c>
      <c r="J212" s="26">
        <v>2495000</v>
      </c>
      <c r="K212" s="27">
        <v>4845000</v>
      </c>
      <c r="L212" s="28">
        <v>82</v>
      </c>
      <c r="M212" s="28">
        <v>30</v>
      </c>
      <c r="N212" s="29">
        <v>2.73</v>
      </c>
      <c r="O212" s="27">
        <v>59085</v>
      </c>
      <c r="P212" s="27">
        <v>161500</v>
      </c>
      <c r="Q212" s="27">
        <v>197615</v>
      </c>
      <c r="R212" s="27">
        <v>118810</v>
      </c>
      <c r="S212" s="27">
        <v>155567</v>
      </c>
      <c r="T212" s="30">
        <v>1.94</v>
      </c>
      <c r="U212" s="31">
        <v>30</v>
      </c>
      <c r="V212" s="28">
        <v>21</v>
      </c>
      <c r="W212" s="32">
        <v>60428900</v>
      </c>
      <c r="X212" s="23" t="s">
        <v>75</v>
      </c>
      <c r="Y212" s="33">
        <v>1307880</v>
      </c>
      <c r="Z212" s="34">
        <v>2567320</v>
      </c>
      <c r="AA212" s="34">
        <v>3197040</v>
      </c>
      <c r="AB212" s="34">
        <v>169540</v>
      </c>
      <c r="AC212" s="34">
        <v>4577580</v>
      </c>
      <c r="AD212" s="34"/>
      <c r="AE212" s="34">
        <v>1174670</v>
      </c>
      <c r="AF212" s="34">
        <v>1029350</v>
      </c>
      <c r="AG212" s="34">
        <v>3669330</v>
      </c>
      <c r="AH212" s="34">
        <v>8925070</v>
      </c>
      <c r="AI212" s="34">
        <v>1574300</v>
      </c>
      <c r="AJ212" s="34">
        <v>5183080</v>
      </c>
      <c r="AK212" s="34">
        <v>520730</v>
      </c>
      <c r="AL212" s="34">
        <v>1646960</v>
      </c>
      <c r="AM212" s="34">
        <v>884030</v>
      </c>
      <c r="AN212" s="34"/>
      <c r="AO212" s="34">
        <v>9252040</v>
      </c>
      <c r="AP212" s="34"/>
      <c r="AQ212" s="34">
        <v>605500</v>
      </c>
      <c r="AR212" s="34">
        <v>121100</v>
      </c>
      <c r="AS212" s="34">
        <v>302750</v>
      </c>
      <c r="AT212" s="34">
        <v>108990</v>
      </c>
      <c r="AU212" s="34">
        <v>3172820</v>
      </c>
      <c r="AV212" s="34"/>
      <c r="AW212" s="34"/>
      <c r="AX212" s="34">
        <v>1840720</v>
      </c>
      <c r="AY212" s="34">
        <v>5449500</v>
      </c>
      <c r="AZ212" s="34">
        <v>896140</v>
      </c>
      <c r="BA212" s="34">
        <v>472290</v>
      </c>
      <c r="BB212" s="34">
        <v>1780170</v>
      </c>
      <c r="BC212" s="35"/>
    </row>
    <row r="213" spans="1:55" x14ac:dyDescent="0.4">
      <c r="A213" s="20">
        <v>43482</v>
      </c>
      <c r="B213" s="21">
        <v>43482.458784722221</v>
      </c>
      <c r="C213" s="22" t="s">
        <v>73</v>
      </c>
      <c r="D213" s="23" t="s">
        <v>74</v>
      </c>
      <c r="E213" s="24">
        <v>23.55</v>
      </c>
      <c r="F213" s="25">
        <v>12</v>
      </c>
      <c r="G213" s="25">
        <v>28.1</v>
      </c>
      <c r="H213" s="25">
        <v>23.11</v>
      </c>
      <c r="I213" s="25">
        <v>23.4</v>
      </c>
      <c r="J213" s="26">
        <v>2495000</v>
      </c>
      <c r="K213" s="27">
        <v>7229000</v>
      </c>
      <c r="L213" s="28">
        <v>112</v>
      </c>
      <c r="M213" s="28">
        <v>34</v>
      </c>
      <c r="N213" s="29">
        <v>3.5</v>
      </c>
      <c r="O213" s="27">
        <v>64545</v>
      </c>
      <c r="P213" s="27">
        <v>225906</v>
      </c>
      <c r="Q213" s="27">
        <v>245607</v>
      </c>
      <c r="R213" s="27">
        <v>146765</v>
      </c>
      <c r="S213" s="27">
        <v>145701</v>
      </c>
      <c r="T213" s="30">
        <v>2.9</v>
      </c>
      <c r="U213" s="31">
        <v>32</v>
      </c>
      <c r="V213" s="28">
        <v>17</v>
      </c>
      <c r="W213" s="32">
        <v>58757250</v>
      </c>
      <c r="X213" s="23" t="s">
        <v>75</v>
      </c>
      <c r="Y213" s="33">
        <v>1271700</v>
      </c>
      <c r="Z213" s="34">
        <v>2496300</v>
      </c>
      <c r="AA213" s="34">
        <v>3108600</v>
      </c>
      <c r="AB213" s="34">
        <v>164850</v>
      </c>
      <c r="AC213" s="34">
        <v>4450950</v>
      </c>
      <c r="AD213" s="34"/>
      <c r="AE213" s="34">
        <v>1142175</v>
      </c>
      <c r="AF213" s="34">
        <v>1000875</v>
      </c>
      <c r="AG213" s="34">
        <v>3567825</v>
      </c>
      <c r="AH213" s="34">
        <v>8678175</v>
      </c>
      <c r="AI213" s="34">
        <v>1530750</v>
      </c>
      <c r="AJ213" s="34">
        <v>5039700</v>
      </c>
      <c r="AK213" s="34">
        <v>506325</v>
      </c>
      <c r="AL213" s="34">
        <v>1601400</v>
      </c>
      <c r="AM213" s="34">
        <v>859575</v>
      </c>
      <c r="AN213" s="34"/>
      <c r="AO213" s="34">
        <v>8996100</v>
      </c>
      <c r="AP213" s="34"/>
      <c r="AQ213" s="34">
        <v>588750</v>
      </c>
      <c r="AR213" s="34">
        <v>117750</v>
      </c>
      <c r="AS213" s="34">
        <v>294375</v>
      </c>
      <c r="AT213" s="34">
        <v>105975</v>
      </c>
      <c r="AU213" s="34">
        <v>3085050</v>
      </c>
      <c r="AV213" s="34"/>
      <c r="AW213" s="34"/>
      <c r="AX213" s="34">
        <v>1789800</v>
      </c>
      <c r="AY213" s="34">
        <v>5298750</v>
      </c>
      <c r="AZ213" s="34">
        <v>871350</v>
      </c>
      <c r="BA213" s="34">
        <v>459225</v>
      </c>
      <c r="BB213" s="34">
        <v>1730925</v>
      </c>
      <c r="BC213" s="35"/>
    </row>
    <row r="214" spans="1:55" x14ac:dyDescent="0.4">
      <c r="A214" s="20">
        <v>43481</v>
      </c>
      <c r="B214" s="21">
        <v>43481.625347222223</v>
      </c>
      <c r="C214" s="22" t="s">
        <v>80</v>
      </c>
      <c r="D214" s="23" t="s">
        <v>81</v>
      </c>
      <c r="E214" s="24">
        <v>22.81</v>
      </c>
      <c r="F214" s="25">
        <v>22.25</v>
      </c>
      <c r="G214" s="25">
        <v>23</v>
      </c>
      <c r="H214" s="25">
        <v>22.57</v>
      </c>
      <c r="I214" s="25">
        <v>22.59</v>
      </c>
      <c r="J214" s="26">
        <v>640000</v>
      </c>
      <c r="K214" s="27">
        <v>2259000</v>
      </c>
      <c r="L214" s="28">
        <v>56</v>
      </c>
      <c r="M214" s="28">
        <v>5</v>
      </c>
      <c r="N214" s="29">
        <v>7</v>
      </c>
      <c r="O214" s="27">
        <v>40339</v>
      </c>
      <c r="P214" s="27">
        <v>282375</v>
      </c>
      <c r="Q214" s="27">
        <v>237360</v>
      </c>
      <c r="R214" s="27">
        <v>213333</v>
      </c>
      <c r="S214" s="27">
        <v>89567</v>
      </c>
      <c r="T214" s="30">
        <v>3.53</v>
      </c>
      <c r="U214" s="31">
        <v>8</v>
      </c>
      <c r="V214" s="28">
        <v>3</v>
      </c>
      <c r="W214" s="32">
        <v>14598400</v>
      </c>
      <c r="X214" s="23" t="s">
        <v>75</v>
      </c>
      <c r="Y214" s="33">
        <v>433390</v>
      </c>
      <c r="Z214" s="34">
        <v>501820</v>
      </c>
      <c r="AA214" s="34">
        <v>171075</v>
      </c>
      <c r="AB214" s="34">
        <v>262315</v>
      </c>
      <c r="AC214" s="34">
        <v>216695</v>
      </c>
      <c r="AD214" s="34"/>
      <c r="AE214" s="34">
        <v>501820</v>
      </c>
      <c r="AF214" s="34">
        <v>34215</v>
      </c>
      <c r="AG214" s="34">
        <v>923805</v>
      </c>
      <c r="AH214" s="34">
        <v>3010920</v>
      </c>
      <c r="AI214" s="34">
        <v>387770</v>
      </c>
      <c r="AJ214" s="34">
        <v>2246785</v>
      </c>
      <c r="AK214" s="34">
        <v>114050</v>
      </c>
      <c r="AL214" s="34">
        <v>182480</v>
      </c>
      <c r="AM214" s="34">
        <v>399175</v>
      </c>
      <c r="AN214" s="34"/>
      <c r="AO214" s="34">
        <v>2657365</v>
      </c>
      <c r="AP214" s="34"/>
      <c r="AQ214" s="34">
        <v>57025</v>
      </c>
      <c r="AR214" s="34">
        <v>45620</v>
      </c>
      <c r="AS214" s="34">
        <v>102645</v>
      </c>
      <c r="AT214" s="34">
        <v>102645</v>
      </c>
      <c r="AU214" s="34">
        <v>684300</v>
      </c>
      <c r="AV214" s="34"/>
      <c r="AW214" s="34"/>
      <c r="AX214" s="34">
        <v>536035</v>
      </c>
      <c r="AY214" s="34">
        <v>296530</v>
      </c>
      <c r="AZ214" s="34">
        <v>672895</v>
      </c>
      <c r="BA214" s="34">
        <v>22810</v>
      </c>
      <c r="BB214" s="34">
        <v>34215</v>
      </c>
      <c r="BC214" s="35"/>
    </row>
    <row r="215" spans="1:55" x14ac:dyDescent="0.4">
      <c r="A215" s="20">
        <v>43481</v>
      </c>
      <c r="B215" s="21">
        <v>43481.458645833336</v>
      </c>
      <c r="C215" s="22" t="s">
        <v>78</v>
      </c>
      <c r="D215" s="23" t="s">
        <v>74</v>
      </c>
      <c r="E215" s="24">
        <v>22.72</v>
      </c>
      <c r="F215" s="25">
        <v>13</v>
      </c>
      <c r="G215" s="25">
        <v>28.1</v>
      </c>
      <c r="H215" s="25">
        <v>22.34</v>
      </c>
      <c r="I215" s="25">
        <v>22.51</v>
      </c>
      <c r="J215" s="26">
        <v>4428500</v>
      </c>
      <c r="K215" s="27">
        <v>10328000</v>
      </c>
      <c r="L215" s="28">
        <v>111</v>
      </c>
      <c r="M215" s="28">
        <v>35</v>
      </c>
      <c r="N215" s="29">
        <v>3.83</v>
      </c>
      <c r="O215" s="27">
        <v>93045</v>
      </c>
      <c r="P215" s="27">
        <v>356138</v>
      </c>
      <c r="Q215" s="27">
        <v>452736</v>
      </c>
      <c r="R215" s="27">
        <v>246028</v>
      </c>
      <c r="S215" s="27">
        <v>292014</v>
      </c>
      <c r="T215" s="30">
        <v>2.33</v>
      </c>
      <c r="U215" s="31">
        <v>29</v>
      </c>
      <c r="V215" s="28">
        <v>18</v>
      </c>
      <c r="W215" s="32">
        <v>100615520</v>
      </c>
      <c r="X215" s="23" t="s">
        <v>79</v>
      </c>
      <c r="Y215" s="33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>
        <v>100615520</v>
      </c>
      <c r="AX215" s="34"/>
      <c r="AY215" s="34"/>
      <c r="AZ215" s="34"/>
      <c r="BA215" s="34"/>
      <c r="BB215" s="34"/>
      <c r="BC215" s="35"/>
    </row>
    <row r="216" spans="1:55" x14ac:dyDescent="0.4">
      <c r="A216" s="20">
        <v>43480</v>
      </c>
      <c r="B216" s="21">
        <v>43480.458657407406</v>
      </c>
      <c r="C216" s="22" t="s">
        <v>73</v>
      </c>
      <c r="D216" s="23" t="s">
        <v>74</v>
      </c>
      <c r="E216" s="24">
        <v>22.55</v>
      </c>
      <c r="F216" s="25">
        <v>13</v>
      </c>
      <c r="G216" s="25">
        <v>30</v>
      </c>
      <c r="H216" s="25">
        <v>22.23</v>
      </c>
      <c r="I216" s="25">
        <v>22.4</v>
      </c>
      <c r="J216" s="26">
        <v>2495000</v>
      </c>
      <c r="K216" s="27">
        <v>6176000</v>
      </c>
      <c r="L216" s="28">
        <v>111</v>
      </c>
      <c r="M216" s="28">
        <v>34</v>
      </c>
      <c r="N216" s="29">
        <v>3.58</v>
      </c>
      <c r="O216" s="27">
        <v>55640</v>
      </c>
      <c r="P216" s="27">
        <v>199226</v>
      </c>
      <c r="Q216" s="27">
        <v>220411</v>
      </c>
      <c r="R216" s="27">
        <v>124750</v>
      </c>
      <c r="S216" s="27">
        <v>145477</v>
      </c>
      <c r="T216" s="30">
        <v>2.48</v>
      </c>
      <c r="U216" s="31">
        <v>31</v>
      </c>
      <c r="V216" s="28">
        <v>20</v>
      </c>
      <c r="W216" s="32">
        <v>56262250</v>
      </c>
      <c r="X216" s="23" t="s">
        <v>75</v>
      </c>
      <c r="Y216" s="33">
        <v>1217700</v>
      </c>
      <c r="Z216" s="34">
        <v>2390300</v>
      </c>
      <c r="AA216" s="34">
        <v>2976600</v>
      </c>
      <c r="AB216" s="34">
        <v>157850</v>
      </c>
      <c r="AC216" s="34">
        <v>4261950</v>
      </c>
      <c r="AD216" s="34"/>
      <c r="AE216" s="34">
        <v>1093675</v>
      </c>
      <c r="AF216" s="34">
        <v>958375</v>
      </c>
      <c r="AG216" s="34">
        <v>3416325</v>
      </c>
      <c r="AH216" s="34">
        <v>8309675</v>
      </c>
      <c r="AI216" s="34">
        <v>1465750</v>
      </c>
      <c r="AJ216" s="34">
        <v>4825700</v>
      </c>
      <c r="AK216" s="34">
        <v>484825</v>
      </c>
      <c r="AL216" s="34">
        <v>1533400</v>
      </c>
      <c r="AM216" s="34">
        <v>823075</v>
      </c>
      <c r="AN216" s="34"/>
      <c r="AO216" s="34">
        <v>8614100</v>
      </c>
      <c r="AP216" s="34"/>
      <c r="AQ216" s="34">
        <v>563750</v>
      </c>
      <c r="AR216" s="34">
        <v>112750</v>
      </c>
      <c r="AS216" s="34">
        <v>281875</v>
      </c>
      <c r="AT216" s="34">
        <v>101475</v>
      </c>
      <c r="AU216" s="34">
        <v>2954050</v>
      </c>
      <c r="AV216" s="34"/>
      <c r="AW216" s="34"/>
      <c r="AX216" s="34">
        <v>1713800</v>
      </c>
      <c r="AY216" s="34">
        <v>5073750</v>
      </c>
      <c r="AZ216" s="34">
        <v>834350</v>
      </c>
      <c r="BA216" s="34">
        <v>439725</v>
      </c>
      <c r="BB216" s="34">
        <v>1657425</v>
      </c>
      <c r="BC216" s="35"/>
    </row>
    <row r="217" spans="1:55" x14ac:dyDescent="0.4">
      <c r="A217" s="20">
        <v>43479</v>
      </c>
      <c r="B217" s="21">
        <v>43479.459131944444</v>
      </c>
      <c r="C217" s="22" t="s">
        <v>73</v>
      </c>
      <c r="D217" s="23" t="s">
        <v>74</v>
      </c>
      <c r="E217" s="24">
        <v>21.95</v>
      </c>
      <c r="F217" s="25">
        <v>12</v>
      </c>
      <c r="G217" s="25">
        <v>30</v>
      </c>
      <c r="H217" s="25">
        <v>21.69</v>
      </c>
      <c r="I217" s="25">
        <v>21.9</v>
      </c>
      <c r="J217" s="26">
        <v>2495000</v>
      </c>
      <c r="K217" s="27">
        <v>5854000</v>
      </c>
      <c r="L217" s="28">
        <v>76</v>
      </c>
      <c r="M217" s="28">
        <v>32</v>
      </c>
      <c r="N217" s="29">
        <v>2.5299999999999998</v>
      </c>
      <c r="O217" s="27">
        <v>77026</v>
      </c>
      <c r="P217" s="27">
        <v>195133</v>
      </c>
      <c r="Q217" s="27">
        <v>209760</v>
      </c>
      <c r="R217" s="27">
        <v>113409</v>
      </c>
      <c r="S217" s="27">
        <v>139021</v>
      </c>
      <c r="T217" s="30">
        <v>2.35</v>
      </c>
      <c r="U217" s="31">
        <v>30</v>
      </c>
      <c r="V217" s="28">
        <v>22</v>
      </c>
      <c r="W217" s="32">
        <v>54765250</v>
      </c>
      <c r="X217" s="23" t="s">
        <v>75</v>
      </c>
      <c r="Y217" s="33">
        <v>1185300</v>
      </c>
      <c r="Z217" s="34">
        <v>2326700</v>
      </c>
      <c r="AA217" s="34">
        <v>2897400</v>
      </c>
      <c r="AB217" s="34">
        <v>153650</v>
      </c>
      <c r="AC217" s="34">
        <v>4148550</v>
      </c>
      <c r="AD217" s="34"/>
      <c r="AE217" s="34">
        <v>1064575</v>
      </c>
      <c r="AF217" s="34">
        <v>932875</v>
      </c>
      <c r="AG217" s="34">
        <v>3325425</v>
      </c>
      <c r="AH217" s="34">
        <v>8088575</v>
      </c>
      <c r="AI217" s="34">
        <v>1426750</v>
      </c>
      <c r="AJ217" s="34">
        <v>4697300</v>
      </c>
      <c r="AK217" s="34">
        <v>471925</v>
      </c>
      <c r="AL217" s="34">
        <v>1492600</v>
      </c>
      <c r="AM217" s="34">
        <v>801175</v>
      </c>
      <c r="AN217" s="34"/>
      <c r="AO217" s="34">
        <v>8384900</v>
      </c>
      <c r="AP217" s="34"/>
      <c r="AQ217" s="34">
        <v>548750</v>
      </c>
      <c r="AR217" s="34">
        <v>109750</v>
      </c>
      <c r="AS217" s="34">
        <v>274375</v>
      </c>
      <c r="AT217" s="34">
        <v>98775</v>
      </c>
      <c r="AU217" s="34">
        <v>2875450</v>
      </c>
      <c r="AV217" s="34"/>
      <c r="AW217" s="34"/>
      <c r="AX217" s="34">
        <v>1668200</v>
      </c>
      <c r="AY217" s="34">
        <v>4938750</v>
      </c>
      <c r="AZ217" s="34">
        <v>812150</v>
      </c>
      <c r="BA217" s="34">
        <v>428025</v>
      </c>
      <c r="BB217" s="34">
        <v>1613325</v>
      </c>
      <c r="BC217" s="35"/>
    </row>
    <row r="218" spans="1:55" x14ac:dyDescent="0.4">
      <c r="A218" s="20">
        <v>43475</v>
      </c>
      <c r="B218" s="21">
        <v>43475.458622685182</v>
      </c>
      <c r="C218" s="22" t="s">
        <v>73</v>
      </c>
      <c r="D218" s="23" t="s">
        <v>74</v>
      </c>
      <c r="E218" s="24">
        <v>21.4</v>
      </c>
      <c r="F218" s="25">
        <v>12</v>
      </c>
      <c r="G218" s="25">
        <v>30</v>
      </c>
      <c r="H218" s="25">
        <v>21.05</v>
      </c>
      <c r="I218" s="25">
        <v>21.19</v>
      </c>
      <c r="J218" s="26">
        <v>2495000</v>
      </c>
      <c r="K218" s="27">
        <v>5808500</v>
      </c>
      <c r="L218" s="28">
        <v>98</v>
      </c>
      <c r="M218" s="28">
        <v>34</v>
      </c>
      <c r="N218" s="29">
        <v>3.06</v>
      </c>
      <c r="O218" s="27">
        <v>59270</v>
      </c>
      <c r="P218" s="27">
        <v>181516</v>
      </c>
      <c r="Q218" s="27">
        <v>197401</v>
      </c>
      <c r="R218" s="27">
        <v>108478</v>
      </c>
      <c r="S218" s="27">
        <v>102746</v>
      </c>
      <c r="T218" s="30">
        <v>2.33</v>
      </c>
      <c r="U218" s="31">
        <v>32</v>
      </c>
      <c r="V218" s="28">
        <v>23</v>
      </c>
      <c r="W218" s="32">
        <v>53393000</v>
      </c>
      <c r="X218" s="23" t="s">
        <v>75</v>
      </c>
      <c r="Y218" s="33">
        <v>1155600</v>
      </c>
      <c r="Z218" s="34">
        <v>2268400</v>
      </c>
      <c r="AA218" s="34">
        <v>2824800</v>
      </c>
      <c r="AB218" s="34">
        <v>149800</v>
      </c>
      <c r="AC218" s="34">
        <v>4044600</v>
      </c>
      <c r="AD218" s="34"/>
      <c r="AE218" s="34">
        <v>1037900</v>
      </c>
      <c r="AF218" s="34">
        <v>909500</v>
      </c>
      <c r="AG218" s="34">
        <v>3242100</v>
      </c>
      <c r="AH218" s="34">
        <v>7885900</v>
      </c>
      <c r="AI218" s="34">
        <v>1391000</v>
      </c>
      <c r="AJ218" s="34">
        <v>4579600</v>
      </c>
      <c r="AK218" s="34">
        <v>460100</v>
      </c>
      <c r="AL218" s="34">
        <v>1455200</v>
      </c>
      <c r="AM218" s="34">
        <v>781100</v>
      </c>
      <c r="AN218" s="34"/>
      <c r="AO218" s="34">
        <v>8174800</v>
      </c>
      <c r="AP218" s="34"/>
      <c r="AQ218" s="34">
        <v>535000</v>
      </c>
      <c r="AR218" s="34">
        <v>107000</v>
      </c>
      <c r="AS218" s="34">
        <v>267500</v>
      </c>
      <c r="AT218" s="34">
        <v>96300</v>
      </c>
      <c r="AU218" s="34">
        <v>2803400</v>
      </c>
      <c r="AV218" s="34"/>
      <c r="AW218" s="34"/>
      <c r="AX218" s="34">
        <v>1626400</v>
      </c>
      <c r="AY218" s="34">
        <v>4815000</v>
      </c>
      <c r="AZ218" s="34">
        <v>791800</v>
      </c>
      <c r="BA218" s="34">
        <v>417300</v>
      </c>
      <c r="BB218" s="34">
        <v>1572900</v>
      </c>
      <c r="BC218" s="35"/>
    </row>
    <row r="219" spans="1:55" x14ac:dyDescent="0.4">
      <c r="A219" s="20">
        <v>43473</v>
      </c>
      <c r="B219" s="21">
        <v>43473.458657407406</v>
      </c>
      <c r="C219" s="22" t="s">
        <v>73</v>
      </c>
      <c r="D219" s="23" t="s">
        <v>74</v>
      </c>
      <c r="E219" s="24">
        <v>22.4</v>
      </c>
      <c r="F219" s="25">
        <v>13</v>
      </c>
      <c r="G219" s="25">
        <v>30</v>
      </c>
      <c r="H219" s="25">
        <v>22.14</v>
      </c>
      <c r="I219" s="25">
        <v>22.4</v>
      </c>
      <c r="J219" s="26">
        <v>2495000</v>
      </c>
      <c r="K219" s="27">
        <v>4859500</v>
      </c>
      <c r="L219" s="28">
        <v>103</v>
      </c>
      <c r="M219" s="28">
        <v>47</v>
      </c>
      <c r="N219" s="29">
        <v>3.22</v>
      </c>
      <c r="O219" s="27">
        <v>47180</v>
      </c>
      <c r="P219" s="27">
        <v>151859</v>
      </c>
      <c r="Q219" s="27">
        <v>172240</v>
      </c>
      <c r="R219" s="27">
        <v>99800</v>
      </c>
      <c r="S219" s="27">
        <v>96020</v>
      </c>
      <c r="T219" s="30">
        <v>1.95</v>
      </c>
      <c r="U219" s="31">
        <v>32</v>
      </c>
      <c r="V219" s="28">
        <v>25</v>
      </c>
      <c r="W219" s="32">
        <v>55888000</v>
      </c>
      <c r="X219" s="23" t="s">
        <v>75</v>
      </c>
      <c r="Y219" s="33">
        <v>1209600</v>
      </c>
      <c r="Z219" s="34">
        <v>2374400</v>
      </c>
      <c r="AA219" s="34">
        <v>2956800</v>
      </c>
      <c r="AB219" s="34">
        <v>156800</v>
      </c>
      <c r="AC219" s="34">
        <v>4233600</v>
      </c>
      <c r="AD219" s="34"/>
      <c r="AE219" s="34">
        <v>1086400</v>
      </c>
      <c r="AF219" s="34">
        <v>952000</v>
      </c>
      <c r="AG219" s="34">
        <v>3393600</v>
      </c>
      <c r="AH219" s="34">
        <v>8254400</v>
      </c>
      <c r="AI219" s="34">
        <v>1456000</v>
      </c>
      <c r="AJ219" s="34">
        <v>4793600</v>
      </c>
      <c r="AK219" s="34">
        <v>481600</v>
      </c>
      <c r="AL219" s="34">
        <v>1523200</v>
      </c>
      <c r="AM219" s="34">
        <v>817600</v>
      </c>
      <c r="AN219" s="34"/>
      <c r="AO219" s="34">
        <v>8556800</v>
      </c>
      <c r="AP219" s="34"/>
      <c r="AQ219" s="34">
        <v>560000</v>
      </c>
      <c r="AR219" s="34">
        <v>112000</v>
      </c>
      <c r="AS219" s="34">
        <v>280000</v>
      </c>
      <c r="AT219" s="34">
        <v>100800</v>
      </c>
      <c r="AU219" s="34">
        <v>2934400</v>
      </c>
      <c r="AV219" s="34"/>
      <c r="AW219" s="34"/>
      <c r="AX219" s="34">
        <v>1702400</v>
      </c>
      <c r="AY219" s="34">
        <v>5040000</v>
      </c>
      <c r="AZ219" s="34">
        <v>828800</v>
      </c>
      <c r="BA219" s="34">
        <v>436800</v>
      </c>
      <c r="BB219" s="34">
        <v>1646400</v>
      </c>
      <c r="BC219" s="35"/>
    </row>
    <row r="220" spans="1:55" ht="15" thickBot="1" x14ac:dyDescent="0.45">
      <c r="A220" s="36">
        <v>43472</v>
      </c>
      <c r="B220" s="37">
        <v>43472.458599537036</v>
      </c>
      <c r="C220" s="38" t="s">
        <v>73</v>
      </c>
      <c r="D220" s="39" t="s">
        <v>74</v>
      </c>
      <c r="E220" s="40">
        <v>23.01</v>
      </c>
      <c r="F220" s="41">
        <v>13</v>
      </c>
      <c r="G220" s="41">
        <v>30</v>
      </c>
      <c r="H220" s="41">
        <v>22.76</v>
      </c>
      <c r="I220" s="41">
        <v>23.1</v>
      </c>
      <c r="J220" s="42">
        <v>2495000</v>
      </c>
      <c r="K220" s="43">
        <v>6006000</v>
      </c>
      <c r="L220" s="44">
        <v>98</v>
      </c>
      <c r="M220" s="44">
        <v>62</v>
      </c>
      <c r="N220" s="45">
        <v>3.63</v>
      </c>
      <c r="O220" s="43">
        <v>61286</v>
      </c>
      <c r="P220" s="43">
        <v>222444</v>
      </c>
      <c r="Q220" s="43">
        <v>277007</v>
      </c>
      <c r="R220" s="43">
        <v>108478</v>
      </c>
      <c r="S220" s="43">
        <v>121828</v>
      </c>
      <c r="T220" s="46">
        <v>2.41</v>
      </c>
      <c r="U220" s="47">
        <v>27</v>
      </c>
      <c r="V220" s="44">
        <v>23</v>
      </c>
      <c r="W220" s="48">
        <v>57409950</v>
      </c>
      <c r="X220" s="39" t="s">
        <v>75</v>
      </c>
      <c r="Y220" s="49">
        <v>1242540</v>
      </c>
      <c r="Z220" s="50">
        <v>2439060</v>
      </c>
      <c r="AA220" s="50">
        <v>3037320</v>
      </c>
      <c r="AB220" s="50">
        <v>161070</v>
      </c>
      <c r="AC220" s="50">
        <v>4348890</v>
      </c>
      <c r="AD220" s="50"/>
      <c r="AE220" s="50">
        <v>1115985</v>
      </c>
      <c r="AF220" s="50">
        <v>977925</v>
      </c>
      <c r="AG220" s="50">
        <v>3486015</v>
      </c>
      <c r="AH220" s="50">
        <v>8479185</v>
      </c>
      <c r="AI220" s="50">
        <v>1495650</v>
      </c>
      <c r="AJ220" s="50">
        <v>4924140</v>
      </c>
      <c r="AK220" s="50">
        <v>494715</v>
      </c>
      <c r="AL220" s="50">
        <v>1564680</v>
      </c>
      <c r="AM220" s="50">
        <v>839865</v>
      </c>
      <c r="AN220" s="50"/>
      <c r="AO220" s="50">
        <v>8789820</v>
      </c>
      <c r="AP220" s="50"/>
      <c r="AQ220" s="50">
        <v>575250</v>
      </c>
      <c r="AR220" s="50">
        <v>115050</v>
      </c>
      <c r="AS220" s="50">
        <v>287625</v>
      </c>
      <c r="AT220" s="50">
        <v>103545</v>
      </c>
      <c r="AU220" s="50">
        <v>3014310</v>
      </c>
      <c r="AV220" s="50"/>
      <c r="AW220" s="50"/>
      <c r="AX220" s="50">
        <v>1748760</v>
      </c>
      <c r="AY220" s="50">
        <v>5177250</v>
      </c>
      <c r="AZ220" s="50">
        <v>851370</v>
      </c>
      <c r="BA220" s="50">
        <v>448695</v>
      </c>
      <c r="BB220" s="50">
        <v>1691235</v>
      </c>
      <c r="BC220" s="51"/>
    </row>
  </sheetData>
  <mergeCells count="11">
    <mergeCell ref="T2:BC2"/>
    <mergeCell ref="J2:S2"/>
    <mergeCell ref="A2:I2"/>
    <mergeCell ref="C1:I1"/>
    <mergeCell ref="A1:B1"/>
    <mergeCell ref="A3:D3"/>
    <mergeCell ref="Y3:BC3"/>
    <mergeCell ref="W3:X3"/>
    <mergeCell ref="U3:V3"/>
    <mergeCell ref="J3:T3"/>
    <mergeCell ref="E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1B61-F497-470B-9B8D-E0B4336CA4F6}">
  <dimension ref="A1:BF227"/>
  <sheetViews>
    <sheetView topLeftCell="A2" workbookViewId="0">
      <selection activeCell="A7" sqref="A7"/>
    </sheetView>
  </sheetViews>
  <sheetFormatPr defaultRowHeight="14.6" x14ac:dyDescent="0.4"/>
  <cols>
    <col min="1" max="1" width="9.765625" bestFit="1" customWidth="1"/>
  </cols>
  <sheetData>
    <row r="1" spans="1:58" x14ac:dyDescent="0.4">
      <c r="A1" s="98"/>
      <c r="B1" s="98"/>
      <c r="C1" s="52" t="s">
        <v>84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</row>
    <row r="2" spans="1:58" x14ac:dyDescent="0.4">
      <c r="A2" s="99" t="s">
        <v>11</v>
      </c>
      <c r="B2" s="98"/>
      <c r="C2" s="100" t="s">
        <v>12</v>
      </c>
      <c r="D2" s="98"/>
      <c r="E2" s="98"/>
      <c r="F2" s="98"/>
      <c r="G2" s="98"/>
      <c r="H2" s="98"/>
      <c r="I2" s="98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</row>
    <row r="3" spans="1:58" x14ac:dyDescent="0.4">
      <c r="A3" s="101" t="s">
        <v>12</v>
      </c>
      <c r="B3" s="98"/>
      <c r="C3" s="98"/>
      <c r="D3" s="98"/>
      <c r="E3" s="98"/>
      <c r="F3" s="98"/>
      <c r="G3" s="98"/>
      <c r="H3" s="98"/>
      <c r="I3" s="98"/>
      <c r="J3" s="98"/>
      <c r="K3" s="101" t="s">
        <v>13</v>
      </c>
      <c r="L3" s="98"/>
      <c r="M3" s="98"/>
      <c r="N3" s="98"/>
      <c r="O3" s="98"/>
      <c r="P3" s="98"/>
      <c r="Q3" s="98"/>
      <c r="R3" s="98"/>
      <c r="S3" s="98"/>
      <c r="T3" s="98"/>
      <c r="U3" s="101" t="s">
        <v>12</v>
      </c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</row>
    <row r="4" spans="1:58" x14ac:dyDescent="0.4">
      <c r="A4" s="102" t="s">
        <v>14</v>
      </c>
      <c r="B4" s="103"/>
      <c r="C4" s="103"/>
      <c r="D4" s="103"/>
      <c r="E4" s="103"/>
      <c r="F4" s="102" t="s">
        <v>15</v>
      </c>
      <c r="G4" s="103"/>
      <c r="H4" s="103"/>
      <c r="I4" s="103"/>
      <c r="J4" s="103"/>
      <c r="K4" s="102" t="s">
        <v>16</v>
      </c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2" t="s">
        <v>17</v>
      </c>
      <c r="W4" s="103"/>
      <c r="X4" s="102" t="s">
        <v>18</v>
      </c>
      <c r="Y4" s="103"/>
      <c r="Z4" s="102" t="s">
        <v>18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4"/>
    </row>
    <row r="5" spans="1:58" ht="64.75" thickBot="1" x14ac:dyDescent="0.45">
      <c r="A5" s="58" t="s">
        <v>2</v>
      </c>
      <c r="B5" s="58" t="s">
        <v>19</v>
      </c>
      <c r="C5" s="58" t="s">
        <v>20</v>
      </c>
      <c r="D5" s="58" t="s">
        <v>21</v>
      </c>
      <c r="E5" s="58" t="s">
        <v>85</v>
      </c>
      <c r="F5" s="58" t="s">
        <v>22</v>
      </c>
      <c r="G5" s="58" t="s">
        <v>23</v>
      </c>
      <c r="H5" s="58" t="s">
        <v>24</v>
      </c>
      <c r="I5" s="58" t="s">
        <v>25</v>
      </c>
      <c r="J5" s="58" t="s">
        <v>26</v>
      </c>
      <c r="K5" s="58" t="s">
        <v>27</v>
      </c>
      <c r="L5" s="58" t="s">
        <v>28</v>
      </c>
      <c r="M5" s="58" t="s">
        <v>29</v>
      </c>
      <c r="N5" s="58" t="s">
        <v>30</v>
      </c>
      <c r="O5" s="58" t="s">
        <v>31</v>
      </c>
      <c r="P5" s="58" t="s">
        <v>32</v>
      </c>
      <c r="Q5" s="58" t="s">
        <v>33</v>
      </c>
      <c r="R5" s="58" t="s">
        <v>34</v>
      </c>
      <c r="S5" s="58" t="s">
        <v>35</v>
      </c>
      <c r="T5" s="58" t="s">
        <v>36</v>
      </c>
      <c r="U5" s="58" t="s">
        <v>37</v>
      </c>
      <c r="V5" s="58" t="s">
        <v>38</v>
      </c>
      <c r="W5" s="58" t="s">
        <v>39</v>
      </c>
      <c r="X5" s="58" t="s">
        <v>40</v>
      </c>
      <c r="Y5" s="58" t="s">
        <v>41</v>
      </c>
      <c r="Z5" s="58" t="s">
        <v>42</v>
      </c>
      <c r="AA5" s="58" t="s">
        <v>43</v>
      </c>
      <c r="AB5" s="58" t="s">
        <v>44</v>
      </c>
      <c r="AC5" s="58" t="s">
        <v>45</v>
      </c>
      <c r="AD5" s="58" t="s">
        <v>46</v>
      </c>
      <c r="AE5" s="58" t="s">
        <v>47</v>
      </c>
      <c r="AF5" s="58" t="s">
        <v>48</v>
      </c>
      <c r="AG5" s="58" t="s">
        <v>49</v>
      </c>
      <c r="AH5" s="58" t="s">
        <v>50</v>
      </c>
      <c r="AI5" s="58" t="s">
        <v>51</v>
      </c>
      <c r="AJ5" s="58" t="s">
        <v>52</v>
      </c>
      <c r="AK5" s="58" t="s">
        <v>53</v>
      </c>
      <c r="AL5" s="58" t="s">
        <v>54</v>
      </c>
      <c r="AM5" s="58" t="s">
        <v>55</v>
      </c>
      <c r="AN5" s="58" t="s">
        <v>56</v>
      </c>
      <c r="AO5" s="58" t="s">
        <v>86</v>
      </c>
      <c r="AP5" s="58" t="s">
        <v>57</v>
      </c>
      <c r="AQ5" s="58" t="s">
        <v>58</v>
      </c>
      <c r="AR5" s="58" t="s">
        <v>59</v>
      </c>
      <c r="AS5" s="58" t="s">
        <v>60</v>
      </c>
      <c r="AT5" s="58" t="s">
        <v>61</v>
      </c>
      <c r="AU5" s="58" t="s">
        <v>62</v>
      </c>
      <c r="AV5" s="58" t="s">
        <v>87</v>
      </c>
      <c r="AW5" s="58" t="s">
        <v>63</v>
      </c>
      <c r="AX5" s="58" t="s">
        <v>64</v>
      </c>
      <c r="AY5" s="58" t="s">
        <v>65</v>
      </c>
      <c r="AZ5" s="58" t="s">
        <v>66</v>
      </c>
      <c r="BA5" s="58" t="s">
        <v>67</v>
      </c>
      <c r="BB5" s="58" t="s">
        <v>68</v>
      </c>
      <c r="BC5" s="58" t="s">
        <v>69</v>
      </c>
      <c r="BD5" s="58" t="s">
        <v>70</v>
      </c>
      <c r="BE5" s="58" t="s">
        <v>71</v>
      </c>
      <c r="BF5" s="58" t="s">
        <v>88</v>
      </c>
    </row>
    <row r="6" spans="1:58" ht="15" thickTop="1" x14ac:dyDescent="0.4">
      <c r="A6" s="62">
        <v>44914</v>
      </c>
      <c r="B6" s="59">
        <v>44914.459065162038</v>
      </c>
      <c r="C6" s="60" t="s">
        <v>89</v>
      </c>
      <c r="D6" s="61" t="s">
        <v>74</v>
      </c>
      <c r="E6" s="68" t="s">
        <v>90</v>
      </c>
      <c r="F6" s="72">
        <v>84.1</v>
      </c>
      <c r="G6" s="71">
        <v>75</v>
      </c>
      <c r="H6" s="71">
        <v>95</v>
      </c>
      <c r="I6" s="71">
        <v>85.95</v>
      </c>
      <c r="J6" s="76">
        <v>85.24</v>
      </c>
      <c r="K6" s="80">
        <v>2568500</v>
      </c>
      <c r="L6" s="79">
        <v>3235500</v>
      </c>
      <c r="M6" s="79">
        <v>63</v>
      </c>
      <c r="N6" s="79">
        <v>57</v>
      </c>
      <c r="O6" s="71">
        <v>3.94</v>
      </c>
      <c r="P6" s="79">
        <v>51357</v>
      </c>
      <c r="Q6" s="79">
        <v>202219</v>
      </c>
      <c r="R6" s="79">
        <v>276989</v>
      </c>
      <c r="S6" s="79">
        <v>197577</v>
      </c>
      <c r="T6" s="79">
        <v>280314</v>
      </c>
      <c r="U6" s="76">
        <v>1.26</v>
      </c>
      <c r="V6" s="80">
        <v>16</v>
      </c>
      <c r="W6" s="84">
        <v>13</v>
      </c>
      <c r="X6" s="80">
        <v>216010850</v>
      </c>
      <c r="Y6" s="68" t="s">
        <v>75</v>
      </c>
      <c r="Z6" s="80">
        <v>2186600</v>
      </c>
      <c r="AA6" s="79">
        <v>5340350</v>
      </c>
      <c r="AB6" s="79">
        <v>9251000</v>
      </c>
      <c r="AC6" s="79">
        <v>1051250</v>
      </c>
      <c r="AD6" s="79">
        <v>6223400</v>
      </c>
      <c r="AE6" s="60" t="s">
        <v>12</v>
      </c>
      <c r="AF6" s="79">
        <v>3490150</v>
      </c>
      <c r="AG6" s="79">
        <v>1976350</v>
      </c>
      <c r="AH6" s="79">
        <v>10470450</v>
      </c>
      <c r="AI6" s="79">
        <v>25776650</v>
      </c>
      <c r="AJ6" s="79">
        <v>4457300</v>
      </c>
      <c r="AK6" s="79">
        <v>15095950</v>
      </c>
      <c r="AL6" s="79">
        <v>1219450</v>
      </c>
      <c r="AM6" s="79">
        <v>5760850</v>
      </c>
      <c r="AN6" s="79">
        <v>0</v>
      </c>
      <c r="AO6" s="79">
        <v>26071000</v>
      </c>
      <c r="AP6" s="79">
        <v>0</v>
      </c>
      <c r="AQ6" s="79">
        <v>26575600</v>
      </c>
      <c r="AR6" s="79">
        <v>42050</v>
      </c>
      <c r="AS6" s="79">
        <v>168200</v>
      </c>
      <c r="AT6" s="79">
        <v>0</v>
      </c>
      <c r="AU6" s="79">
        <v>1471750</v>
      </c>
      <c r="AV6" s="79">
        <v>42975100</v>
      </c>
      <c r="AW6" s="79">
        <v>798950</v>
      </c>
      <c r="AX6" s="79">
        <v>8704350</v>
      </c>
      <c r="AY6" s="79">
        <v>1555850</v>
      </c>
      <c r="AZ6" s="60" t="s">
        <v>12</v>
      </c>
      <c r="BA6" s="79">
        <v>5172150</v>
      </c>
      <c r="BB6" s="79">
        <v>3700400</v>
      </c>
      <c r="BC6" s="79">
        <v>1345600</v>
      </c>
      <c r="BD6" s="79">
        <v>2018400</v>
      </c>
      <c r="BE6" s="79">
        <v>3111700</v>
      </c>
      <c r="BF6" s="88" t="s">
        <v>12</v>
      </c>
    </row>
    <row r="7" spans="1:58" x14ac:dyDescent="0.4">
      <c r="A7" s="63">
        <v>44911</v>
      </c>
      <c r="B7" s="53">
        <v>44911.458965590275</v>
      </c>
      <c r="C7" s="54" t="s">
        <v>91</v>
      </c>
      <c r="D7" s="55" t="s">
        <v>74</v>
      </c>
      <c r="E7" s="69" t="s">
        <v>90</v>
      </c>
      <c r="F7" s="73">
        <v>83.41</v>
      </c>
      <c r="G7" s="57">
        <v>45</v>
      </c>
      <c r="H7" s="57">
        <v>92</v>
      </c>
      <c r="I7" s="57">
        <v>83.57</v>
      </c>
      <c r="J7" s="77">
        <v>83.7</v>
      </c>
      <c r="K7" s="81">
        <v>1865500</v>
      </c>
      <c r="L7" s="56">
        <v>4316500</v>
      </c>
      <c r="M7" s="56">
        <v>83</v>
      </c>
      <c r="N7" s="56">
        <v>51</v>
      </c>
      <c r="O7" s="57">
        <v>4.6100000000000003</v>
      </c>
      <c r="P7" s="56">
        <v>52006</v>
      </c>
      <c r="Q7" s="56">
        <v>239806</v>
      </c>
      <c r="R7" s="56">
        <v>346218</v>
      </c>
      <c r="S7" s="56">
        <v>116594</v>
      </c>
      <c r="T7" s="56">
        <v>153157</v>
      </c>
      <c r="U7" s="77">
        <v>2.31</v>
      </c>
      <c r="V7" s="81">
        <v>18</v>
      </c>
      <c r="W7" s="85">
        <v>16</v>
      </c>
      <c r="X7" s="81">
        <v>155601355</v>
      </c>
      <c r="Y7" s="69" t="s">
        <v>77</v>
      </c>
      <c r="Z7" s="87" t="s">
        <v>12</v>
      </c>
      <c r="AA7" s="54" t="s">
        <v>12</v>
      </c>
      <c r="AB7" s="54" t="s">
        <v>12</v>
      </c>
      <c r="AC7" s="54" t="s">
        <v>12</v>
      </c>
      <c r="AD7" s="54" t="s">
        <v>12</v>
      </c>
      <c r="AE7" s="56">
        <v>155601355</v>
      </c>
      <c r="AF7" s="54" t="s">
        <v>12</v>
      </c>
      <c r="AG7" s="54" t="s">
        <v>12</v>
      </c>
      <c r="AH7" s="54" t="s">
        <v>12</v>
      </c>
      <c r="AI7" s="54" t="s">
        <v>12</v>
      </c>
      <c r="AJ7" s="54" t="s">
        <v>12</v>
      </c>
      <c r="AK7" s="54" t="s">
        <v>12</v>
      </c>
      <c r="AL7" s="54" t="s">
        <v>12</v>
      </c>
      <c r="AM7" s="54" t="s">
        <v>12</v>
      </c>
      <c r="AN7" s="54" t="s">
        <v>12</v>
      </c>
      <c r="AO7" s="54" t="s">
        <v>12</v>
      </c>
      <c r="AP7" s="54" t="s">
        <v>12</v>
      </c>
      <c r="AQ7" s="54" t="s">
        <v>12</v>
      </c>
      <c r="AR7" s="54" t="s">
        <v>12</v>
      </c>
      <c r="AS7" s="54" t="s">
        <v>12</v>
      </c>
      <c r="AT7" s="54" t="s">
        <v>12</v>
      </c>
      <c r="AU7" s="54" t="s">
        <v>12</v>
      </c>
      <c r="AV7" s="54" t="s">
        <v>12</v>
      </c>
      <c r="AW7" s="54" t="s">
        <v>12</v>
      </c>
      <c r="AX7" s="54" t="s">
        <v>12</v>
      </c>
      <c r="AY7" s="54" t="s">
        <v>12</v>
      </c>
      <c r="AZ7" s="54" t="s">
        <v>12</v>
      </c>
      <c r="BA7" s="54" t="s">
        <v>12</v>
      </c>
      <c r="BB7" s="54" t="s">
        <v>12</v>
      </c>
      <c r="BC7" s="54" t="s">
        <v>12</v>
      </c>
      <c r="BD7" s="54" t="s">
        <v>12</v>
      </c>
      <c r="BE7" s="54" t="s">
        <v>12</v>
      </c>
      <c r="BF7" s="89" t="s">
        <v>12</v>
      </c>
    </row>
    <row r="8" spans="1:58" x14ac:dyDescent="0.4">
      <c r="A8" s="63">
        <v>44910</v>
      </c>
      <c r="B8" s="53">
        <v>44910.458674421294</v>
      </c>
      <c r="C8" s="54" t="s">
        <v>89</v>
      </c>
      <c r="D8" s="55" t="s">
        <v>74</v>
      </c>
      <c r="E8" s="69" t="s">
        <v>90</v>
      </c>
      <c r="F8" s="73">
        <v>86.16</v>
      </c>
      <c r="G8" s="57">
        <v>45</v>
      </c>
      <c r="H8" s="57">
        <v>92.01</v>
      </c>
      <c r="I8" s="57">
        <v>85.59</v>
      </c>
      <c r="J8" s="77">
        <v>86.15</v>
      </c>
      <c r="K8" s="81">
        <v>2510500</v>
      </c>
      <c r="L8" s="56">
        <v>4378500</v>
      </c>
      <c r="M8" s="56">
        <v>66</v>
      </c>
      <c r="N8" s="56">
        <v>31</v>
      </c>
      <c r="O8" s="57">
        <v>3.88</v>
      </c>
      <c r="P8" s="56">
        <v>66341</v>
      </c>
      <c r="Q8" s="56">
        <v>257559</v>
      </c>
      <c r="R8" s="56">
        <v>370674</v>
      </c>
      <c r="S8" s="56">
        <v>179321</v>
      </c>
      <c r="T8" s="56">
        <v>212582</v>
      </c>
      <c r="U8" s="77">
        <v>1.74</v>
      </c>
      <c r="V8" s="81">
        <v>17</v>
      </c>
      <c r="W8" s="85">
        <v>14</v>
      </c>
      <c r="X8" s="81">
        <v>216304680</v>
      </c>
      <c r="Y8" s="69" t="s">
        <v>75</v>
      </c>
      <c r="Z8" s="81">
        <v>3187920</v>
      </c>
      <c r="AA8" s="56">
        <v>5471160</v>
      </c>
      <c r="AB8" s="56">
        <v>8788320</v>
      </c>
      <c r="AC8" s="56">
        <v>818520</v>
      </c>
      <c r="AD8" s="56">
        <v>5815800</v>
      </c>
      <c r="AE8" s="54" t="s">
        <v>12</v>
      </c>
      <c r="AF8" s="56">
        <v>2972520</v>
      </c>
      <c r="AG8" s="56">
        <v>2714040</v>
      </c>
      <c r="AH8" s="56">
        <v>10770000</v>
      </c>
      <c r="AI8" s="56">
        <v>26106480</v>
      </c>
      <c r="AJ8" s="56">
        <v>4221840</v>
      </c>
      <c r="AK8" s="56">
        <v>15250320</v>
      </c>
      <c r="AL8" s="56">
        <v>1163160</v>
      </c>
      <c r="AM8" s="56">
        <v>4954200</v>
      </c>
      <c r="AN8" s="56">
        <v>0</v>
      </c>
      <c r="AO8" s="56">
        <v>25331040</v>
      </c>
      <c r="AP8" s="56">
        <v>0</v>
      </c>
      <c r="AQ8" s="56">
        <v>26278800</v>
      </c>
      <c r="AR8" s="56">
        <v>0</v>
      </c>
      <c r="AS8" s="56">
        <v>861600</v>
      </c>
      <c r="AT8" s="56">
        <v>0</v>
      </c>
      <c r="AU8" s="56">
        <v>646200</v>
      </c>
      <c r="AV8" s="56">
        <v>43295400</v>
      </c>
      <c r="AW8" s="56">
        <v>301560</v>
      </c>
      <c r="AX8" s="56">
        <v>9348360</v>
      </c>
      <c r="AY8" s="56">
        <v>1809360</v>
      </c>
      <c r="AZ8" s="54" t="s">
        <v>12</v>
      </c>
      <c r="BA8" s="56">
        <v>5428080</v>
      </c>
      <c r="BB8" s="56">
        <v>4264920</v>
      </c>
      <c r="BC8" s="56">
        <v>2283240</v>
      </c>
      <c r="BD8" s="56">
        <v>1378560</v>
      </c>
      <c r="BE8" s="56">
        <v>2843280</v>
      </c>
      <c r="BF8" s="89" t="s">
        <v>12</v>
      </c>
    </row>
    <row r="9" spans="1:58" x14ac:dyDescent="0.4">
      <c r="A9" s="63">
        <v>44908</v>
      </c>
      <c r="B9" s="53">
        <v>44908.459730011571</v>
      </c>
      <c r="C9" s="54" t="s">
        <v>89</v>
      </c>
      <c r="D9" s="55" t="s">
        <v>74</v>
      </c>
      <c r="E9" s="69" t="s">
        <v>90</v>
      </c>
      <c r="F9" s="73">
        <v>89.01</v>
      </c>
      <c r="G9" s="57">
        <v>45</v>
      </c>
      <c r="H9" s="57">
        <v>95</v>
      </c>
      <c r="I9" s="57">
        <v>88.13</v>
      </c>
      <c r="J9" s="77">
        <v>89.02</v>
      </c>
      <c r="K9" s="81">
        <v>2510500</v>
      </c>
      <c r="L9" s="56">
        <v>4993500</v>
      </c>
      <c r="M9" s="56">
        <v>82</v>
      </c>
      <c r="N9" s="56">
        <v>42</v>
      </c>
      <c r="O9" s="57">
        <v>4.5599999999999996</v>
      </c>
      <c r="P9" s="56">
        <v>60896</v>
      </c>
      <c r="Q9" s="56">
        <v>277417</v>
      </c>
      <c r="R9" s="56">
        <v>360612</v>
      </c>
      <c r="S9" s="56">
        <v>179321</v>
      </c>
      <c r="T9" s="56">
        <v>214991</v>
      </c>
      <c r="U9" s="77">
        <v>1.99</v>
      </c>
      <c r="V9" s="81">
        <v>18</v>
      </c>
      <c r="W9" s="85">
        <v>14</v>
      </c>
      <c r="X9" s="81">
        <v>223459605</v>
      </c>
      <c r="Y9" s="69" t="s">
        <v>75</v>
      </c>
      <c r="Z9" s="81">
        <v>3293370</v>
      </c>
      <c r="AA9" s="56">
        <v>5652135</v>
      </c>
      <c r="AB9" s="56">
        <v>9079020</v>
      </c>
      <c r="AC9" s="56">
        <v>845595</v>
      </c>
      <c r="AD9" s="56">
        <v>6008175</v>
      </c>
      <c r="AE9" s="54" t="s">
        <v>12</v>
      </c>
      <c r="AF9" s="56">
        <v>3070845</v>
      </c>
      <c r="AG9" s="56">
        <v>2803815</v>
      </c>
      <c r="AH9" s="56">
        <v>11126250</v>
      </c>
      <c r="AI9" s="56">
        <v>26970030</v>
      </c>
      <c r="AJ9" s="56">
        <v>4361490</v>
      </c>
      <c r="AK9" s="56">
        <v>15754770</v>
      </c>
      <c r="AL9" s="56">
        <v>1201635</v>
      </c>
      <c r="AM9" s="56">
        <v>5118075</v>
      </c>
      <c r="AN9" s="56">
        <v>0</v>
      </c>
      <c r="AO9" s="56">
        <v>26168940</v>
      </c>
      <c r="AP9" s="56">
        <v>0</v>
      </c>
      <c r="AQ9" s="56">
        <v>27148050</v>
      </c>
      <c r="AR9" s="56">
        <v>0</v>
      </c>
      <c r="AS9" s="56">
        <v>890100</v>
      </c>
      <c r="AT9" s="56">
        <v>0</v>
      </c>
      <c r="AU9" s="56">
        <v>667575</v>
      </c>
      <c r="AV9" s="56">
        <v>44727525</v>
      </c>
      <c r="AW9" s="56">
        <v>311535</v>
      </c>
      <c r="AX9" s="56">
        <v>9657585</v>
      </c>
      <c r="AY9" s="56">
        <v>1869210</v>
      </c>
      <c r="AZ9" s="54" t="s">
        <v>12</v>
      </c>
      <c r="BA9" s="56">
        <v>5607630</v>
      </c>
      <c r="BB9" s="56">
        <v>4405995</v>
      </c>
      <c r="BC9" s="56">
        <v>2358765</v>
      </c>
      <c r="BD9" s="56">
        <v>1424160</v>
      </c>
      <c r="BE9" s="56">
        <v>2937330</v>
      </c>
      <c r="BF9" s="89" t="s">
        <v>12</v>
      </c>
    </row>
    <row r="10" spans="1:58" x14ac:dyDescent="0.4">
      <c r="A10" s="63">
        <v>44907</v>
      </c>
      <c r="B10" s="53">
        <v>44907.458710358798</v>
      </c>
      <c r="C10" s="54" t="s">
        <v>89</v>
      </c>
      <c r="D10" s="55" t="s">
        <v>74</v>
      </c>
      <c r="E10" s="69" t="s">
        <v>90</v>
      </c>
      <c r="F10" s="73">
        <v>88.35</v>
      </c>
      <c r="G10" s="57">
        <v>65</v>
      </c>
      <c r="H10" s="57">
        <v>95</v>
      </c>
      <c r="I10" s="57">
        <v>87.7</v>
      </c>
      <c r="J10" s="77">
        <v>87.99</v>
      </c>
      <c r="K10" s="81">
        <v>2510500</v>
      </c>
      <c r="L10" s="56">
        <v>5522500</v>
      </c>
      <c r="M10" s="56">
        <v>104</v>
      </c>
      <c r="N10" s="56">
        <v>39</v>
      </c>
      <c r="O10" s="57">
        <v>4.95</v>
      </c>
      <c r="P10" s="56">
        <v>53101</v>
      </c>
      <c r="Q10" s="56">
        <v>262976</v>
      </c>
      <c r="R10" s="56">
        <v>365700</v>
      </c>
      <c r="S10" s="56">
        <v>167367</v>
      </c>
      <c r="T10" s="56">
        <v>225472</v>
      </c>
      <c r="U10" s="77">
        <v>2.2000000000000002</v>
      </c>
      <c r="V10" s="81">
        <v>21</v>
      </c>
      <c r="W10" s="85">
        <v>15</v>
      </c>
      <c r="X10" s="81">
        <v>221802675</v>
      </c>
      <c r="Y10" s="69" t="s">
        <v>75</v>
      </c>
      <c r="Z10" s="81">
        <v>3268950</v>
      </c>
      <c r="AA10" s="56">
        <v>5610225</v>
      </c>
      <c r="AB10" s="56">
        <v>9011700</v>
      </c>
      <c r="AC10" s="56">
        <v>839325</v>
      </c>
      <c r="AD10" s="56">
        <v>5963625</v>
      </c>
      <c r="AE10" s="54" t="s">
        <v>12</v>
      </c>
      <c r="AF10" s="56">
        <v>3048075</v>
      </c>
      <c r="AG10" s="56">
        <v>2783025</v>
      </c>
      <c r="AH10" s="56">
        <v>11043750</v>
      </c>
      <c r="AI10" s="56">
        <v>26770050</v>
      </c>
      <c r="AJ10" s="56">
        <v>4329150</v>
      </c>
      <c r="AK10" s="56">
        <v>15637950</v>
      </c>
      <c r="AL10" s="56">
        <v>1192725</v>
      </c>
      <c r="AM10" s="56">
        <v>5080125</v>
      </c>
      <c r="AN10" s="56">
        <v>0</v>
      </c>
      <c r="AO10" s="56">
        <v>25974900</v>
      </c>
      <c r="AP10" s="56">
        <v>0</v>
      </c>
      <c r="AQ10" s="56">
        <v>26946750</v>
      </c>
      <c r="AR10" s="56">
        <v>0</v>
      </c>
      <c r="AS10" s="56">
        <v>883500</v>
      </c>
      <c r="AT10" s="56">
        <v>0</v>
      </c>
      <c r="AU10" s="56">
        <v>662625</v>
      </c>
      <c r="AV10" s="56">
        <v>44395875</v>
      </c>
      <c r="AW10" s="56">
        <v>309225</v>
      </c>
      <c r="AX10" s="56">
        <v>9585975</v>
      </c>
      <c r="AY10" s="56">
        <v>1855350</v>
      </c>
      <c r="AZ10" s="54" t="s">
        <v>12</v>
      </c>
      <c r="BA10" s="56">
        <v>5566050</v>
      </c>
      <c r="BB10" s="56">
        <v>4373325</v>
      </c>
      <c r="BC10" s="56">
        <v>2341275</v>
      </c>
      <c r="BD10" s="56">
        <v>1413600</v>
      </c>
      <c r="BE10" s="56">
        <v>2915550</v>
      </c>
      <c r="BF10" s="89" t="s">
        <v>12</v>
      </c>
    </row>
    <row r="11" spans="1:58" x14ac:dyDescent="0.4">
      <c r="A11" s="63">
        <v>44904</v>
      </c>
      <c r="B11" s="53">
        <v>44904.458959328702</v>
      </c>
      <c r="C11" s="54" t="s">
        <v>91</v>
      </c>
      <c r="D11" s="55" t="s">
        <v>74</v>
      </c>
      <c r="E11" s="69" t="s">
        <v>90</v>
      </c>
      <c r="F11" s="73">
        <v>88.26</v>
      </c>
      <c r="G11" s="57">
        <v>45</v>
      </c>
      <c r="H11" s="57">
        <v>96</v>
      </c>
      <c r="I11" s="57">
        <v>87.14</v>
      </c>
      <c r="J11" s="77">
        <v>88.21</v>
      </c>
      <c r="K11" s="81">
        <v>1861500</v>
      </c>
      <c r="L11" s="56">
        <v>4285000</v>
      </c>
      <c r="M11" s="56">
        <v>76</v>
      </c>
      <c r="N11" s="56">
        <v>36</v>
      </c>
      <c r="O11" s="57">
        <v>4.47</v>
      </c>
      <c r="P11" s="56">
        <v>56382</v>
      </c>
      <c r="Q11" s="56">
        <v>252059</v>
      </c>
      <c r="R11" s="56">
        <v>386495</v>
      </c>
      <c r="S11" s="56">
        <v>132964</v>
      </c>
      <c r="T11" s="56">
        <v>262744</v>
      </c>
      <c r="U11" s="77">
        <v>2.2999999999999998</v>
      </c>
      <c r="V11" s="81">
        <v>17</v>
      </c>
      <c r="W11" s="85">
        <v>14</v>
      </c>
      <c r="X11" s="81">
        <v>164295990</v>
      </c>
      <c r="Y11" s="69" t="s">
        <v>77</v>
      </c>
      <c r="Z11" s="87" t="s">
        <v>12</v>
      </c>
      <c r="AA11" s="54" t="s">
        <v>12</v>
      </c>
      <c r="AB11" s="54" t="s">
        <v>12</v>
      </c>
      <c r="AC11" s="54" t="s">
        <v>12</v>
      </c>
      <c r="AD11" s="54" t="s">
        <v>12</v>
      </c>
      <c r="AE11" s="56">
        <v>164295990</v>
      </c>
      <c r="AF11" s="54" t="s">
        <v>12</v>
      </c>
      <c r="AG11" s="54" t="s">
        <v>12</v>
      </c>
      <c r="AH11" s="54" t="s">
        <v>12</v>
      </c>
      <c r="AI11" s="54" t="s">
        <v>12</v>
      </c>
      <c r="AJ11" s="54" t="s">
        <v>12</v>
      </c>
      <c r="AK11" s="54" t="s">
        <v>12</v>
      </c>
      <c r="AL11" s="54" t="s">
        <v>12</v>
      </c>
      <c r="AM11" s="54" t="s">
        <v>12</v>
      </c>
      <c r="AN11" s="54" t="s">
        <v>12</v>
      </c>
      <c r="AO11" s="54" t="s">
        <v>12</v>
      </c>
      <c r="AP11" s="54" t="s">
        <v>12</v>
      </c>
      <c r="AQ11" s="54" t="s">
        <v>12</v>
      </c>
      <c r="AR11" s="54" t="s">
        <v>12</v>
      </c>
      <c r="AS11" s="54" t="s">
        <v>12</v>
      </c>
      <c r="AT11" s="54" t="s">
        <v>12</v>
      </c>
      <c r="AU11" s="54" t="s">
        <v>12</v>
      </c>
      <c r="AV11" s="54" t="s">
        <v>12</v>
      </c>
      <c r="AW11" s="54" t="s">
        <v>12</v>
      </c>
      <c r="AX11" s="54" t="s">
        <v>12</v>
      </c>
      <c r="AY11" s="54" t="s">
        <v>12</v>
      </c>
      <c r="AZ11" s="54" t="s">
        <v>12</v>
      </c>
      <c r="BA11" s="54" t="s">
        <v>12</v>
      </c>
      <c r="BB11" s="54" t="s">
        <v>12</v>
      </c>
      <c r="BC11" s="54" t="s">
        <v>12</v>
      </c>
      <c r="BD11" s="54" t="s">
        <v>12</v>
      </c>
      <c r="BE11" s="54" t="s">
        <v>12</v>
      </c>
      <c r="BF11" s="89" t="s">
        <v>12</v>
      </c>
    </row>
    <row r="12" spans="1:58" x14ac:dyDescent="0.4">
      <c r="A12" s="63">
        <v>44903</v>
      </c>
      <c r="B12" s="53">
        <v>44903.458832037039</v>
      </c>
      <c r="C12" s="54" t="s">
        <v>89</v>
      </c>
      <c r="D12" s="55" t="s">
        <v>74</v>
      </c>
      <c r="E12" s="69" t="s">
        <v>90</v>
      </c>
      <c r="F12" s="73">
        <v>87.91</v>
      </c>
      <c r="G12" s="57">
        <v>45</v>
      </c>
      <c r="H12" s="57">
        <v>92</v>
      </c>
      <c r="I12" s="57">
        <v>86.72</v>
      </c>
      <c r="J12" s="77">
        <v>87.51</v>
      </c>
      <c r="K12" s="81">
        <v>2510500</v>
      </c>
      <c r="L12" s="56">
        <v>4895000</v>
      </c>
      <c r="M12" s="56">
        <v>92</v>
      </c>
      <c r="N12" s="56">
        <v>33</v>
      </c>
      <c r="O12" s="57">
        <v>4.5999999999999996</v>
      </c>
      <c r="P12" s="56">
        <v>53207</v>
      </c>
      <c r="Q12" s="56">
        <v>244750</v>
      </c>
      <c r="R12" s="56">
        <v>360524</v>
      </c>
      <c r="S12" s="56">
        <v>167367</v>
      </c>
      <c r="T12" s="56">
        <v>219384</v>
      </c>
      <c r="U12" s="77">
        <v>1.95</v>
      </c>
      <c r="V12" s="81">
        <v>20</v>
      </c>
      <c r="W12" s="85">
        <v>15</v>
      </c>
      <c r="X12" s="81">
        <v>220698055</v>
      </c>
      <c r="Y12" s="69" t="s">
        <v>75</v>
      </c>
      <c r="Z12" s="81">
        <v>3252670</v>
      </c>
      <c r="AA12" s="56">
        <v>5582285</v>
      </c>
      <c r="AB12" s="56">
        <v>8966820</v>
      </c>
      <c r="AC12" s="56">
        <v>835145</v>
      </c>
      <c r="AD12" s="56">
        <v>5933925</v>
      </c>
      <c r="AE12" s="54" t="s">
        <v>12</v>
      </c>
      <c r="AF12" s="56">
        <v>3032895</v>
      </c>
      <c r="AG12" s="56">
        <v>2769165</v>
      </c>
      <c r="AH12" s="56">
        <v>10988750</v>
      </c>
      <c r="AI12" s="56">
        <v>26636730</v>
      </c>
      <c r="AJ12" s="56">
        <v>4307590</v>
      </c>
      <c r="AK12" s="56">
        <v>15560070</v>
      </c>
      <c r="AL12" s="56">
        <v>1186785</v>
      </c>
      <c r="AM12" s="56">
        <v>5054825</v>
      </c>
      <c r="AN12" s="56">
        <v>0</v>
      </c>
      <c r="AO12" s="56">
        <v>25845540</v>
      </c>
      <c r="AP12" s="56">
        <v>0</v>
      </c>
      <c r="AQ12" s="56">
        <v>26812550</v>
      </c>
      <c r="AR12" s="56">
        <v>0</v>
      </c>
      <c r="AS12" s="56">
        <v>879100</v>
      </c>
      <c r="AT12" s="56">
        <v>0</v>
      </c>
      <c r="AU12" s="56">
        <v>659325</v>
      </c>
      <c r="AV12" s="56">
        <v>44174775</v>
      </c>
      <c r="AW12" s="56">
        <v>307685</v>
      </c>
      <c r="AX12" s="56">
        <v>9538235</v>
      </c>
      <c r="AY12" s="56">
        <v>1846110</v>
      </c>
      <c r="AZ12" s="54" t="s">
        <v>12</v>
      </c>
      <c r="BA12" s="56">
        <v>5538330</v>
      </c>
      <c r="BB12" s="56">
        <v>4351545</v>
      </c>
      <c r="BC12" s="56">
        <v>2329615</v>
      </c>
      <c r="BD12" s="56">
        <v>1406560</v>
      </c>
      <c r="BE12" s="56">
        <v>2901030</v>
      </c>
      <c r="BF12" s="89" t="s">
        <v>12</v>
      </c>
    </row>
    <row r="13" spans="1:58" x14ac:dyDescent="0.4">
      <c r="A13" s="63">
        <v>44902</v>
      </c>
      <c r="B13" s="53">
        <v>44902.458633136572</v>
      </c>
      <c r="C13" s="54" t="s">
        <v>92</v>
      </c>
      <c r="D13" s="55" t="s">
        <v>74</v>
      </c>
      <c r="E13" s="69" t="s">
        <v>90</v>
      </c>
      <c r="F13" s="73">
        <v>87</v>
      </c>
      <c r="G13" s="57">
        <v>70</v>
      </c>
      <c r="H13" s="57">
        <v>90</v>
      </c>
      <c r="I13" s="57">
        <v>87.46</v>
      </c>
      <c r="J13" s="77">
        <v>87.98</v>
      </c>
      <c r="K13" s="81">
        <v>3102500</v>
      </c>
      <c r="L13" s="56">
        <v>3691000</v>
      </c>
      <c r="M13" s="56">
        <v>72</v>
      </c>
      <c r="N13" s="56">
        <v>60</v>
      </c>
      <c r="O13" s="57">
        <v>3.79</v>
      </c>
      <c r="P13" s="56">
        <v>51264</v>
      </c>
      <c r="Q13" s="56">
        <v>194263</v>
      </c>
      <c r="R13" s="56">
        <v>296921</v>
      </c>
      <c r="S13" s="56">
        <v>172361</v>
      </c>
      <c r="T13" s="56">
        <v>299141</v>
      </c>
      <c r="U13" s="77">
        <v>1.19</v>
      </c>
      <c r="V13" s="81">
        <v>19</v>
      </c>
      <c r="W13" s="85">
        <v>18</v>
      </c>
      <c r="X13" s="81">
        <v>269917500</v>
      </c>
      <c r="Y13" s="69" t="s">
        <v>79</v>
      </c>
      <c r="Z13" s="87" t="s">
        <v>12</v>
      </c>
      <c r="AA13" s="54" t="s">
        <v>12</v>
      </c>
      <c r="AB13" s="54" t="s">
        <v>12</v>
      </c>
      <c r="AC13" s="54" t="s">
        <v>12</v>
      </c>
      <c r="AD13" s="54" t="s">
        <v>12</v>
      </c>
      <c r="AE13" s="54" t="s">
        <v>12</v>
      </c>
      <c r="AF13" s="54" t="s">
        <v>12</v>
      </c>
      <c r="AG13" s="54" t="s">
        <v>12</v>
      </c>
      <c r="AH13" s="54" t="s">
        <v>12</v>
      </c>
      <c r="AI13" s="54" t="s">
        <v>12</v>
      </c>
      <c r="AJ13" s="54" t="s">
        <v>12</v>
      </c>
      <c r="AK13" s="54" t="s">
        <v>12</v>
      </c>
      <c r="AL13" s="54" t="s">
        <v>12</v>
      </c>
      <c r="AM13" s="54" t="s">
        <v>12</v>
      </c>
      <c r="AN13" s="54" t="s">
        <v>12</v>
      </c>
      <c r="AO13" s="54" t="s">
        <v>12</v>
      </c>
      <c r="AP13" s="54" t="s">
        <v>12</v>
      </c>
      <c r="AQ13" s="54" t="s">
        <v>12</v>
      </c>
      <c r="AR13" s="54" t="s">
        <v>12</v>
      </c>
      <c r="AS13" s="54" t="s">
        <v>12</v>
      </c>
      <c r="AT13" s="54" t="s">
        <v>12</v>
      </c>
      <c r="AU13" s="54" t="s">
        <v>12</v>
      </c>
      <c r="AV13" s="54" t="s">
        <v>12</v>
      </c>
      <c r="AW13" s="54" t="s">
        <v>12</v>
      </c>
      <c r="AX13" s="54" t="s">
        <v>12</v>
      </c>
      <c r="AY13" s="54" t="s">
        <v>12</v>
      </c>
      <c r="AZ13" s="56">
        <v>269917500</v>
      </c>
      <c r="BA13" s="54" t="s">
        <v>12</v>
      </c>
      <c r="BB13" s="54" t="s">
        <v>12</v>
      </c>
      <c r="BC13" s="54" t="s">
        <v>12</v>
      </c>
      <c r="BD13" s="54" t="s">
        <v>12</v>
      </c>
      <c r="BE13" s="54" t="s">
        <v>12</v>
      </c>
      <c r="BF13" s="89" t="s">
        <v>12</v>
      </c>
    </row>
    <row r="14" spans="1:58" x14ac:dyDescent="0.4">
      <c r="A14" s="63">
        <v>44901</v>
      </c>
      <c r="B14" s="53">
        <v>44901.458644953702</v>
      </c>
      <c r="C14" s="54" t="s">
        <v>89</v>
      </c>
      <c r="D14" s="55" t="s">
        <v>74</v>
      </c>
      <c r="E14" s="69" t="s">
        <v>90</v>
      </c>
      <c r="F14" s="73">
        <v>86.48</v>
      </c>
      <c r="G14" s="57">
        <v>45</v>
      </c>
      <c r="H14" s="57">
        <v>89</v>
      </c>
      <c r="I14" s="57">
        <v>85.5</v>
      </c>
      <c r="J14" s="77">
        <v>86.34</v>
      </c>
      <c r="K14" s="81">
        <v>2510500</v>
      </c>
      <c r="L14" s="56">
        <v>5577500</v>
      </c>
      <c r="M14" s="56">
        <v>65</v>
      </c>
      <c r="N14" s="56">
        <v>29</v>
      </c>
      <c r="O14" s="57">
        <v>3.61</v>
      </c>
      <c r="P14" s="56">
        <v>85808</v>
      </c>
      <c r="Q14" s="56">
        <v>309861</v>
      </c>
      <c r="R14" s="56">
        <v>612950</v>
      </c>
      <c r="S14" s="56">
        <v>156906</v>
      </c>
      <c r="T14" s="56">
        <v>307654</v>
      </c>
      <c r="U14" s="77">
        <v>2.2200000000000002</v>
      </c>
      <c r="V14" s="81">
        <v>18</v>
      </c>
      <c r="W14" s="85">
        <v>16</v>
      </c>
      <c r="X14" s="81">
        <v>217108040</v>
      </c>
      <c r="Y14" s="69" t="s">
        <v>75</v>
      </c>
      <c r="Z14" s="81">
        <v>3199760</v>
      </c>
      <c r="AA14" s="56">
        <v>5491480</v>
      </c>
      <c r="AB14" s="56">
        <v>8820960</v>
      </c>
      <c r="AC14" s="56">
        <v>821560</v>
      </c>
      <c r="AD14" s="56">
        <v>5837400</v>
      </c>
      <c r="AE14" s="54" t="s">
        <v>12</v>
      </c>
      <c r="AF14" s="56">
        <v>2983560</v>
      </c>
      <c r="AG14" s="56">
        <v>2724120</v>
      </c>
      <c r="AH14" s="56">
        <v>10810000</v>
      </c>
      <c r="AI14" s="56">
        <v>26203440</v>
      </c>
      <c r="AJ14" s="56">
        <v>4237520</v>
      </c>
      <c r="AK14" s="56">
        <v>15306960</v>
      </c>
      <c r="AL14" s="56">
        <v>1167480</v>
      </c>
      <c r="AM14" s="56">
        <v>4972600</v>
      </c>
      <c r="AN14" s="56">
        <v>0</v>
      </c>
      <c r="AO14" s="56">
        <v>25425120</v>
      </c>
      <c r="AP14" s="56">
        <v>0</v>
      </c>
      <c r="AQ14" s="56">
        <v>26376400</v>
      </c>
      <c r="AR14" s="56">
        <v>0</v>
      </c>
      <c r="AS14" s="56">
        <v>864800</v>
      </c>
      <c r="AT14" s="56">
        <v>0</v>
      </c>
      <c r="AU14" s="56">
        <v>648600</v>
      </c>
      <c r="AV14" s="56">
        <v>43456200</v>
      </c>
      <c r="AW14" s="56">
        <v>302680</v>
      </c>
      <c r="AX14" s="56">
        <v>9383080</v>
      </c>
      <c r="AY14" s="56">
        <v>1816080</v>
      </c>
      <c r="AZ14" s="54" t="s">
        <v>12</v>
      </c>
      <c r="BA14" s="56">
        <v>5448240</v>
      </c>
      <c r="BB14" s="56">
        <v>4280760</v>
      </c>
      <c r="BC14" s="56">
        <v>2291720</v>
      </c>
      <c r="BD14" s="56">
        <v>1383680</v>
      </c>
      <c r="BE14" s="56">
        <v>2853840</v>
      </c>
      <c r="BF14" s="89" t="s">
        <v>12</v>
      </c>
    </row>
    <row r="15" spans="1:58" x14ac:dyDescent="0.4">
      <c r="A15" s="63">
        <v>44900</v>
      </c>
      <c r="B15" s="53">
        <v>44900.45898398148</v>
      </c>
      <c r="C15" s="54" t="s">
        <v>89</v>
      </c>
      <c r="D15" s="55" t="s">
        <v>74</v>
      </c>
      <c r="E15" s="69" t="s">
        <v>90</v>
      </c>
      <c r="F15" s="73">
        <v>85.69</v>
      </c>
      <c r="G15" s="57">
        <v>45</v>
      </c>
      <c r="H15" s="57">
        <v>88</v>
      </c>
      <c r="I15" s="57">
        <v>84.65</v>
      </c>
      <c r="J15" s="77">
        <v>85.56</v>
      </c>
      <c r="K15" s="81">
        <v>2510500</v>
      </c>
      <c r="L15" s="56">
        <v>5270000</v>
      </c>
      <c r="M15" s="56">
        <v>76</v>
      </c>
      <c r="N15" s="56">
        <v>32</v>
      </c>
      <c r="O15" s="57">
        <v>3.8</v>
      </c>
      <c r="P15" s="56">
        <v>69342</v>
      </c>
      <c r="Q15" s="56">
        <v>263500</v>
      </c>
      <c r="R15" s="56">
        <v>403820</v>
      </c>
      <c r="S15" s="56">
        <v>167367</v>
      </c>
      <c r="T15" s="56">
        <v>308706</v>
      </c>
      <c r="U15" s="77">
        <v>2.1</v>
      </c>
      <c r="V15" s="81">
        <v>20</v>
      </c>
      <c r="W15" s="85">
        <v>15</v>
      </c>
      <c r="X15" s="81">
        <v>215124745</v>
      </c>
      <c r="Y15" s="69" t="s">
        <v>75</v>
      </c>
      <c r="Z15" s="81">
        <v>3170530</v>
      </c>
      <c r="AA15" s="56">
        <v>5441315</v>
      </c>
      <c r="AB15" s="56">
        <v>8740380</v>
      </c>
      <c r="AC15" s="56">
        <v>814055</v>
      </c>
      <c r="AD15" s="56">
        <v>5784075</v>
      </c>
      <c r="AE15" s="54" t="s">
        <v>12</v>
      </c>
      <c r="AF15" s="56">
        <v>2956305</v>
      </c>
      <c r="AG15" s="56">
        <v>2699235</v>
      </c>
      <c r="AH15" s="56">
        <v>10711250</v>
      </c>
      <c r="AI15" s="56">
        <v>25964070</v>
      </c>
      <c r="AJ15" s="56">
        <v>4198810</v>
      </c>
      <c r="AK15" s="56">
        <v>15167130</v>
      </c>
      <c r="AL15" s="56">
        <v>1156815</v>
      </c>
      <c r="AM15" s="56">
        <v>4927175</v>
      </c>
      <c r="AN15" s="56">
        <v>0</v>
      </c>
      <c r="AO15" s="56">
        <v>25192860</v>
      </c>
      <c r="AP15" s="56">
        <v>0</v>
      </c>
      <c r="AQ15" s="56">
        <v>26135450</v>
      </c>
      <c r="AR15" s="56">
        <v>0</v>
      </c>
      <c r="AS15" s="56">
        <v>856900</v>
      </c>
      <c r="AT15" s="56">
        <v>0</v>
      </c>
      <c r="AU15" s="56">
        <v>642675</v>
      </c>
      <c r="AV15" s="56">
        <v>43059225</v>
      </c>
      <c r="AW15" s="56">
        <v>299915</v>
      </c>
      <c r="AX15" s="56">
        <v>9297365</v>
      </c>
      <c r="AY15" s="56">
        <v>1799490</v>
      </c>
      <c r="AZ15" s="54" t="s">
        <v>12</v>
      </c>
      <c r="BA15" s="56">
        <v>5398470</v>
      </c>
      <c r="BB15" s="56">
        <v>4241655</v>
      </c>
      <c r="BC15" s="56">
        <v>2270785</v>
      </c>
      <c r="BD15" s="56">
        <v>1371040</v>
      </c>
      <c r="BE15" s="56">
        <v>2827770</v>
      </c>
      <c r="BF15" s="89" t="s">
        <v>12</v>
      </c>
    </row>
    <row r="16" spans="1:58" x14ac:dyDescent="0.4">
      <c r="A16" s="63">
        <v>44897</v>
      </c>
      <c r="B16" s="53">
        <v>44897.458694189816</v>
      </c>
      <c r="C16" s="54" t="s">
        <v>91</v>
      </c>
      <c r="D16" s="55" t="s">
        <v>74</v>
      </c>
      <c r="E16" s="69" t="s">
        <v>90</v>
      </c>
      <c r="F16" s="73">
        <v>85.21</v>
      </c>
      <c r="G16" s="57">
        <v>45</v>
      </c>
      <c r="H16" s="57">
        <v>88.07</v>
      </c>
      <c r="I16" s="57">
        <v>84.23</v>
      </c>
      <c r="J16" s="77">
        <v>85.21</v>
      </c>
      <c r="K16" s="81">
        <v>1861500</v>
      </c>
      <c r="L16" s="56">
        <v>4229000</v>
      </c>
      <c r="M16" s="56">
        <v>69</v>
      </c>
      <c r="N16" s="56">
        <v>35</v>
      </c>
      <c r="O16" s="57">
        <v>3.63</v>
      </c>
      <c r="P16" s="56">
        <v>61290</v>
      </c>
      <c r="Q16" s="56">
        <v>222579</v>
      </c>
      <c r="R16" s="56">
        <v>358404</v>
      </c>
      <c r="S16" s="56">
        <v>132964</v>
      </c>
      <c r="T16" s="56">
        <v>215757</v>
      </c>
      <c r="U16" s="77">
        <v>2.27</v>
      </c>
      <c r="V16" s="81">
        <v>19</v>
      </c>
      <c r="W16" s="85">
        <v>14</v>
      </c>
      <c r="X16" s="81">
        <v>158618415</v>
      </c>
      <c r="Y16" s="69" t="s">
        <v>77</v>
      </c>
      <c r="Z16" s="87" t="s">
        <v>12</v>
      </c>
      <c r="AA16" s="54" t="s">
        <v>12</v>
      </c>
      <c r="AB16" s="54" t="s">
        <v>12</v>
      </c>
      <c r="AC16" s="54" t="s">
        <v>12</v>
      </c>
      <c r="AD16" s="54" t="s">
        <v>12</v>
      </c>
      <c r="AE16" s="56">
        <v>158618415</v>
      </c>
      <c r="AF16" s="54" t="s">
        <v>12</v>
      </c>
      <c r="AG16" s="54" t="s">
        <v>12</v>
      </c>
      <c r="AH16" s="54" t="s">
        <v>12</v>
      </c>
      <c r="AI16" s="54" t="s">
        <v>12</v>
      </c>
      <c r="AJ16" s="54" t="s">
        <v>12</v>
      </c>
      <c r="AK16" s="54" t="s">
        <v>12</v>
      </c>
      <c r="AL16" s="54" t="s">
        <v>12</v>
      </c>
      <c r="AM16" s="54" t="s">
        <v>12</v>
      </c>
      <c r="AN16" s="54" t="s">
        <v>12</v>
      </c>
      <c r="AO16" s="54" t="s">
        <v>12</v>
      </c>
      <c r="AP16" s="54" t="s">
        <v>12</v>
      </c>
      <c r="AQ16" s="54" t="s">
        <v>12</v>
      </c>
      <c r="AR16" s="54" t="s">
        <v>12</v>
      </c>
      <c r="AS16" s="54" t="s">
        <v>12</v>
      </c>
      <c r="AT16" s="54" t="s">
        <v>12</v>
      </c>
      <c r="AU16" s="54" t="s">
        <v>12</v>
      </c>
      <c r="AV16" s="54" t="s">
        <v>12</v>
      </c>
      <c r="AW16" s="54" t="s">
        <v>12</v>
      </c>
      <c r="AX16" s="54" t="s">
        <v>12</v>
      </c>
      <c r="AY16" s="54" t="s">
        <v>12</v>
      </c>
      <c r="AZ16" s="54" t="s">
        <v>12</v>
      </c>
      <c r="BA16" s="54" t="s">
        <v>12</v>
      </c>
      <c r="BB16" s="54" t="s">
        <v>12</v>
      </c>
      <c r="BC16" s="54" t="s">
        <v>12</v>
      </c>
      <c r="BD16" s="54" t="s">
        <v>12</v>
      </c>
      <c r="BE16" s="54" t="s">
        <v>12</v>
      </c>
      <c r="BF16" s="89" t="s">
        <v>12</v>
      </c>
    </row>
    <row r="17" spans="1:58" x14ac:dyDescent="0.4">
      <c r="A17" s="63">
        <v>44896</v>
      </c>
      <c r="B17" s="53">
        <v>44896.458663784724</v>
      </c>
      <c r="C17" s="54" t="s">
        <v>89</v>
      </c>
      <c r="D17" s="55" t="s">
        <v>74</v>
      </c>
      <c r="E17" s="69" t="s">
        <v>90</v>
      </c>
      <c r="F17" s="73">
        <v>86.11</v>
      </c>
      <c r="G17" s="57">
        <v>45</v>
      </c>
      <c r="H17" s="57">
        <v>95</v>
      </c>
      <c r="I17" s="57">
        <v>85.06</v>
      </c>
      <c r="J17" s="77">
        <v>86.25</v>
      </c>
      <c r="K17" s="81">
        <v>2510500</v>
      </c>
      <c r="L17" s="56">
        <v>5094000</v>
      </c>
      <c r="M17" s="56">
        <v>73</v>
      </c>
      <c r="N17" s="56">
        <v>40</v>
      </c>
      <c r="O17" s="57">
        <v>3.48</v>
      </c>
      <c r="P17" s="56">
        <v>69781</v>
      </c>
      <c r="Q17" s="56">
        <v>242571</v>
      </c>
      <c r="R17" s="56">
        <v>347570</v>
      </c>
      <c r="S17" s="56">
        <v>147676</v>
      </c>
      <c r="T17" s="56">
        <v>209970</v>
      </c>
      <c r="U17" s="77">
        <v>2.0299999999999998</v>
      </c>
      <c r="V17" s="81">
        <v>21</v>
      </c>
      <c r="W17" s="85">
        <v>17</v>
      </c>
      <c r="X17" s="81">
        <v>216179155</v>
      </c>
      <c r="Y17" s="69" t="s">
        <v>75</v>
      </c>
      <c r="Z17" s="81">
        <v>3186070</v>
      </c>
      <c r="AA17" s="56">
        <v>5467985</v>
      </c>
      <c r="AB17" s="56">
        <v>8783220</v>
      </c>
      <c r="AC17" s="56">
        <v>818045</v>
      </c>
      <c r="AD17" s="56">
        <v>5812425</v>
      </c>
      <c r="AE17" s="54" t="s">
        <v>12</v>
      </c>
      <c r="AF17" s="56">
        <v>2970795</v>
      </c>
      <c r="AG17" s="56">
        <v>2712465</v>
      </c>
      <c r="AH17" s="56">
        <v>10763750</v>
      </c>
      <c r="AI17" s="56">
        <v>26091330</v>
      </c>
      <c r="AJ17" s="56">
        <v>4219390</v>
      </c>
      <c r="AK17" s="56">
        <v>15241470</v>
      </c>
      <c r="AL17" s="56">
        <v>1162485</v>
      </c>
      <c r="AM17" s="56">
        <v>4951325</v>
      </c>
      <c r="AN17" s="56">
        <v>0</v>
      </c>
      <c r="AO17" s="56">
        <v>25316340</v>
      </c>
      <c r="AP17" s="56">
        <v>0</v>
      </c>
      <c r="AQ17" s="56">
        <v>26263550</v>
      </c>
      <c r="AR17" s="56">
        <v>0</v>
      </c>
      <c r="AS17" s="56">
        <v>861100</v>
      </c>
      <c r="AT17" s="56">
        <v>0</v>
      </c>
      <c r="AU17" s="56">
        <v>645825</v>
      </c>
      <c r="AV17" s="56">
        <v>43270275</v>
      </c>
      <c r="AW17" s="56">
        <v>301385</v>
      </c>
      <c r="AX17" s="56">
        <v>9342935</v>
      </c>
      <c r="AY17" s="56">
        <v>1808310</v>
      </c>
      <c r="AZ17" s="54" t="s">
        <v>12</v>
      </c>
      <c r="BA17" s="56">
        <v>5424930</v>
      </c>
      <c r="BB17" s="56">
        <v>4262445</v>
      </c>
      <c r="BC17" s="56">
        <v>2281915</v>
      </c>
      <c r="BD17" s="56">
        <v>1377760</v>
      </c>
      <c r="BE17" s="56">
        <v>2841630</v>
      </c>
      <c r="BF17" s="89" t="s">
        <v>12</v>
      </c>
    </row>
    <row r="18" spans="1:58" x14ac:dyDescent="0.4">
      <c r="A18" s="63">
        <v>44894</v>
      </c>
      <c r="B18" s="53">
        <v>44894.45868945602</v>
      </c>
      <c r="C18" s="54" t="s">
        <v>89</v>
      </c>
      <c r="D18" s="55" t="s">
        <v>74</v>
      </c>
      <c r="E18" s="69" t="s">
        <v>90</v>
      </c>
      <c r="F18" s="73">
        <v>78.88</v>
      </c>
      <c r="G18" s="57">
        <v>60</v>
      </c>
      <c r="H18" s="57">
        <v>88</v>
      </c>
      <c r="I18" s="57">
        <v>78.42</v>
      </c>
      <c r="J18" s="77">
        <v>78.48</v>
      </c>
      <c r="K18" s="81">
        <v>2510500</v>
      </c>
      <c r="L18" s="56">
        <v>5626000</v>
      </c>
      <c r="M18" s="56">
        <v>94</v>
      </c>
      <c r="N18" s="56">
        <v>31</v>
      </c>
      <c r="O18" s="57">
        <v>4.2699999999999996</v>
      </c>
      <c r="P18" s="56">
        <v>59851</v>
      </c>
      <c r="Q18" s="56">
        <v>255727</v>
      </c>
      <c r="R18" s="56">
        <v>344183</v>
      </c>
      <c r="S18" s="56">
        <v>167367</v>
      </c>
      <c r="T18" s="56">
        <v>204599</v>
      </c>
      <c r="U18" s="77">
        <v>2.2400000000000002</v>
      </c>
      <c r="V18" s="81">
        <v>22</v>
      </c>
      <c r="W18" s="85">
        <v>15</v>
      </c>
      <c r="X18" s="81">
        <v>198028240</v>
      </c>
      <c r="Y18" s="69" t="s">
        <v>75</v>
      </c>
      <c r="Z18" s="81">
        <v>2918560</v>
      </c>
      <c r="AA18" s="56">
        <v>5008880</v>
      </c>
      <c r="AB18" s="56">
        <v>8045760</v>
      </c>
      <c r="AC18" s="56">
        <v>749360</v>
      </c>
      <c r="AD18" s="56">
        <v>5324400</v>
      </c>
      <c r="AE18" s="54" t="s">
        <v>12</v>
      </c>
      <c r="AF18" s="56">
        <v>2721360</v>
      </c>
      <c r="AG18" s="56">
        <v>2484720</v>
      </c>
      <c r="AH18" s="56">
        <v>9860000</v>
      </c>
      <c r="AI18" s="56">
        <v>23900640</v>
      </c>
      <c r="AJ18" s="56">
        <v>3865120</v>
      </c>
      <c r="AK18" s="56">
        <v>13961760</v>
      </c>
      <c r="AL18" s="56">
        <v>1064880</v>
      </c>
      <c r="AM18" s="56">
        <v>4535600</v>
      </c>
      <c r="AN18" s="56">
        <v>0</v>
      </c>
      <c r="AO18" s="56">
        <v>23190720</v>
      </c>
      <c r="AP18" s="56">
        <v>0</v>
      </c>
      <c r="AQ18" s="56">
        <v>24058400</v>
      </c>
      <c r="AR18" s="56">
        <v>0</v>
      </c>
      <c r="AS18" s="56">
        <v>788800</v>
      </c>
      <c r="AT18" s="56">
        <v>0</v>
      </c>
      <c r="AU18" s="56">
        <v>591600</v>
      </c>
      <c r="AV18" s="56">
        <v>39637200</v>
      </c>
      <c r="AW18" s="56">
        <v>276080</v>
      </c>
      <c r="AX18" s="56">
        <v>8558480</v>
      </c>
      <c r="AY18" s="56">
        <v>1656480</v>
      </c>
      <c r="AZ18" s="54" t="s">
        <v>12</v>
      </c>
      <c r="BA18" s="56">
        <v>4969440</v>
      </c>
      <c r="BB18" s="56">
        <v>3904560</v>
      </c>
      <c r="BC18" s="56">
        <v>2090320</v>
      </c>
      <c r="BD18" s="56">
        <v>1262080</v>
      </c>
      <c r="BE18" s="56">
        <v>2603040</v>
      </c>
      <c r="BF18" s="89" t="s">
        <v>12</v>
      </c>
    </row>
    <row r="19" spans="1:58" x14ac:dyDescent="0.4">
      <c r="A19" s="63">
        <v>44893</v>
      </c>
      <c r="B19" s="53">
        <v>44893.458658750002</v>
      </c>
      <c r="C19" s="54" t="s">
        <v>89</v>
      </c>
      <c r="D19" s="55" t="s">
        <v>74</v>
      </c>
      <c r="E19" s="69" t="s">
        <v>90</v>
      </c>
      <c r="F19" s="73">
        <v>77.61</v>
      </c>
      <c r="G19" s="57">
        <v>45</v>
      </c>
      <c r="H19" s="57">
        <v>81</v>
      </c>
      <c r="I19" s="57">
        <v>76.8</v>
      </c>
      <c r="J19" s="77">
        <v>77.39</v>
      </c>
      <c r="K19" s="81">
        <v>2510500</v>
      </c>
      <c r="L19" s="56">
        <v>5072000</v>
      </c>
      <c r="M19" s="56">
        <v>65</v>
      </c>
      <c r="N19" s="56">
        <v>25</v>
      </c>
      <c r="O19" s="57">
        <v>3.61</v>
      </c>
      <c r="P19" s="56">
        <v>78031</v>
      </c>
      <c r="Q19" s="56">
        <v>281778</v>
      </c>
      <c r="R19" s="56">
        <v>385424</v>
      </c>
      <c r="S19" s="56">
        <v>209208</v>
      </c>
      <c r="T19" s="56">
        <v>257757</v>
      </c>
      <c r="U19" s="77">
        <v>2.02</v>
      </c>
      <c r="V19" s="81">
        <v>18</v>
      </c>
      <c r="W19" s="85">
        <v>12</v>
      </c>
      <c r="X19" s="81">
        <v>194839905</v>
      </c>
      <c r="Y19" s="69" t="s">
        <v>75</v>
      </c>
      <c r="Z19" s="81">
        <v>2871570</v>
      </c>
      <c r="AA19" s="56">
        <v>4928235</v>
      </c>
      <c r="AB19" s="56">
        <v>7916220</v>
      </c>
      <c r="AC19" s="56">
        <v>737295</v>
      </c>
      <c r="AD19" s="56">
        <v>5238675</v>
      </c>
      <c r="AE19" s="54" t="s">
        <v>12</v>
      </c>
      <c r="AF19" s="56">
        <v>2677545</v>
      </c>
      <c r="AG19" s="56">
        <v>2444715</v>
      </c>
      <c r="AH19" s="56">
        <v>9701250</v>
      </c>
      <c r="AI19" s="56">
        <v>23515830</v>
      </c>
      <c r="AJ19" s="56">
        <v>3802890</v>
      </c>
      <c r="AK19" s="56">
        <v>13736970</v>
      </c>
      <c r="AL19" s="56">
        <v>1047735</v>
      </c>
      <c r="AM19" s="56">
        <v>4462575</v>
      </c>
      <c r="AN19" s="56">
        <v>0</v>
      </c>
      <c r="AO19" s="56">
        <v>22817340</v>
      </c>
      <c r="AP19" s="56">
        <v>0</v>
      </c>
      <c r="AQ19" s="56">
        <v>23671050</v>
      </c>
      <c r="AR19" s="56">
        <v>0</v>
      </c>
      <c r="AS19" s="56">
        <v>776100</v>
      </c>
      <c r="AT19" s="56">
        <v>0</v>
      </c>
      <c r="AU19" s="56">
        <v>582075</v>
      </c>
      <c r="AV19" s="56">
        <v>38999025</v>
      </c>
      <c r="AW19" s="56">
        <v>271635</v>
      </c>
      <c r="AX19" s="56">
        <v>8420685</v>
      </c>
      <c r="AY19" s="56">
        <v>1629810</v>
      </c>
      <c r="AZ19" s="54" t="s">
        <v>12</v>
      </c>
      <c r="BA19" s="56">
        <v>4889430</v>
      </c>
      <c r="BB19" s="56">
        <v>3841695</v>
      </c>
      <c r="BC19" s="56">
        <v>2056665</v>
      </c>
      <c r="BD19" s="56">
        <v>1241760</v>
      </c>
      <c r="BE19" s="56">
        <v>2561130</v>
      </c>
      <c r="BF19" s="89" t="s">
        <v>12</v>
      </c>
    </row>
    <row r="20" spans="1:58" x14ac:dyDescent="0.4">
      <c r="A20" s="63">
        <v>44890</v>
      </c>
      <c r="B20" s="53">
        <v>44890.458769259261</v>
      </c>
      <c r="C20" s="54" t="s">
        <v>91</v>
      </c>
      <c r="D20" s="55" t="s">
        <v>74</v>
      </c>
      <c r="E20" s="69" t="s">
        <v>90</v>
      </c>
      <c r="F20" s="73">
        <v>79.36</v>
      </c>
      <c r="G20" s="57">
        <v>45</v>
      </c>
      <c r="H20" s="57">
        <v>82</v>
      </c>
      <c r="I20" s="57">
        <v>78.56</v>
      </c>
      <c r="J20" s="77">
        <v>79.11</v>
      </c>
      <c r="K20" s="81">
        <v>1861500</v>
      </c>
      <c r="L20" s="56">
        <v>3688000</v>
      </c>
      <c r="M20" s="56">
        <v>61</v>
      </c>
      <c r="N20" s="56">
        <v>23</v>
      </c>
      <c r="O20" s="57">
        <v>3.21</v>
      </c>
      <c r="P20" s="56">
        <v>60459</v>
      </c>
      <c r="Q20" s="56">
        <v>194105</v>
      </c>
      <c r="R20" s="56">
        <v>367077</v>
      </c>
      <c r="S20" s="56">
        <v>124100</v>
      </c>
      <c r="T20" s="56">
        <v>241286</v>
      </c>
      <c r="U20" s="77">
        <v>1.98</v>
      </c>
      <c r="V20" s="81">
        <v>19</v>
      </c>
      <c r="W20" s="85">
        <v>15</v>
      </c>
      <c r="X20" s="81">
        <v>147728640</v>
      </c>
      <c r="Y20" s="69" t="s">
        <v>77</v>
      </c>
      <c r="Z20" s="87" t="s">
        <v>12</v>
      </c>
      <c r="AA20" s="54" t="s">
        <v>12</v>
      </c>
      <c r="AB20" s="54" t="s">
        <v>12</v>
      </c>
      <c r="AC20" s="54" t="s">
        <v>12</v>
      </c>
      <c r="AD20" s="54" t="s">
        <v>12</v>
      </c>
      <c r="AE20" s="56">
        <v>147728640</v>
      </c>
      <c r="AF20" s="54" t="s">
        <v>12</v>
      </c>
      <c r="AG20" s="54" t="s">
        <v>12</v>
      </c>
      <c r="AH20" s="54" t="s">
        <v>12</v>
      </c>
      <c r="AI20" s="54" t="s">
        <v>12</v>
      </c>
      <c r="AJ20" s="54" t="s">
        <v>12</v>
      </c>
      <c r="AK20" s="54" t="s">
        <v>12</v>
      </c>
      <c r="AL20" s="54" t="s">
        <v>12</v>
      </c>
      <c r="AM20" s="54" t="s">
        <v>12</v>
      </c>
      <c r="AN20" s="54" t="s">
        <v>12</v>
      </c>
      <c r="AO20" s="54" t="s">
        <v>12</v>
      </c>
      <c r="AP20" s="54" t="s">
        <v>12</v>
      </c>
      <c r="AQ20" s="54" t="s">
        <v>12</v>
      </c>
      <c r="AR20" s="54" t="s">
        <v>12</v>
      </c>
      <c r="AS20" s="54" t="s">
        <v>12</v>
      </c>
      <c r="AT20" s="54" t="s">
        <v>12</v>
      </c>
      <c r="AU20" s="54" t="s">
        <v>12</v>
      </c>
      <c r="AV20" s="54" t="s">
        <v>12</v>
      </c>
      <c r="AW20" s="54" t="s">
        <v>12</v>
      </c>
      <c r="AX20" s="54" t="s">
        <v>12</v>
      </c>
      <c r="AY20" s="54" t="s">
        <v>12</v>
      </c>
      <c r="AZ20" s="54" t="s">
        <v>12</v>
      </c>
      <c r="BA20" s="54" t="s">
        <v>12</v>
      </c>
      <c r="BB20" s="54" t="s">
        <v>12</v>
      </c>
      <c r="BC20" s="54" t="s">
        <v>12</v>
      </c>
      <c r="BD20" s="54" t="s">
        <v>12</v>
      </c>
      <c r="BE20" s="54" t="s">
        <v>12</v>
      </c>
      <c r="BF20" s="89" t="s">
        <v>12</v>
      </c>
    </row>
    <row r="21" spans="1:58" x14ac:dyDescent="0.4">
      <c r="A21" s="63">
        <v>44889</v>
      </c>
      <c r="B21" s="53">
        <v>44889.459054027779</v>
      </c>
      <c r="C21" s="54" t="s">
        <v>89</v>
      </c>
      <c r="D21" s="55" t="s">
        <v>74</v>
      </c>
      <c r="E21" s="69" t="s">
        <v>90</v>
      </c>
      <c r="F21" s="73">
        <v>76.64</v>
      </c>
      <c r="G21" s="57">
        <v>45</v>
      </c>
      <c r="H21" s="57">
        <v>84</v>
      </c>
      <c r="I21" s="57">
        <v>76.05</v>
      </c>
      <c r="J21" s="77">
        <v>76.19</v>
      </c>
      <c r="K21" s="81">
        <v>2510500</v>
      </c>
      <c r="L21" s="56">
        <v>5707000</v>
      </c>
      <c r="M21" s="56">
        <v>83</v>
      </c>
      <c r="N21" s="56">
        <v>26</v>
      </c>
      <c r="O21" s="57">
        <v>4.1500000000000004</v>
      </c>
      <c r="P21" s="56">
        <v>68759</v>
      </c>
      <c r="Q21" s="56">
        <v>285350</v>
      </c>
      <c r="R21" s="56">
        <v>385430</v>
      </c>
      <c r="S21" s="56">
        <v>228227</v>
      </c>
      <c r="T21" s="56">
        <v>256325</v>
      </c>
      <c r="U21" s="77">
        <v>2.27</v>
      </c>
      <c r="V21" s="81">
        <v>20</v>
      </c>
      <c r="W21" s="85">
        <v>11</v>
      </c>
      <c r="X21" s="81">
        <v>192404720</v>
      </c>
      <c r="Y21" s="69" t="s">
        <v>75</v>
      </c>
      <c r="Z21" s="81">
        <v>2835680</v>
      </c>
      <c r="AA21" s="56">
        <v>4866640</v>
      </c>
      <c r="AB21" s="56">
        <v>7817280</v>
      </c>
      <c r="AC21" s="56">
        <v>728080</v>
      </c>
      <c r="AD21" s="56">
        <v>5173200</v>
      </c>
      <c r="AE21" s="54" t="s">
        <v>12</v>
      </c>
      <c r="AF21" s="56">
        <v>2644080</v>
      </c>
      <c r="AG21" s="56">
        <v>2414160</v>
      </c>
      <c r="AH21" s="56">
        <v>9580000</v>
      </c>
      <c r="AI21" s="56">
        <v>23221920</v>
      </c>
      <c r="AJ21" s="56">
        <v>3755360</v>
      </c>
      <c r="AK21" s="56">
        <v>13565280</v>
      </c>
      <c r="AL21" s="56">
        <v>1034640</v>
      </c>
      <c r="AM21" s="56">
        <v>4406800</v>
      </c>
      <c r="AN21" s="56">
        <v>0</v>
      </c>
      <c r="AO21" s="56">
        <v>22532160</v>
      </c>
      <c r="AP21" s="56">
        <v>0</v>
      </c>
      <c r="AQ21" s="56">
        <v>23375200</v>
      </c>
      <c r="AR21" s="56">
        <v>0</v>
      </c>
      <c r="AS21" s="56">
        <v>766400</v>
      </c>
      <c r="AT21" s="56">
        <v>0</v>
      </c>
      <c r="AU21" s="56">
        <v>574800</v>
      </c>
      <c r="AV21" s="56">
        <v>38511600</v>
      </c>
      <c r="AW21" s="56">
        <v>268240</v>
      </c>
      <c r="AX21" s="56">
        <v>8315440</v>
      </c>
      <c r="AY21" s="56">
        <v>1609440</v>
      </c>
      <c r="AZ21" s="54" t="s">
        <v>12</v>
      </c>
      <c r="BA21" s="56">
        <v>4828320</v>
      </c>
      <c r="BB21" s="56">
        <v>3793680</v>
      </c>
      <c r="BC21" s="56">
        <v>2030960</v>
      </c>
      <c r="BD21" s="56">
        <v>1226240</v>
      </c>
      <c r="BE21" s="56">
        <v>2529120</v>
      </c>
      <c r="BF21" s="89" t="s">
        <v>12</v>
      </c>
    </row>
    <row r="22" spans="1:58" x14ac:dyDescent="0.4">
      <c r="A22" s="63">
        <v>44888</v>
      </c>
      <c r="B22" s="53">
        <v>44888.458933182868</v>
      </c>
      <c r="C22" s="54" t="s">
        <v>92</v>
      </c>
      <c r="D22" s="55" t="s">
        <v>74</v>
      </c>
      <c r="E22" s="69" t="s">
        <v>90</v>
      </c>
      <c r="F22" s="73">
        <v>74.08</v>
      </c>
      <c r="G22" s="57">
        <v>45</v>
      </c>
      <c r="H22" s="57">
        <v>86</v>
      </c>
      <c r="I22" s="57">
        <v>74.44</v>
      </c>
      <c r="J22" s="77">
        <v>73.900000000000006</v>
      </c>
      <c r="K22" s="81">
        <v>3101500</v>
      </c>
      <c r="L22" s="56">
        <v>7498500</v>
      </c>
      <c r="M22" s="56">
        <v>79</v>
      </c>
      <c r="N22" s="56">
        <v>34</v>
      </c>
      <c r="O22" s="57">
        <v>3.95</v>
      </c>
      <c r="P22" s="56">
        <v>94918</v>
      </c>
      <c r="Q22" s="56">
        <v>374925</v>
      </c>
      <c r="R22" s="56">
        <v>775599</v>
      </c>
      <c r="S22" s="56">
        <v>221536</v>
      </c>
      <c r="T22" s="56">
        <v>323935</v>
      </c>
      <c r="U22" s="77">
        <v>2.42</v>
      </c>
      <c r="V22" s="81">
        <v>20</v>
      </c>
      <c r="W22" s="85">
        <v>14</v>
      </c>
      <c r="X22" s="81">
        <v>229759120</v>
      </c>
      <c r="Y22" s="69" t="s">
        <v>79</v>
      </c>
      <c r="Z22" s="87" t="s">
        <v>12</v>
      </c>
      <c r="AA22" s="54" t="s">
        <v>12</v>
      </c>
      <c r="AB22" s="54" t="s">
        <v>12</v>
      </c>
      <c r="AC22" s="54" t="s">
        <v>12</v>
      </c>
      <c r="AD22" s="54" t="s">
        <v>12</v>
      </c>
      <c r="AE22" s="54" t="s">
        <v>12</v>
      </c>
      <c r="AF22" s="54" t="s">
        <v>12</v>
      </c>
      <c r="AG22" s="54" t="s">
        <v>12</v>
      </c>
      <c r="AH22" s="54" t="s">
        <v>12</v>
      </c>
      <c r="AI22" s="54" t="s">
        <v>12</v>
      </c>
      <c r="AJ22" s="54" t="s">
        <v>12</v>
      </c>
      <c r="AK22" s="54" t="s">
        <v>12</v>
      </c>
      <c r="AL22" s="54" t="s">
        <v>12</v>
      </c>
      <c r="AM22" s="54" t="s">
        <v>12</v>
      </c>
      <c r="AN22" s="54" t="s">
        <v>12</v>
      </c>
      <c r="AO22" s="54" t="s">
        <v>12</v>
      </c>
      <c r="AP22" s="54" t="s">
        <v>12</v>
      </c>
      <c r="AQ22" s="54" t="s">
        <v>12</v>
      </c>
      <c r="AR22" s="54" t="s">
        <v>12</v>
      </c>
      <c r="AS22" s="54" t="s">
        <v>12</v>
      </c>
      <c r="AT22" s="54" t="s">
        <v>12</v>
      </c>
      <c r="AU22" s="54" t="s">
        <v>12</v>
      </c>
      <c r="AV22" s="54" t="s">
        <v>12</v>
      </c>
      <c r="AW22" s="54" t="s">
        <v>12</v>
      </c>
      <c r="AX22" s="54" t="s">
        <v>12</v>
      </c>
      <c r="AY22" s="54" t="s">
        <v>12</v>
      </c>
      <c r="AZ22" s="56">
        <v>229759120</v>
      </c>
      <c r="BA22" s="54" t="s">
        <v>12</v>
      </c>
      <c r="BB22" s="54" t="s">
        <v>12</v>
      </c>
      <c r="BC22" s="54" t="s">
        <v>12</v>
      </c>
      <c r="BD22" s="54" t="s">
        <v>12</v>
      </c>
      <c r="BE22" s="54" t="s">
        <v>12</v>
      </c>
      <c r="BF22" s="89" t="s">
        <v>12</v>
      </c>
    </row>
    <row r="23" spans="1:58" x14ac:dyDescent="0.4">
      <c r="A23" s="63">
        <v>44887</v>
      </c>
      <c r="B23" s="53">
        <v>44887.459061886577</v>
      </c>
      <c r="C23" s="54" t="s">
        <v>89</v>
      </c>
      <c r="D23" s="55" t="s">
        <v>74</v>
      </c>
      <c r="E23" s="69" t="s">
        <v>90</v>
      </c>
      <c r="F23" s="73">
        <v>73.540000000000006</v>
      </c>
      <c r="G23" s="57">
        <v>45</v>
      </c>
      <c r="H23" s="57">
        <v>77.599999999999994</v>
      </c>
      <c r="I23" s="57">
        <v>72.930000000000007</v>
      </c>
      <c r="J23" s="77">
        <v>73.260000000000005</v>
      </c>
      <c r="K23" s="81">
        <v>2510500</v>
      </c>
      <c r="L23" s="56">
        <v>5360500</v>
      </c>
      <c r="M23" s="56">
        <v>76</v>
      </c>
      <c r="N23" s="56">
        <v>29</v>
      </c>
      <c r="O23" s="57">
        <v>3.8</v>
      </c>
      <c r="P23" s="56">
        <v>70533</v>
      </c>
      <c r="Q23" s="56">
        <v>268025</v>
      </c>
      <c r="R23" s="56">
        <v>380852</v>
      </c>
      <c r="S23" s="56">
        <v>167367</v>
      </c>
      <c r="T23" s="56">
        <v>242173</v>
      </c>
      <c r="U23" s="77">
        <v>2.14</v>
      </c>
      <c r="V23" s="81">
        <v>20</v>
      </c>
      <c r="W23" s="85">
        <v>15</v>
      </c>
      <c r="X23" s="81">
        <v>184622170</v>
      </c>
      <c r="Y23" s="69" t="s">
        <v>75</v>
      </c>
      <c r="Z23" s="81">
        <v>2720980</v>
      </c>
      <c r="AA23" s="56">
        <v>4669790</v>
      </c>
      <c r="AB23" s="56">
        <v>7501080</v>
      </c>
      <c r="AC23" s="56">
        <v>698630</v>
      </c>
      <c r="AD23" s="56">
        <v>4963950</v>
      </c>
      <c r="AE23" s="54" t="s">
        <v>12</v>
      </c>
      <c r="AF23" s="56">
        <v>2537130</v>
      </c>
      <c r="AG23" s="56">
        <v>2316510</v>
      </c>
      <c r="AH23" s="56">
        <v>9192500</v>
      </c>
      <c r="AI23" s="56">
        <v>22282620</v>
      </c>
      <c r="AJ23" s="56">
        <v>3603460</v>
      </c>
      <c r="AK23" s="56">
        <v>13016580</v>
      </c>
      <c r="AL23" s="56">
        <v>992790</v>
      </c>
      <c r="AM23" s="56">
        <v>4228550</v>
      </c>
      <c r="AN23" s="56">
        <v>0</v>
      </c>
      <c r="AO23" s="56">
        <v>21620760</v>
      </c>
      <c r="AP23" s="56">
        <v>0</v>
      </c>
      <c r="AQ23" s="56">
        <v>22429700</v>
      </c>
      <c r="AR23" s="56">
        <v>0</v>
      </c>
      <c r="AS23" s="56">
        <v>735400</v>
      </c>
      <c r="AT23" s="56">
        <v>0</v>
      </c>
      <c r="AU23" s="56">
        <v>551550</v>
      </c>
      <c r="AV23" s="56">
        <v>36953850</v>
      </c>
      <c r="AW23" s="56">
        <v>257390</v>
      </c>
      <c r="AX23" s="56">
        <v>7979090</v>
      </c>
      <c r="AY23" s="56">
        <v>1544340</v>
      </c>
      <c r="AZ23" s="54" t="s">
        <v>12</v>
      </c>
      <c r="BA23" s="56">
        <v>4633020</v>
      </c>
      <c r="BB23" s="56">
        <v>3640230</v>
      </c>
      <c r="BC23" s="56">
        <v>1948810</v>
      </c>
      <c r="BD23" s="56">
        <v>1176640</v>
      </c>
      <c r="BE23" s="56">
        <v>2426820</v>
      </c>
      <c r="BF23" s="89" t="s">
        <v>12</v>
      </c>
    </row>
    <row r="24" spans="1:58" x14ac:dyDescent="0.4">
      <c r="A24" s="63">
        <v>44886</v>
      </c>
      <c r="B24" s="53">
        <v>44886.458765555559</v>
      </c>
      <c r="C24" s="54" t="s">
        <v>89</v>
      </c>
      <c r="D24" s="55" t="s">
        <v>74</v>
      </c>
      <c r="E24" s="69" t="s">
        <v>90</v>
      </c>
      <c r="F24" s="73">
        <v>73.36</v>
      </c>
      <c r="G24" s="57">
        <v>45</v>
      </c>
      <c r="H24" s="57">
        <v>75.900000000000006</v>
      </c>
      <c r="I24" s="57">
        <v>72.73</v>
      </c>
      <c r="J24" s="77">
        <v>73.16</v>
      </c>
      <c r="K24" s="81">
        <v>2510500</v>
      </c>
      <c r="L24" s="56">
        <v>5503000</v>
      </c>
      <c r="M24" s="56">
        <v>85</v>
      </c>
      <c r="N24" s="56">
        <v>32</v>
      </c>
      <c r="O24" s="57">
        <v>3.86</v>
      </c>
      <c r="P24" s="56">
        <v>64741</v>
      </c>
      <c r="Q24" s="56">
        <v>250136</v>
      </c>
      <c r="R24" s="56">
        <v>403422</v>
      </c>
      <c r="S24" s="56">
        <v>167367</v>
      </c>
      <c r="T24" s="56">
        <v>315875</v>
      </c>
      <c r="U24" s="77">
        <v>2.19</v>
      </c>
      <c r="V24" s="81">
        <v>22</v>
      </c>
      <c r="W24" s="85">
        <v>15</v>
      </c>
      <c r="X24" s="81">
        <v>184170280</v>
      </c>
      <c r="Y24" s="69" t="s">
        <v>75</v>
      </c>
      <c r="Z24" s="81">
        <v>2714320</v>
      </c>
      <c r="AA24" s="56">
        <v>4658360</v>
      </c>
      <c r="AB24" s="56">
        <v>7482720</v>
      </c>
      <c r="AC24" s="56">
        <v>696920</v>
      </c>
      <c r="AD24" s="56">
        <v>4951800</v>
      </c>
      <c r="AE24" s="54" t="s">
        <v>12</v>
      </c>
      <c r="AF24" s="56">
        <v>2530920</v>
      </c>
      <c r="AG24" s="56">
        <v>2310840</v>
      </c>
      <c r="AH24" s="56">
        <v>9170000</v>
      </c>
      <c r="AI24" s="56">
        <v>22228080</v>
      </c>
      <c r="AJ24" s="56">
        <v>3594640</v>
      </c>
      <c r="AK24" s="56">
        <v>12984720</v>
      </c>
      <c r="AL24" s="56">
        <v>990360</v>
      </c>
      <c r="AM24" s="56">
        <v>4218200</v>
      </c>
      <c r="AN24" s="56">
        <v>0</v>
      </c>
      <c r="AO24" s="56">
        <v>21567840</v>
      </c>
      <c r="AP24" s="56">
        <v>0</v>
      </c>
      <c r="AQ24" s="56">
        <v>22374800</v>
      </c>
      <c r="AR24" s="56">
        <v>0</v>
      </c>
      <c r="AS24" s="56">
        <v>733600</v>
      </c>
      <c r="AT24" s="56">
        <v>0</v>
      </c>
      <c r="AU24" s="56">
        <v>550200</v>
      </c>
      <c r="AV24" s="56">
        <v>36863400</v>
      </c>
      <c r="AW24" s="56">
        <v>256760</v>
      </c>
      <c r="AX24" s="56">
        <v>7959560</v>
      </c>
      <c r="AY24" s="56">
        <v>1540560</v>
      </c>
      <c r="AZ24" s="54" t="s">
        <v>12</v>
      </c>
      <c r="BA24" s="56">
        <v>4621680</v>
      </c>
      <c r="BB24" s="56">
        <v>3631320</v>
      </c>
      <c r="BC24" s="56">
        <v>1944040</v>
      </c>
      <c r="BD24" s="56">
        <v>1173760</v>
      </c>
      <c r="BE24" s="56">
        <v>2420880</v>
      </c>
      <c r="BF24" s="89" t="s">
        <v>12</v>
      </c>
    </row>
    <row r="25" spans="1:58" x14ac:dyDescent="0.4">
      <c r="A25" s="63">
        <v>44883</v>
      </c>
      <c r="B25" s="53">
        <v>44883.45880025463</v>
      </c>
      <c r="C25" s="54" t="s">
        <v>91</v>
      </c>
      <c r="D25" s="55" t="s">
        <v>74</v>
      </c>
      <c r="E25" s="69" t="s">
        <v>90</v>
      </c>
      <c r="F25" s="73">
        <v>72.22</v>
      </c>
      <c r="G25" s="57">
        <v>60</v>
      </c>
      <c r="H25" s="57">
        <v>76</v>
      </c>
      <c r="I25" s="57">
        <v>71.849999999999994</v>
      </c>
      <c r="J25" s="77">
        <v>72.22</v>
      </c>
      <c r="K25" s="81">
        <v>1861500</v>
      </c>
      <c r="L25" s="56">
        <v>4667000</v>
      </c>
      <c r="M25" s="56">
        <v>65</v>
      </c>
      <c r="N25" s="56">
        <v>33</v>
      </c>
      <c r="O25" s="57">
        <v>3.61</v>
      </c>
      <c r="P25" s="56">
        <v>71800</v>
      </c>
      <c r="Q25" s="56">
        <v>259278</v>
      </c>
      <c r="R25" s="56">
        <v>452179</v>
      </c>
      <c r="S25" s="56">
        <v>116344</v>
      </c>
      <c r="T25" s="56">
        <v>283459</v>
      </c>
      <c r="U25" s="77">
        <v>2.5099999999999998</v>
      </c>
      <c r="V25" s="81">
        <v>18</v>
      </c>
      <c r="W25" s="85">
        <v>16</v>
      </c>
      <c r="X25" s="81">
        <v>134437530</v>
      </c>
      <c r="Y25" s="69" t="s">
        <v>77</v>
      </c>
      <c r="Z25" s="87" t="s">
        <v>12</v>
      </c>
      <c r="AA25" s="54" t="s">
        <v>12</v>
      </c>
      <c r="AB25" s="54" t="s">
        <v>12</v>
      </c>
      <c r="AC25" s="54" t="s">
        <v>12</v>
      </c>
      <c r="AD25" s="54" t="s">
        <v>12</v>
      </c>
      <c r="AE25" s="56">
        <v>134437530</v>
      </c>
      <c r="AF25" s="54" t="s">
        <v>12</v>
      </c>
      <c r="AG25" s="54" t="s">
        <v>12</v>
      </c>
      <c r="AH25" s="54" t="s">
        <v>12</v>
      </c>
      <c r="AI25" s="54" t="s">
        <v>12</v>
      </c>
      <c r="AJ25" s="54" t="s">
        <v>12</v>
      </c>
      <c r="AK25" s="54" t="s">
        <v>12</v>
      </c>
      <c r="AL25" s="54" t="s">
        <v>12</v>
      </c>
      <c r="AM25" s="54" t="s">
        <v>12</v>
      </c>
      <c r="AN25" s="54" t="s">
        <v>12</v>
      </c>
      <c r="AO25" s="54" t="s">
        <v>12</v>
      </c>
      <c r="AP25" s="54" t="s">
        <v>12</v>
      </c>
      <c r="AQ25" s="54" t="s">
        <v>12</v>
      </c>
      <c r="AR25" s="54" t="s">
        <v>12</v>
      </c>
      <c r="AS25" s="54" t="s">
        <v>12</v>
      </c>
      <c r="AT25" s="54" t="s">
        <v>12</v>
      </c>
      <c r="AU25" s="54" t="s">
        <v>12</v>
      </c>
      <c r="AV25" s="54" t="s">
        <v>12</v>
      </c>
      <c r="AW25" s="54" t="s">
        <v>12</v>
      </c>
      <c r="AX25" s="54" t="s">
        <v>12</v>
      </c>
      <c r="AY25" s="54" t="s">
        <v>12</v>
      </c>
      <c r="AZ25" s="54" t="s">
        <v>12</v>
      </c>
      <c r="BA25" s="54" t="s">
        <v>12</v>
      </c>
      <c r="BB25" s="54" t="s">
        <v>12</v>
      </c>
      <c r="BC25" s="54" t="s">
        <v>12</v>
      </c>
      <c r="BD25" s="54" t="s">
        <v>12</v>
      </c>
      <c r="BE25" s="54" t="s">
        <v>12</v>
      </c>
      <c r="BF25" s="89" t="s">
        <v>12</v>
      </c>
    </row>
    <row r="26" spans="1:58" x14ac:dyDescent="0.4">
      <c r="A26" s="63">
        <v>44882</v>
      </c>
      <c r="B26" s="53">
        <v>44882.458871875002</v>
      </c>
      <c r="C26" s="54" t="s">
        <v>89</v>
      </c>
      <c r="D26" s="55" t="s">
        <v>74</v>
      </c>
      <c r="E26" s="69" t="s">
        <v>90</v>
      </c>
      <c r="F26" s="73">
        <v>73.31</v>
      </c>
      <c r="G26" s="57">
        <v>45</v>
      </c>
      <c r="H26" s="57">
        <v>79</v>
      </c>
      <c r="I26" s="57">
        <v>73.37</v>
      </c>
      <c r="J26" s="77">
        <v>73.709999999999994</v>
      </c>
      <c r="K26" s="81">
        <v>2510500</v>
      </c>
      <c r="L26" s="56">
        <v>4054500</v>
      </c>
      <c r="M26" s="56">
        <v>65</v>
      </c>
      <c r="N26" s="56">
        <v>50</v>
      </c>
      <c r="O26" s="57">
        <v>3.82</v>
      </c>
      <c r="P26" s="56">
        <v>62377</v>
      </c>
      <c r="Q26" s="56">
        <v>238500</v>
      </c>
      <c r="R26" s="56">
        <v>410980</v>
      </c>
      <c r="S26" s="56">
        <v>147676</v>
      </c>
      <c r="T26" s="56">
        <v>265935</v>
      </c>
      <c r="U26" s="77">
        <v>1.62</v>
      </c>
      <c r="V26" s="81">
        <v>17</v>
      </c>
      <c r="W26" s="85">
        <v>17</v>
      </c>
      <c r="X26" s="81">
        <v>184044755</v>
      </c>
      <c r="Y26" s="69" t="s">
        <v>75</v>
      </c>
      <c r="Z26" s="81">
        <v>2712470</v>
      </c>
      <c r="AA26" s="56">
        <v>4655185</v>
      </c>
      <c r="AB26" s="56">
        <v>7477620</v>
      </c>
      <c r="AC26" s="56">
        <v>696445</v>
      </c>
      <c r="AD26" s="56">
        <v>4948425</v>
      </c>
      <c r="AE26" s="54" t="s">
        <v>12</v>
      </c>
      <c r="AF26" s="56">
        <v>2529195</v>
      </c>
      <c r="AG26" s="56">
        <v>2309265</v>
      </c>
      <c r="AH26" s="56">
        <v>9163750</v>
      </c>
      <c r="AI26" s="56">
        <v>22212930</v>
      </c>
      <c r="AJ26" s="56">
        <v>3592190</v>
      </c>
      <c r="AK26" s="56">
        <v>12975870</v>
      </c>
      <c r="AL26" s="56">
        <v>989685</v>
      </c>
      <c r="AM26" s="56">
        <v>4215325</v>
      </c>
      <c r="AN26" s="56">
        <v>0</v>
      </c>
      <c r="AO26" s="56">
        <v>21553140</v>
      </c>
      <c r="AP26" s="56">
        <v>0</v>
      </c>
      <c r="AQ26" s="56">
        <v>22359550</v>
      </c>
      <c r="AR26" s="56">
        <v>0</v>
      </c>
      <c r="AS26" s="56">
        <v>733100</v>
      </c>
      <c r="AT26" s="56">
        <v>0</v>
      </c>
      <c r="AU26" s="56">
        <v>549825</v>
      </c>
      <c r="AV26" s="56">
        <v>36838275</v>
      </c>
      <c r="AW26" s="56">
        <v>256585</v>
      </c>
      <c r="AX26" s="56">
        <v>7954135</v>
      </c>
      <c r="AY26" s="56">
        <v>1539510</v>
      </c>
      <c r="AZ26" s="54" t="s">
        <v>12</v>
      </c>
      <c r="BA26" s="56">
        <v>4618530</v>
      </c>
      <c r="BB26" s="56">
        <v>3628845</v>
      </c>
      <c r="BC26" s="56">
        <v>1942715</v>
      </c>
      <c r="BD26" s="56">
        <v>1172960</v>
      </c>
      <c r="BE26" s="56">
        <v>2419230</v>
      </c>
      <c r="BF26" s="89" t="s">
        <v>12</v>
      </c>
    </row>
    <row r="27" spans="1:58" x14ac:dyDescent="0.4">
      <c r="A27" s="63">
        <v>44881</v>
      </c>
      <c r="B27" s="53">
        <v>44881.458660393517</v>
      </c>
      <c r="C27" s="54" t="s">
        <v>93</v>
      </c>
      <c r="D27" s="55" t="s">
        <v>81</v>
      </c>
      <c r="E27" s="69" t="s">
        <v>90</v>
      </c>
      <c r="F27" s="73">
        <v>74.25</v>
      </c>
      <c r="G27" s="57">
        <v>72.5</v>
      </c>
      <c r="H27" s="57">
        <v>75.23</v>
      </c>
      <c r="I27" s="57">
        <v>74.34</v>
      </c>
      <c r="J27" s="77">
        <v>74.36</v>
      </c>
      <c r="K27" s="81">
        <v>602000</v>
      </c>
      <c r="L27" s="56">
        <v>954000</v>
      </c>
      <c r="M27" s="56">
        <v>35</v>
      </c>
      <c r="N27" s="56">
        <v>21</v>
      </c>
      <c r="O27" s="57">
        <v>5</v>
      </c>
      <c r="P27" s="56">
        <v>27257</v>
      </c>
      <c r="Q27" s="56">
        <v>136286</v>
      </c>
      <c r="R27" s="56">
        <v>195404</v>
      </c>
      <c r="S27" s="56">
        <v>120400</v>
      </c>
      <c r="T27" s="56">
        <v>127820</v>
      </c>
      <c r="U27" s="77">
        <v>1.58</v>
      </c>
      <c r="V27" s="81">
        <v>7</v>
      </c>
      <c r="W27" s="85">
        <v>5</v>
      </c>
      <c r="X27" s="81">
        <v>44698500</v>
      </c>
      <c r="Y27" s="69" t="s">
        <v>75</v>
      </c>
      <c r="Z27" s="81">
        <v>1225125</v>
      </c>
      <c r="AA27" s="56">
        <v>1522125</v>
      </c>
      <c r="AB27" s="56">
        <v>556875</v>
      </c>
      <c r="AC27" s="56">
        <v>445500</v>
      </c>
      <c r="AD27" s="56">
        <v>556875</v>
      </c>
      <c r="AE27" s="54" t="s">
        <v>12</v>
      </c>
      <c r="AF27" s="56">
        <v>1485000</v>
      </c>
      <c r="AG27" s="56">
        <v>111375</v>
      </c>
      <c r="AH27" s="56">
        <v>2895750</v>
      </c>
      <c r="AI27" s="56">
        <v>8241750</v>
      </c>
      <c r="AJ27" s="56">
        <v>1113750</v>
      </c>
      <c r="AK27" s="56">
        <v>6199875</v>
      </c>
      <c r="AL27" s="56">
        <v>482625</v>
      </c>
      <c r="AM27" s="56">
        <v>594000</v>
      </c>
      <c r="AN27" s="56">
        <v>1002375</v>
      </c>
      <c r="AO27" s="54" t="s">
        <v>12</v>
      </c>
      <c r="AP27" s="56">
        <v>445500</v>
      </c>
      <c r="AQ27" s="56">
        <v>6756750</v>
      </c>
      <c r="AR27" s="56">
        <v>0</v>
      </c>
      <c r="AS27" s="56">
        <v>185625</v>
      </c>
      <c r="AT27" s="56">
        <v>222750</v>
      </c>
      <c r="AU27" s="56">
        <v>297000</v>
      </c>
      <c r="AV27" s="54" t="s">
        <v>12</v>
      </c>
      <c r="AW27" s="56">
        <v>297000</v>
      </c>
      <c r="AX27" s="56">
        <v>2413125</v>
      </c>
      <c r="AY27" s="56">
        <v>2376000</v>
      </c>
      <c r="AZ27" s="54" t="s">
        <v>12</v>
      </c>
      <c r="BA27" s="56">
        <v>2079000</v>
      </c>
      <c r="BB27" s="56">
        <v>965250</v>
      </c>
      <c r="BC27" s="56">
        <v>2041875</v>
      </c>
      <c r="BD27" s="56">
        <v>37125</v>
      </c>
      <c r="BE27" s="56">
        <v>148500</v>
      </c>
      <c r="BF27" s="89" t="s">
        <v>12</v>
      </c>
    </row>
    <row r="28" spans="1:58" x14ac:dyDescent="0.4">
      <c r="A28" s="63">
        <v>44880</v>
      </c>
      <c r="B28" s="53">
        <v>44880.458945138889</v>
      </c>
      <c r="C28" s="54" t="s">
        <v>89</v>
      </c>
      <c r="D28" s="55" t="s">
        <v>74</v>
      </c>
      <c r="E28" s="69" t="s">
        <v>90</v>
      </c>
      <c r="F28" s="73">
        <v>74.930000000000007</v>
      </c>
      <c r="G28" s="57">
        <v>45</v>
      </c>
      <c r="H28" s="57">
        <v>79</v>
      </c>
      <c r="I28" s="57">
        <v>74.760000000000005</v>
      </c>
      <c r="J28" s="77">
        <v>75.12</v>
      </c>
      <c r="K28" s="81">
        <v>2510500</v>
      </c>
      <c r="L28" s="56">
        <v>4354000</v>
      </c>
      <c r="M28" s="56">
        <v>69</v>
      </c>
      <c r="N28" s="56">
        <v>44</v>
      </c>
      <c r="O28" s="57">
        <v>4.0599999999999996</v>
      </c>
      <c r="P28" s="56">
        <v>63101</v>
      </c>
      <c r="Q28" s="56">
        <v>256118</v>
      </c>
      <c r="R28" s="56">
        <v>388914</v>
      </c>
      <c r="S28" s="56">
        <v>167367</v>
      </c>
      <c r="T28" s="56">
        <v>259294</v>
      </c>
      <c r="U28" s="77">
        <v>1.73</v>
      </c>
      <c r="V28" s="81">
        <v>17</v>
      </c>
      <c r="W28" s="85">
        <v>15</v>
      </c>
      <c r="X28" s="81">
        <v>188111765</v>
      </c>
      <c r="Y28" s="69" t="s">
        <v>75</v>
      </c>
      <c r="Z28" s="81">
        <v>2772410</v>
      </c>
      <c r="AA28" s="56">
        <v>4758055</v>
      </c>
      <c r="AB28" s="56">
        <v>7642860</v>
      </c>
      <c r="AC28" s="56">
        <v>711835</v>
      </c>
      <c r="AD28" s="56">
        <v>5057775</v>
      </c>
      <c r="AE28" s="54" t="s">
        <v>12</v>
      </c>
      <c r="AF28" s="56">
        <v>2585085</v>
      </c>
      <c r="AG28" s="56">
        <v>2360295</v>
      </c>
      <c r="AH28" s="56">
        <v>9366250</v>
      </c>
      <c r="AI28" s="56">
        <v>22703790</v>
      </c>
      <c r="AJ28" s="56">
        <v>3671570</v>
      </c>
      <c r="AK28" s="56">
        <v>13262610</v>
      </c>
      <c r="AL28" s="56">
        <v>1011555</v>
      </c>
      <c r="AM28" s="56">
        <v>4308475</v>
      </c>
      <c r="AN28" s="56">
        <v>0</v>
      </c>
      <c r="AO28" s="56">
        <v>22029420</v>
      </c>
      <c r="AP28" s="56">
        <v>0</v>
      </c>
      <c r="AQ28" s="56">
        <v>22853650</v>
      </c>
      <c r="AR28" s="56">
        <v>0</v>
      </c>
      <c r="AS28" s="56">
        <v>749300</v>
      </c>
      <c r="AT28" s="56">
        <v>0</v>
      </c>
      <c r="AU28" s="56">
        <v>561975</v>
      </c>
      <c r="AV28" s="56">
        <v>37652325</v>
      </c>
      <c r="AW28" s="56">
        <v>262255</v>
      </c>
      <c r="AX28" s="56">
        <v>8129905</v>
      </c>
      <c r="AY28" s="56">
        <v>1573530</v>
      </c>
      <c r="AZ28" s="54" t="s">
        <v>12</v>
      </c>
      <c r="BA28" s="56">
        <v>4720590</v>
      </c>
      <c r="BB28" s="56">
        <v>3709035</v>
      </c>
      <c r="BC28" s="56">
        <v>1985645</v>
      </c>
      <c r="BD28" s="56">
        <v>1198880</v>
      </c>
      <c r="BE28" s="56">
        <v>2472690</v>
      </c>
      <c r="BF28" s="89" t="s">
        <v>12</v>
      </c>
    </row>
    <row r="29" spans="1:58" x14ac:dyDescent="0.4">
      <c r="A29" s="63">
        <v>44879</v>
      </c>
      <c r="B29" s="53">
        <v>44879.458703969911</v>
      </c>
      <c r="C29" s="54" t="s">
        <v>89</v>
      </c>
      <c r="D29" s="55" t="s">
        <v>74</v>
      </c>
      <c r="E29" s="69" t="s">
        <v>90</v>
      </c>
      <c r="F29" s="73">
        <v>74.849999999999994</v>
      </c>
      <c r="G29" s="57">
        <v>67.48</v>
      </c>
      <c r="H29" s="57">
        <v>77.3</v>
      </c>
      <c r="I29" s="57">
        <v>74.69</v>
      </c>
      <c r="J29" s="77">
        <v>74.650000000000006</v>
      </c>
      <c r="K29" s="81">
        <v>2510500</v>
      </c>
      <c r="L29" s="56">
        <v>4926000</v>
      </c>
      <c r="M29" s="56">
        <v>79</v>
      </c>
      <c r="N29" s="56">
        <v>29</v>
      </c>
      <c r="O29" s="57">
        <v>3.95</v>
      </c>
      <c r="P29" s="56">
        <v>62354</v>
      </c>
      <c r="Q29" s="56">
        <v>246300</v>
      </c>
      <c r="R29" s="56">
        <v>423501</v>
      </c>
      <c r="S29" s="56">
        <v>167367</v>
      </c>
      <c r="T29" s="56">
        <v>333330</v>
      </c>
      <c r="U29" s="77">
        <v>1.96</v>
      </c>
      <c r="V29" s="81">
        <v>20</v>
      </c>
      <c r="W29" s="85">
        <v>15</v>
      </c>
      <c r="X29" s="81">
        <v>187910925</v>
      </c>
      <c r="Y29" s="69" t="s">
        <v>75</v>
      </c>
      <c r="Z29" s="81">
        <v>2769450</v>
      </c>
      <c r="AA29" s="56">
        <v>4752975</v>
      </c>
      <c r="AB29" s="56">
        <v>7634700</v>
      </c>
      <c r="AC29" s="56">
        <v>711075</v>
      </c>
      <c r="AD29" s="56">
        <v>5052375</v>
      </c>
      <c r="AE29" s="54" t="s">
        <v>12</v>
      </c>
      <c r="AF29" s="56">
        <v>2582325</v>
      </c>
      <c r="AG29" s="56">
        <v>2357775</v>
      </c>
      <c r="AH29" s="56">
        <v>9356250</v>
      </c>
      <c r="AI29" s="56">
        <v>22679550</v>
      </c>
      <c r="AJ29" s="56">
        <v>3667650</v>
      </c>
      <c r="AK29" s="56">
        <v>13248450</v>
      </c>
      <c r="AL29" s="56">
        <v>1010475</v>
      </c>
      <c r="AM29" s="56">
        <v>4303875</v>
      </c>
      <c r="AN29" s="56">
        <v>0</v>
      </c>
      <c r="AO29" s="56">
        <v>22005900</v>
      </c>
      <c r="AP29" s="56">
        <v>0</v>
      </c>
      <c r="AQ29" s="56">
        <v>22829250</v>
      </c>
      <c r="AR29" s="56">
        <v>0</v>
      </c>
      <c r="AS29" s="56">
        <v>748500</v>
      </c>
      <c r="AT29" s="56">
        <v>0</v>
      </c>
      <c r="AU29" s="56">
        <v>561375</v>
      </c>
      <c r="AV29" s="56">
        <v>37612125</v>
      </c>
      <c r="AW29" s="56">
        <v>261975</v>
      </c>
      <c r="AX29" s="56">
        <v>8121225</v>
      </c>
      <c r="AY29" s="56">
        <v>1571850</v>
      </c>
      <c r="AZ29" s="54" t="s">
        <v>12</v>
      </c>
      <c r="BA29" s="56">
        <v>4715550</v>
      </c>
      <c r="BB29" s="56">
        <v>3705075</v>
      </c>
      <c r="BC29" s="56">
        <v>1983525</v>
      </c>
      <c r="BD29" s="56">
        <v>1197600</v>
      </c>
      <c r="BE29" s="56">
        <v>2470050</v>
      </c>
      <c r="BF29" s="89" t="s">
        <v>12</v>
      </c>
    </row>
    <row r="30" spans="1:58" x14ac:dyDescent="0.4">
      <c r="A30" s="63">
        <v>44876</v>
      </c>
      <c r="B30" s="53">
        <v>44876.459057141205</v>
      </c>
      <c r="C30" s="54" t="s">
        <v>91</v>
      </c>
      <c r="D30" s="55" t="s">
        <v>74</v>
      </c>
      <c r="E30" s="69" t="s">
        <v>90</v>
      </c>
      <c r="F30" s="73">
        <v>73.33</v>
      </c>
      <c r="G30" s="57">
        <v>60</v>
      </c>
      <c r="H30" s="57">
        <v>75.75</v>
      </c>
      <c r="I30" s="57">
        <v>73.099999999999994</v>
      </c>
      <c r="J30" s="77">
        <v>73.290000000000006</v>
      </c>
      <c r="K30" s="81">
        <v>1861500</v>
      </c>
      <c r="L30" s="56">
        <v>4295000</v>
      </c>
      <c r="M30" s="56">
        <v>71</v>
      </c>
      <c r="N30" s="56">
        <v>35</v>
      </c>
      <c r="O30" s="57">
        <v>3.74</v>
      </c>
      <c r="P30" s="56">
        <v>60493</v>
      </c>
      <c r="Q30" s="56">
        <v>226053</v>
      </c>
      <c r="R30" s="56">
        <v>331727</v>
      </c>
      <c r="S30" s="56">
        <v>116344</v>
      </c>
      <c r="T30" s="56">
        <v>145222</v>
      </c>
      <c r="U30" s="77">
        <v>2.31</v>
      </c>
      <c r="V30" s="81">
        <v>19</v>
      </c>
      <c r="W30" s="85">
        <v>16</v>
      </c>
      <c r="X30" s="81">
        <v>136503795</v>
      </c>
      <c r="Y30" s="69" t="s">
        <v>77</v>
      </c>
      <c r="Z30" s="87" t="s">
        <v>12</v>
      </c>
      <c r="AA30" s="54" t="s">
        <v>12</v>
      </c>
      <c r="AB30" s="54" t="s">
        <v>12</v>
      </c>
      <c r="AC30" s="54" t="s">
        <v>12</v>
      </c>
      <c r="AD30" s="54" t="s">
        <v>12</v>
      </c>
      <c r="AE30" s="56">
        <v>136503795</v>
      </c>
      <c r="AF30" s="54" t="s">
        <v>12</v>
      </c>
      <c r="AG30" s="54" t="s">
        <v>12</v>
      </c>
      <c r="AH30" s="54" t="s">
        <v>12</v>
      </c>
      <c r="AI30" s="54" t="s">
        <v>12</v>
      </c>
      <c r="AJ30" s="54" t="s">
        <v>12</v>
      </c>
      <c r="AK30" s="54" t="s">
        <v>12</v>
      </c>
      <c r="AL30" s="54" t="s">
        <v>12</v>
      </c>
      <c r="AM30" s="54" t="s">
        <v>12</v>
      </c>
      <c r="AN30" s="54" t="s">
        <v>12</v>
      </c>
      <c r="AO30" s="54" t="s">
        <v>12</v>
      </c>
      <c r="AP30" s="54" t="s">
        <v>12</v>
      </c>
      <c r="AQ30" s="54" t="s">
        <v>12</v>
      </c>
      <c r="AR30" s="54" t="s">
        <v>12</v>
      </c>
      <c r="AS30" s="54" t="s">
        <v>12</v>
      </c>
      <c r="AT30" s="54" t="s">
        <v>12</v>
      </c>
      <c r="AU30" s="54" t="s">
        <v>12</v>
      </c>
      <c r="AV30" s="54" t="s">
        <v>12</v>
      </c>
      <c r="AW30" s="54" t="s">
        <v>12</v>
      </c>
      <c r="AX30" s="54" t="s">
        <v>12</v>
      </c>
      <c r="AY30" s="54" t="s">
        <v>12</v>
      </c>
      <c r="AZ30" s="54" t="s">
        <v>12</v>
      </c>
      <c r="BA30" s="54" t="s">
        <v>12</v>
      </c>
      <c r="BB30" s="54" t="s">
        <v>12</v>
      </c>
      <c r="BC30" s="54" t="s">
        <v>12</v>
      </c>
      <c r="BD30" s="54" t="s">
        <v>12</v>
      </c>
      <c r="BE30" s="54" t="s">
        <v>12</v>
      </c>
      <c r="BF30" s="89" t="s">
        <v>12</v>
      </c>
    </row>
    <row r="31" spans="1:58" x14ac:dyDescent="0.4">
      <c r="A31" s="63">
        <v>44875</v>
      </c>
      <c r="B31" s="53">
        <v>44875.458678194445</v>
      </c>
      <c r="C31" s="54" t="s">
        <v>89</v>
      </c>
      <c r="D31" s="55" t="s">
        <v>74</v>
      </c>
      <c r="E31" s="69" t="s">
        <v>90</v>
      </c>
      <c r="F31" s="73">
        <v>71.62</v>
      </c>
      <c r="G31" s="57">
        <v>60</v>
      </c>
      <c r="H31" s="57">
        <v>77</v>
      </c>
      <c r="I31" s="57">
        <v>70.739999999999995</v>
      </c>
      <c r="J31" s="77">
        <v>70.7</v>
      </c>
      <c r="K31" s="81">
        <v>2510500</v>
      </c>
      <c r="L31" s="56">
        <v>5622000</v>
      </c>
      <c r="M31" s="56">
        <v>74</v>
      </c>
      <c r="N31" s="56">
        <v>14</v>
      </c>
      <c r="O31" s="57">
        <v>3.52</v>
      </c>
      <c r="P31" s="56">
        <v>75973</v>
      </c>
      <c r="Q31" s="56">
        <v>267714</v>
      </c>
      <c r="R31" s="56">
        <v>436486</v>
      </c>
      <c r="S31" s="56">
        <v>313813</v>
      </c>
      <c r="T31" s="56">
        <v>425868</v>
      </c>
      <c r="U31" s="77">
        <v>2.2400000000000002</v>
      </c>
      <c r="V31" s="81">
        <v>21</v>
      </c>
      <c r="W31" s="85">
        <v>8</v>
      </c>
      <c r="X31" s="81">
        <v>179802010</v>
      </c>
      <c r="Y31" s="69" t="s">
        <v>75</v>
      </c>
      <c r="Z31" s="81">
        <v>2649940</v>
      </c>
      <c r="AA31" s="56">
        <v>4547870</v>
      </c>
      <c r="AB31" s="56">
        <v>7305240</v>
      </c>
      <c r="AC31" s="56">
        <v>680390</v>
      </c>
      <c r="AD31" s="56">
        <v>4834350</v>
      </c>
      <c r="AE31" s="54" t="s">
        <v>12</v>
      </c>
      <c r="AF31" s="56">
        <v>2470890</v>
      </c>
      <c r="AG31" s="56">
        <v>2256030</v>
      </c>
      <c r="AH31" s="56">
        <v>8952500</v>
      </c>
      <c r="AI31" s="56">
        <v>21700860</v>
      </c>
      <c r="AJ31" s="56">
        <v>3509380</v>
      </c>
      <c r="AK31" s="56">
        <v>12676740</v>
      </c>
      <c r="AL31" s="56">
        <v>966870</v>
      </c>
      <c r="AM31" s="56">
        <v>4118150</v>
      </c>
      <c r="AN31" s="56">
        <v>0</v>
      </c>
      <c r="AO31" s="56">
        <v>21056280</v>
      </c>
      <c r="AP31" s="56">
        <v>0</v>
      </c>
      <c r="AQ31" s="56">
        <v>21844100</v>
      </c>
      <c r="AR31" s="56">
        <v>0</v>
      </c>
      <c r="AS31" s="56">
        <v>716200</v>
      </c>
      <c r="AT31" s="56">
        <v>0</v>
      </c>
      <c r="AU31" s="56">
        <v>537150</v>
      </c>
      <c r="AV31" s="56">
        <v>35989050</v>
      </c>
      <c r="AW31" s="56">
        <v>250670</v>
      </c>
      <c r="AX31" s="56">
        <v>7770770</v>
      </c>
      <c r="AY31" s="56">
        <v>1504020</v>
      </c>
      <c r="AZ31" s="54" t="s">
        <v>12</v>
      </c>
      <c r="BA31" s="56">
        <v>4512060</v>
      </c>
      <c r="BB31" s="56">
        <v>3545190</v>
      </c>
      <c r="BC31" s="56">
        <v>1897930</v>
      </c>
      <c r="BD31" s="56">
        <v>1145920</v>
      </c>
      <c r="BE31" s="56">
        <v>2363460</v>
      </c>
      <c r="BF31" s="89" t="s">
        <v>12</v>
      </c>
    </row>
    <row r="32" spans="1:58" x14ac:dyDescent="0.4">
      <c r="A32" s="63">
        <v>44874</v>
      </c>
      <c r="B32" s="53">
        <v>44874.45876296296</v>
      </c>
      <c r="C32" s="54" t="s">
        <v>92</v>
      </c>
      <c r="D32" s="55" t="s">
        <v>74</v>
      </c>
      <c r="E32" s="69" t="s">
        <v>90</v>
      </c>
      <c r="F32" s="73">
        <v>75.349999999999994</v>
      </c>
      <c r="G32" s="57">
        <v>68.02</v>
      </c>
      <c r="H32" s="57">
        <v>80</v>
      </c>
      <c r="I32" s="57">
        <v>75.53</v>
      </c>
      <c r="J32" s="77">
        <v>75.349999999999994</v>
      </c>
      <c r="K32" s="81">
        <v>3101500</v>
      </c>
      <c r="L32" s="56">
        <v>5108000</v>
      </c>
      <c r="M32" s="56">
        <v>76</v>
      </c>
      <c r="N32" s="56">
        <v>39</v>
      </c>
      <c r="O32" s="57">
        <v>4.47</v>
      </c>
      <c r="P32" s="56">
        <v>67211</v>
      </c>
      <c r="Q32" s="56">
        <v>300471</v>
      </c>
      <c r="R32" s="56">
        <v>468830</v>
      </c>
      <c r="S32" s="56">
        <v>206767</v>
      </c>
      <c r="T32" s="56">
        <v>361064</v>
      </c>
      <c r="U32" s="77">
        <v>1.65</v>
      </c>
      <c r="V32" s="81">
        <v>17</v>
      </c>
      <c r="W32" s="85">
        <v>15</v>
      </c>
      <c r="X32" s="81">
        <v>233698025</v>
      </c>
      <c r="Y32" s="69" t="s">
        <v>79</v>
      </c>
      <c r="Z32" s="87" t="s">
        <v>12</v>
      </c>
      <c r="AA32" s="54" t="s">
        <v>12</v>
      </c>
      <c r="AB32" s="54" t="s">
        <v>12</v>
      </c>
      <c r="AC32" s="54" t="s">
        <v>12</v>
      </c>
      <c r="AD32" s="54" t="s">
        <v>12</v>
      </c>
      <c r="AE32" s="54" t="s">
        <v>12</v>
      </c>
      <c r="AF32" s="54" t="s">
        <v>12</v>
      </c>
      <c r="AG32" s="54" t="s">
        <v>12</v>
      </c>
      <c r="AH32" s="54" t="s">
        <v>12</v>
      </c>
      <c r="AI32" s="54" t="s">
        <v>12</v>
      </c>
      <c r="AJ32" s="54" t="s">
        <v>12</v>
      </c>
      <c r="AK32" s="54" t="s">
        <v>12</v>
      </c>
      <c r="AL32" s="54" t="s">
        <v>12</v>
      </c>
      <c r="AM32" s="54" t="s">
        <v>12</v>
      </c>
      <c r="AN32" s="54" t="s">
        <v>12</v>
      </c>
      <c r="AO32" s="54" t="s">
        <v>12</v>
      </c>
      <c r="AP32" s="54" t="s">
        <v>12</v>
      </c>
      <c r="AQ32" s="54" t="s">
        <v>12</v>
      </c>
      <c r="AR32" s="54" t="s">
        <v>12</v>
      </c>
      <c r="AS32" s="54" t="s">
        <v>12</v>
      </c>
      <c r="AT32" s="54" t="s">
        <v>12</v>
      </c>
      <c r="AU32" s="54" t="s">
        <v>12</v>
      </c>
      <c r="AV32" s="54" t="s">
        <v>12</v>
      </c>
      <c r="AW32" s="54" t="s">
        <v>12</v>
      </c>
      <c r="AX32" s="54" t="s">
        <v>12</v>
      </c>
      <c r="AY32" s="54" t="s">
        <v>12</v>
      </c>
      <c r="AZ32" s="56">
        <v>233698025</v>
      </c>
      <c r="BA32" s="54" t="s">
        <v>12</v>
      </c>
      <c r="BB32" s="54" t="s">
        <v>12</v>
      </c>
      <c r="BC32" s="54" t="s">
        <v>12</v>
      </c>
      <c r="BD32" s="54" t="s">
        <v>12</v>
      </c>
      <c r="BE32" s="54" t="s">
        <v>12</v>
      </c>
      <c r="BF32" s="89" t="s">
        <v>12</v>
      </c>
    </row>
    <row r="33" spans="1:58" x14ac:dyDescent="0.4">
      <c r="A33" s="63">
        <v>44873</v>
      </c>
      <c r="B33" s="53">
        <v>44873.458837303238</v>
      </c>
      <c r="C33" s="54" t="s">
        <v>89</v>
      </c>
      <c r="D33" s="55" t="s">
        <v>74</v>
      </c>
      <c r="E33" s="69" t="s">
        <v>90</v>
      </c>
      <c r="F33" s="73">
        <v>76.02</v>
      </c>
      <c r="G33" s="57">
        <v>60</v>
      </c>
      <c r="H33" s="57">
        <v>80</v>
      </c>
      <c r="I33" s="57">
        <v>76.010000000000005</v>
      </c>
      <c r="J33" s="77">
        <v>76.13</v>
      </c>
      <c r="K33" s="81">
        <v>2510500</v>
      </c>
      <c r="L33" s="56">
        <v>4924000</v>
      </c>
      <c r="M33" s="56">
        <v>72</v>
      </c>
      <c r="N33" s="56">
        <v>41</v>
      </c>
      <c r="O33" s="57">
        <v>3.6</v>
      </c>
      <c r="P33" s="56">
        <v>68389</v>
      </c>
      <c r="Q33" s="56">
        <v>246200</v>
      </c>
      <c r="R33" s="56">
        <v>372981</v>
      </c>
      <c r="S33" s="56">
        <v>147676</v>
      </c>
      <c r="T33" s="56">
        <v>241130</v>
      </c>
      <c r="U33" s="77">
        <v>1.96</v>
      </c>
      <c r="V33" s="81">
        <v>20</v>
      </c>
      <c r="W33" s="85">
        <v>17</v>
      </c>
      <c r="X33" s="81">
        <v>190848210</v>
      </c>
      <c r="Y33" s="69" t="s">
        <v>75</v>
      </c>
      <c r="Z33" s="81">
        <v>2812740</v>
      </c>
      <c r="AA33" s="56">
        <v>4827270</v>
      </c>
      <c r="AB33" s="56">
        <v>7754040</v>
      </c>
      <c r="AC33" s="56">
        <v>722190</v>
      </c>
      <c r="AD33" s="56">
        <v>5131350</v>
      </c>
      <c r="AE33" s="54" t="s">
        <v>12</v>
      </c>
      <c r="AF33" s="56">
        <v>2622690</v>
      </c>
      <c r="AG33" s="56">
        <v>2394630</v>
      </c>
      <c r="AH33" s="56">
        <v>9502500</v>
      </c>
      <c r="AI33" s="56">
        <v>23034060</v>
      </c>
      <c r="AJ33" s="56">
        <v>3724980</v>
      </c>
      <c r="AK33" s="56">
        <v>13455540</v>
      </c>
      <c r="AL33" s="56">
        <v>1026270</v>
      </c>
      <c r="AM33" s="56">
        <v>4371150</v>
      </c>
      <c r="AN33" s="56">
        <v>0</v>
      </c>
      <c r="AO33" s="56">
        <v>22349880</v>
      </c>
      <c r="AP33" s="56">
        <v>0</v>
      </c>
      <c r="AQ33" s="56">
        <v>23186100</v>
      </c>
      <c r="AR33" s="56">
        <v>0</v>
      </c>
      <c r="AS33" s="56">
        <v>760200</v>
      </c>
      <c r="AT33" s="56">
        <v>0</v>
      </c>
      <c r="AU33" s="56">
        <v>570150</v>
      </c>
      <c r="AV33" s="56">
        <v>38200050</v>
      </c>
      <c r="AW33" s="56">
        <v>266070</v>
      </c>
      <c r="AX33" s="56">
        <v>8248170</v>
      </c>
      <c r="AY33" s="56">
        <v>1596420</v>
      </c>
      <c r="AZ33" s="54" t="s">
        <v>12</v>
      </c>
      <c r="BA33" s="56">
        <v>4789260</v>
      </c>
      <c r="BB33" s="56">
        <v>3762990</v>
      </c>
      <c r="BC33" s="56">
        <v>2014530</v>
      </c>
      <c r="BD33" s="56">
        <v>1216320</v>
      </c>
      <c r="BE33" s="56">
        <v>2508660</v>
      </c>
      <c r="BF33" s="89" t="s">
        <v>12</v>
      </c>
    </row>
    <row r="34" spans="1:58" x14ac:dyDescent="0.4">
      <c r="A34" s="63">
        <v>44872</v>
      </c>
      <c r="B34" s="53">
        <v>44872.459574189816</v>
      </c>
      <c r="C34" s="54" t="s">
        <v>89</v>
      </c>
      <c r="D34" s="55" t="s">
        <v>74</v>
      </c>
      <c r="E34" s="69" t="s">
        <v>90</v>
      </c>
      <c r="F34" s="73">
        <v>76.75</v>
      </c>
      <c r="G34" s="57">
        <v>60</v>
      </c>
      <c r="H34" s="57">
        <v>79</v>
      </c>
      <c r="I34" s="57">
        <v>76.09</v>
      </c>
      <c r="J34" s="77">
        <v>76.28</v>
      </c>
      <c r="K34" s="81">
        <v>2510500</v>
      </c>
      <c r="L34" s="56">
        <v>6263500</v>
      </c>
      <c r="M34" s="56">
        <v>88</v>
      </c>
      <c r="N34" s="56">
        <v>23</v>
      </c>
      <c r="O34" s="57">
        <v>4.1900000000000004</v>
      </c>
      <c r="P34" s="56">
        <v>71176</v>
      </c>
      <c r="Q34" s="56">
        <v>298262</v>
      </c>
      <c r="R34" s="56">
        <v>539582</v>
      </c>
      <c r="S34" s="56">
        <v>228227</v>
      </c>
      <c r="T34" s="56">
        <v>255269</v>
      </c>
      <c r="U34" s="77">
        <v>2.4900000000000002</v>
      </c>
      <c r="V34" s="81">
        <v>21</v>
      </c>
      <c r="W34" s="85">
        <v>11</v>
      </c>
      <c r="X34" s="81">
        <v>192680875</v>
      </c>
      <c r="Y34" s="69" t="s">
        <v>75</v>
      </c>
      <c r="Z34" s="81">
        <v>2839750</v>
      </c>
      <c r="AA34" s="56">
        <v>4873625</v>
      </c>
      <c r="AB34" s="56">
        <v>7828500</v>
      </c>
      <c r="AC34" s="56">
        <v>729125</v>
      </c>
      <c r="AD34" s="56">
        <v>5180625</v>
      </c>
      <c r="AE34" s="54" t="s">
        <v>12</v>
      </c>
      <c r="AF34" s="56">
        <v>2647875</v>
      </c>
      <c r="AG34" s="56">
        <v>2417625</v>
      </c>
      <c r="AH34" s="56">
        <v>9593750</v>
      </c>
      <c r="AI34" s="56">
        <v>23255250</v>
      </c>
      <c r="AJ34" s="56">
        <v>3760750</v>
      </c>
      <c r="AK34" s="56">
        <v>13584750</v>
      </c>
      <c r="AL34" s="56">
        <v>1036125</v>
      </c>
      <c r="AM34" s="56">
        <v>4413125</v>
      </c>
      <c r="AN34" s="56">
        <v>0</v>
      </c>
      <c r="AO34" s="56">
        <v>22564500</v>
      </c>
      <c r="AP34" s="56">
        <v>0</v>
      </c>
      <c r="AQ34" s="56">
        <v>23408750</v>
      </c>
      <c r="AR34" s="56">
        <v>0</v>
      </c>
      <c r="AS34" s="56">
        <v>767500</v>
      </c>
      <c r="AT34" s="56">
        <v>0</v>
      </c>
      <c r="AU34" s="56">
        <v>575625</v>
      </c>
      <c r="AV34" s="56">
        <v>38566875</v>
      </c>
      <c r="AW34" s="56">
        <v>268625</v>
      </c>
      <c r="AX34" s="56">
        <v>8327375</v>
      </c>
      <c r="AY34" s="56">
        <v>1611750</v>
      </c>
      <c r="AZ34" s="54" t="s">
        <v>12</v>
      </c>
      <c r="BA34" s="56">
        <v>4835250</v>
      </c>
      <c r="BB34" s="56">
        <v>3799125</v>
      </c>
      <c r="BC34" s="56">
        <v>2033875</v>
      </c>
      <c r="BD34" s="56">
        <v>1228000</v>
      </c>
      <c r="BE34" s="56">
        <v>2532750</v>
      </c>
      <c r="BF34" s="89" t="s">
        <v>12</v>
      </c>
    </row>
    <row r="35" spans="1:58" x14ac:dyDescent="0.4">
      <c r="A35" s="63">
        <v>44869</v>
      </c>
      <c r="B35" s="53">
        <v>44869.458717499998</v>
      </c>
      <c r="C35" s="54" t="s">
        <v>91</v>
      </c>
      <c r="D35" s="55" t="s">
        <v>74</v>
      </c>
      <c r="E35" s="69" t="s">
        <v>90</v>
      </c>
      <c r="F35" s="73">
        <v>78.14</v>
      </c>
      <c r="G35" s="57">
        <v>60</v>
      </c>
      <c r="H35" s="57">
        <v>80.05</v>
      </c>
      <c r="I35" s="57">
        <v>77.17</v>
      </c>
      <c r="J35" s="77">
        <v>77.349999999999994</v>
      </c>
      <c r="K35" s="81">
        <v>1861500</v>
      </c>
      <c r="L35" s="56">
        <v>4360000</v>
      </c>
      <c r="M35" s="56">
        <v>71</v>
      </c>
      <c r="N35" s="56">
        <v>14</v>
      </c>
      <c r="O35" s="57">
        <v>3.55</v>
      </c>
      <c r="P35" s="56">
        <v>61408</v>
      </c>
      <c r="Q35" s="56">
        <v>218000</v>
      </c>
      <c r="R35" s="56">
        <v>340984</v>
      </c>
      <c r="S35" s="56">
        <v>232688</v>
      </c>
      <c r="T35" s="56">
        <v>234939</v>
      </c>
      <c r="U35" s="77">
        <v>2.34</v>
      </c>
      <c r="V35" s="81">
        <v>20</v>
      </c>
      <c r="W35" s="85">
        <v>8</v>
      </c>
      <c r="X35" s="81">
        <v>145457610</v>
      </c>
      <c r="Y35" s="69" t="s">
        <v>77</v>
      </c>
      <c r="Z35" s="87" t="s">
        <v>12</v>
      </c>
      <c r="AA35" s="54" t="s">
        <v>12</v>
      </c>
      <c r="AB35" s="54" t="s">
        <v>12</v>
      </c>
      <c r="AC35" s="54" t="s">
        <v>12</v>
      </c>
      <c r="AD35" s="54" t="s">
        <v>12</v>
      </c>
      <c r="AE35" s="56">
        <v>145457610</v>
      </c>
      <c r="AF35" s="54" t="s">
        <v>12</v>
      </c>
      <c r="AG35" s="54" t="s">
        <v>12</v>
      </c>
      <c r="AH35" s="54" t="s">
        <v>12</v>
      </c>
      <c r="AI35" s="54" t="s">
        <v>12</v>
      </c>
      <c r="AJ35" s="54" t="s">
        <v>12</v>
      </c>
      <c r="AK35" s="54" t="s">
        <v>12</v>
      </c>
      <c r="AL35" s="54" t="s">
        <v>12</v>
      </c>
      <c r="AM35" s="54" t="s">
        <v>12</v>
      </c>
      <c r="AN35" s="54" t="s">
        <v>12</v>
      </c>
      <c r="AO35" s="54" t="s">
        <v>12</v>
      </c>
      <c r="AP35" s="54" t="s">
        <v>12</v>
      </c>
      <c r="AQ35" s="54" t="s">
        <v>12</v>
      </c>
      <c r="AR35" s="54" t="s">
        <v>12</v>
      </c>
      <c r="AS35" s="54" t="s">
        <v>12</v>
      </c>
      <c r="AT35" s="54" t="s">
        <v>12</v>
      </c>
      <c r="AU35" s="54" t="s">
        <v>12</v>
      </c>
      <c r="AV35" s="54" t="s">
        <v>12</v>
      </c>
      <c r="AW35" s="54" t="s">
        <v>12</v>
      </c>
      <c r="AX35" s="54" t="s">
        <v>12</v>
      </c>
      <c r="AY35" s="54" t="s">
        <v>12</v>
      </c>
      <c r="AZ35" s="54" t="s">
        <v>12</v>
      </c>
      <c r="BA35" s="54" t="s">
        <v>12</v>
      </c>
      <c r="BB35" s="54" t="s">
        <v>12</v>
      </c>
      <c r="BC35" s="54" t="s">
        <v>12</v>
      </c>
      <c r="BD35" s="54" t="s">
        <v>12</v>
      </c>
      <c r="BE35" s="54" t="s">
        <v>12</v>
      </c>
      <c r="BF35" s="89" t="s">
        <v>12</v>
      </c>
    </row>
    <row r="36" spans="1:58" x14ac:dyDescent="0.4">
      <c r="A36" s="63">
        <v>44868</v>
      </c>
      <c r="B36" s="53">
        <v>44868.458671377317</v>
      </c>
      <c r="C36" s="54" t="s">
        <v>89</v>
      </c>
      <c r="D36" s="55" t="s">
        <v>74</v>
      </c>
      <c r="E36" s="69" t="s">
        <v>90</v>
      </c>
      <c r="F36" s="73">
        <v>76.63</v>
      </c>
      <c r="G36" s="57">
        <v>45</v>
      </c>
      <c r="H36" s="57">
        <v>79</v>
      </c>
      <c r="I36" s="57">
        <v>75.489999999999995</v>
      </c>
      <c r="J36" s="77">
        <v>76.08</v>
      </c>
      <c r="K36" s="81">
        <v>2510500</v>
      </c>
      <c r="L36" s="56">
        <v>4429000</v>
      </c>
      <c r="M36" s="56">
        <v>68</v>
      </c>
      <c r="N36" s="56">
        <v>15</v>
      </c>
      <c r="O36" s="57">
        <v>3.58</v>
      </c>
      <c r="P36" s="56">
        <v>65132</v>
      </c>
      <c r="Q36" s="56">
        <v>233105</v>
      </c>
      <c r="R36" s="56">
        <v>271143</v>
      </c>
      <c r="S36" s="56">
        <v>278944</v>
      </c>
      <c r="T36" s="56">
        <v>252110</v>
      </c>
      <c r="U36" s="77">
        <v>1.76</v>
      </c>
      <c r="V36" s="81">
        <v>19</v>
      </c>
      <c r="W36" s="85">
        <v>9</v>
      </c>
      <c r="X36" s="81">
        <v>192379615</v>
      </c>
      <c r="Y36" s="69" t="s">
        <v>75</v>
      </c>
      <c r="Z36" s="81">
        <v>2835310</v>
      </c>
      <c r="AA36" s="56">
        <v>4866005</v>
      </c>
      <c r="AB36" s="56">
        <v>7816260</v>
      </c>
      <c r="AC36" s="56">
        <v>727985</v>
      </c>
      <c r="AD36" s="56">
        <v>5172525</v>
      </c>
      <c r="AE36" s="54" t="s">
        <v>12</v>
      </c>
      <c r="AF36" s="56">
        <v>2643735</v>
      </c>
      <c r="AG36" s="56">
        <v>2413845</v>
      </c>
      <c r="AH36" s="56">
        <v>9578750</v>
      </c>
      <c r="AI36" s="56">
        <v>23218890</v>
      </c>
      <c r="AJ36" s="56">
        <v>3754870</v>
      </c>
      <c r="AK36" s="56">
        <v>13563510</v>
      </c>
      <c r="AL36" s="56">
        <v>1034505</v>
      </c>
      <c r="AM36" s="56">
        <v>4406225</v>
      </c>
      <c r="AN36" s="56">
        <v>0</v>
      </c>
      <c r="AO36" s="56">
        <v>22529220</v>
      </c>
      <c r="AP36" s="56">
        <v>0</v>
      </c>
      <c r="AQ36" s="56">
        <v>23372150</v>
      </c>
      <c r="AR36" s="56">
        <v>0</v>
      </c>
      <c r="AS36" s="56">
        <v>766300</v>
      </c>
      <c r="AT36" s="56">
        <v>0</v>
      </c>
      <c r="AU36" s="56">
        <v>574725</v>
      </c>
      <c r="AV36" s="56">
        <v>38506575</v>
      </c>
      <c r="AW36" s="56">
        <v>268205</v>
      </c>
      <c r="AX36" s="56">
        <v>8314355</v>
      </c>
      <c r="AY36" s="56">
        <v>1609230</v>
      </c>
      <c r="AZ36" s="54" t="s">
        <v>12</v>
      </c>
      <c r="BA36" s="56">
        <v>4827690</v>
      </c>
      <c r="BB36" s="56">
        <v>3793185</v>
      </c>
      <c r="BC36" s="56">
        <v>2030695</v>
      </c>
      <c r="BD36" s="56">
        <v>1226080</v>
      </c>
      <c r="BE36" s="56">
        <v>2528790</v>
      </c>
      <c r="BF36" s="89" t="s">
        <v>12</v>
      </c>
    </row>
    <row r="37" spans="1:58" x14ac:dyDescent="0.4">
      <c r="A37" s="63">
        <v>44866</v>
      </c>
      <c r="B37" s="53">
        <v>44866.459144814813</v>
      </c>
      <c r="C37" s="54" t="s">
        <v>89</v>
      </c>
      <c r="D37" s="55" t="s">
        <v>74</v>
      </c>
      <c r="E37" s="69" t="s">
        <v>90</v>
      </c>
      <c r="F37" s="73">
        <v>78.760000000000005</v>
      </c>
      <c r="G37" s="57">
        <v>45</v>
      </c>
      <c r="H37" s="57">
        <v>82</v>
      </c>
      <c r="I37" s="57">
        <v>78.459999999999994</v>
      </c>
      <c r="J37" s="77">
        <v>78.88</v>
      </c>
      <c r="K37" s="81">
        <v>2510500</v>
      </c>
      <c r="L37" s="56">
        <v>4376500</v>
      </c>
      <c r="M37" s="56">
        <v>63</v>
      </c>
      <c r="N37" s="56">
        <v>37</v>
      </c>
      <c r="O37" s="57">
        <v>3.71</v>
      </c>
      <c r="P37" s="56">
        <v>69468</v>
      </c>
      <c r="Q37" s="56">
        <v>257441</v>
      </c>
      <c r="R37" s="56">
        <v>373441</v>
      </c>
      <c r="S37" s="56">
        <v>147676</v>
      </c>
      <c r="T37" s="56">
        <v>217253</v>
      </c>
      <c r="U37" s="77">
        <v>1.74</v>
      </c>
      <c r="V37" s="81">
        <v>17</v>
      </c>
      <c r="W37" s="85">
        <v>17</v>
      </c>
      <c r="X37" s="81">
        <v>197726980</v>
      </c>
      <c r="Y37" s="69" t="s">
        <v>75</v>
      </c>
      <c r="Z37" s="81">
        <v>2914120</v>
      </c>
      <c r="AA37" s="56">
        <v>5001260</v>
      </c>
      <c r="AB37" s="56">
        <v>8033520</v>
      </c>
      <c r="AC37" s="56">
        <v>748220</v>
      </c>
      <c r="AD37" s="56">
        <v>5316300</v>
      </c>
      <c r="AE37" s="54" t="s">
        <v>12</v>
      </c>
      <c r="AF37" s="56">
        <v>2717220</v>
      </c>
      <c r="AG37" s="56">
        <v>2480940</v>
      </c>
      <c r="AH37" s="56">
        <v>9845000</v>
      </c>
      <c r="AI37" s="56">
        <v>23864280</v>
      </c>
      <c r="AJ37" s="56">
        <v>3859240</v>
      </c>
      <c r="AK37" s="56">
        <v>13940520</v>
      </c>
      <c r="AL37" s="56">
        <v>1063260</v>
      </c>
      <c r="AM37" s="56">
        <v>4528700</v>
      </c>
      <c r="AN37" s="56">
        <v>0</v>
      </c>
      <c r="AO37" s="56">
        <v>23155440</v>
      </c>
      <c r="AP37" s="56">
        <v>0</v>
      </c>
      <c r="AQ37" s="56">
        <v>24021800</v>
      </c>
      <c r="AR37" s="56">
        <v>0</v>
      </c>
      <c r="AS37" s="56">
        <v>787600</v>
      </c>
      <c r="AT37" s="56">
        <v>0</v>
      </c>
      <c r="AU37" s="56">
        <v>590700</v>
      </c>
      <c r="AV37" s="56">
        <v>39576900</v>
      </c>
      <c r="AW37" s="56">
        <v>275660</v>
      </c>
      <c r="AX37" s="56">
        <v>8545460</v>
      </c>
      <c r="AY37" s="56">
        <v>1653960</v>
      </c>
      <c r="AZ37" s="54" t="s">
        <v>12</v>
      </c>
      <c r="BA37" s="56">
        <v>4961880</v>
      </c>
      <c r="BB37" s="56">
        <v>3898620</v>
      </c>
      <c r="BC37" s="56">
        <v>2087140</v>
      </c>
      <c r="BD37" s="56">
        <v>1260160</v>
      </c>
      <c r="BE37" s="56">
        <v>2599080</v>
      </c>
      <c r="BF37" s="89" t="s">
        <v>12</v>
      </c>
    </row>
    <row r="38" spans="1:58" x14ac:dyDescent="0.4">
      <c r="A38" s="63">
        <v>44865</v>
      </c>
      <c r="B38" s="53">
        <v>44865.459584340279</v>
      </c>
      <c r="C38" s="54" t="s">
        <v>89</v>
      </c>
      <c r="D38" s="55" t="s">
        <v>74</v>
      </c>
      <c r="E38" s="69" t="s">
        <v>90</v>
      </c>
      <c r="F38" s="73">
        <v>78.69</v>
      </c>
      <c r="G38" s="57">
        <v>45</v>
      </c>
      <c r="H38" s="57">
        <v>85</v>
      </c>
      <c r="I38" s="57">
        <v>77.89</v>
      </c>
      <c r="J38" s="77">
        <v>78.569999999999993</v>
      </c>
      <c r="K38" s="81">
        <v>2510500</v>
      </c>
      <c r="L38" s="56">
        <v>6271500</v>
      </c>
      <c r="M38" s="56">
        <v>64</v>
      </c>
      <c r="N38" s="56">
        <v>29</v>
      </c>
      <c r="O38" s="57">
        <v>3.76</v>
      </c>
      <c r="P38" s="56">
        <v>97992</v>
      </c>
      <c r="Q38" s="56">
        <v>368912</v>
      </c>
      <c r="R38" s="56">
        <v>745631</v>
      </c>
      <c r="S38" s="56">
        <v>209208</v>
      </c>
      <c r="T38" s="56">
        <v>284809</v>
      </c>
      <c r="U38" s="77">
        <v>2.5</v>
      </c>
      <c r="V38" s="81">
        <v>17</v>
      </c>
      <c r="W38" s="85">
        <v>12</v>
      </c>
      <c r="X38" s="81">
        <v>197551245</v>
      </c>
      <c r="Y38" s="69" t="s">
        <v>75</v>
      </c>
      <c r="Z38" s="81">
        <v>2911530</v>
      </c>
      <c r="AA38" s="56">
        <v>4996815</v>
      </c>
      <c r="AB38" s="56">
        <v>8026380</v>
      </c>
      <c r="AC38" s="56">
        <v>747555</v>
      </c>
      <c r="AD38" s="56">
        <v>5311575</v>
      </c>
      <c r="AE38" s="54" t="s">
        <v>12</v>
      </c>
      <c r="AF38" s="56">
        <v>2714805</v>
      </c>
      <c r="AG38" s="56">
        <v>2478735</v>
      </c>
      <c r="AH38" s="56">
        <v>9836250</v>
      </c>
      <c r="AI38" s="56">
        <v>23843070</v>
      </c>
      <c r="AJ38" s="56">
        <v>3855810</v>
      </c>
      <c r="AK38" s="56">
        <v>13928130</v>
      </c>
      <c r="AL38" s="56">
        <v>1062315</v>
      </c>
      <c r="AM38" s="56">
        <v>4524675</v>
      </c>
      <c r="AN38" s="56">
        <v>0</v>
      </c>
      <c r="AO38" s="56">
        <v>23134860</v>
      </c>
      <c r="AP38" s="56">
        <v>0</v>
      </c>
      <c r="AQ38" s="56">
        <v>24000450</v>
      </c>
      <c r="AR38" s="56">
        <v>0</v>
      </c>
      <c r="AS38" s="56">
        <v>786900</v>
      </c>
      <c r="AT38" s="56">
        <v>0</v>
      </c>
      <c r="AU38" s="56">
        <v>590175</v>
      </c>
      <c r="AV38" s="56">
        <v>39541725</v>
      </c>
      <c r="AW38" s="56">
        <v>275415</v>
      </c>
      <c r="AX38" s="56">
        <v>8537865</v>
      </c>
      <c r="AY38" s="56">
        <v>1652490</v>
      </c>
      <c r="AZ38" s="54" t="s">
        <v>12</v>
      </c>
      <c r="BA38" s="56">
        <v>4957470</v>
      </c>
      <c r="BB38" s="56">
        <v>3895155</v>
      </c>
      <c r="BC38" s="56">
        <v>2085285</v>
      </c>
      <c r="BD38" s="56">
        <v>1259040</v>
      </c>
      <c r="BE38" s="56">
        <v>2596770</v>
      </c>
      <c r="BF38" s="89" t="s">
        <v>12</v>
      </c>
    </row>
    <row r="39" spans="1:58" x14ac:dyDescent="0.4">
      <c r="A39" s="63">
        <v>44862</v>
      </c>
      <c r="B39" s="53">
        <v>44862.458670578701</v>
      </c>
      <c r="C39" s="54" t="s">
        <v>91</v>
      </c>
      <c r="D39" s="55" t="s">
        <v>74</v>
      </c>
      <c r="E39" s="69" t="s">
        <v>90</v>
      </c>
      <c r="F39" s="73">
        <v>80.760000000000005</v>
      </c>
      <c r="G39" s="57">
        <v>45</v>
      </c>
      <c r="H39" s="57">
        <v>88</v>
      </c>
      <c r="I39" s="57">
        <v>80.73</v>
      </c>
      <c r="J39" s="77">
        <v>81.14</v>
      </c>
      <c r="K39" s="81">
        <v>1861500</v>
      </c>
      <c r="L39" s="56">
        <v>4441000</v>
      </c>
      <c r="M39" s="56">
        <v>64</v>
      </c>
      <c r="N39" s="56">
        <v>47</v>
      </c>
      <c r="O39" s="57">
        <v>3.56</v>
      </c>
      <c r="P39" s="56">
        <v>69391</v>
      </c>
      <c r="Q39" s="56">
        <v>246722</v>
      </c>
      <c r="R39" s="56">
        <v>443497</v>
      </c>
      <c r="S39" s="56">
        <v>109500</v>
      </c>
      <c r="T39" s="56">
        <v>158299</v>
      </c>
      <c r="U39" s="77">
        <v>2.39</v>
      </c>
      <c r="V39" s="81">
        <v>18</v>
      </c>
      <c r="W39" s="85">
        <v>17</v>
      </c>
      <c r="X39" s="81">
        <v>150334740</v>
      </c>
      <c r="Y39" s="69" t="s">
        <v>77</v>
      </c>
      <c r="Z39" s="87" t="s">
        <v>12</v>
      </c>
      <c r="AA39" s="54" t="s">
        <v>12</v>
      </c>
      <c r="AB39" s="54" t="s">
        <v>12</v>
      </c>
      <c r="AC39" s="54" t="s">
        <v>12</v>
      </c>
      <c r="AD39" s="54" t="s">
        <v>12</v>
      </c>
      <c r="AE39" s="56">
        <v>150334740</v>
      </c>
      <c r="AF39" s="54" t="s">
        <v>12</v>
      </c>
      <c r="AG39" s="54" t="s">
        <v>12</v>
      </c>
      <c r="AH39" s="54" t="s">
        <v>12</v>
      </c>
      <c r="AI39" s="54" t="s">
        <v>12</v>
      </c>
      <c r="AJ39" s="54" t="s">
        <v>12</v>
      </c>
      <c r="AK39" s="54" t="s">
        <v>12</v>
      </c>
      <c r="AL39" s="54" t="s">
        <v>12</v>
      </c>
      <c r="AM39" s="54" t="s">
        <v>12</v>
      </c>
      <c r="AN39" s="54" t="s">
        <v>12</v>
      </c>
      <c r="AO39" s="54" t="s">
        <v>12</v>
      </c>
      <c r="AP39" s="54" t="s">
        <v>12</v>
      </c>
      <c r="AQ39" s="54" t="s">
        <v>12</v>
      </c>
      <c r="AR39" s="54" t="s">
        <v>12</v>
      </c>
      <c r="AS39" s="54" t="s">
        <v>12</v>
      </c>
      <c r="AT39" s="54" t="s">
        <v>12</v>
      </c>
      <c r="AU39" s="54" t="s">
        <v>12</v>
      </c>
      <c r="AV39" s="54" t="s">
        <v>12</v>
      </c>
      <c r="AW39" s="54" t="s">
        <v>12</v>
      </c>
      <c r="AX39" s="54" t="s">
        <v>12</v>
      </c>
      <c r="AY39" s="54" t="s">
        <v>12</v>
      </c>
      <c r="AZ39" s="54" t="s">
        <v>12</v>
      </c>
      <c r="BA39" s="54" t="s">
        <v>12</v>
      </c>
      <c r="BB39" s="54" t="s">
        <v>12</v>
      </c>
      <c r="BC39" s="54" t="s">
        <v>12</v>
      </c>
      <c r="BD39" s="54" t="s">
        <v>12</v>
      </c>
      <c r="BE39" s="54" t="s">
        <v>12</v>
      </c>
      <c r="BF39" s="89" t="s">
        <v>12</v>
      </c>
    </row>
    <row r="40" spans="1:58" x14ac:dyDescent="0.4">
      <c r="A40" s="63">
        <v>44861</v>
      </c>
      <c r="B40" s="53">
        <v>44861.458684814817</v>
      </c>
      <c r="C40" s="54" t="s">
        <v>89</v>
      </c>
      <c r="D40" s="55" t="s">
        <v>74</v>
      </c>
      <c r="E40" s="69" t="s">
        <v>90</v>
      </c>
      <c r="F40" s="73">
        <v>77.099999999999994</v>
      </c>
      <c r="G40" s="57">
        <v>45</v>
      </c>
      <c r="H40" s="57">
        <v>82</v>
      </c>
      <c r="I40" s="57">
        <v>76.319999999999993</v>
      </c>
      <c r="J40" s="77">
        <v>76.56</v>
      </c>
      <c r="K40" s="81">
        <v>2510500</v>
      </c>
      <c r="L40" s="56">
        <v>4882000</v>
      </c>
      <c r="M40" s="56">
        <v>78</v>
      </c>
      <c r="N40" s="56">
        <v>25</v>
      </c>
      <c r="O40" s="57">
        <v>4.33</v>
      </c>
      <c r="P40" s="56">
        <v>62590</v>
      </c>
      <c r="Q40" s="56">
        <v>271222</v>
      </c>
      <c r="R40" s="56">
        <v>390819</v>
      </c>
      <c r="S40" s="56">
        <v>228227</v>
      </c>
      <c r="T40" s="56">
        <v>268231</v>
      </c>
      <c r="U40" s="77">
        <v>1.94</v>
      </c>
      <c r="V40" s="81">
        <v>18</v>
      </c>
      <c r="W40" s="85">
        <v>11</v>
      </c>
      <c r="X40" s="81">
        <v>193559550</v>
      </c>
      <c r="Y40" s="69" t="s">
        <v>75</v>
      </c>
      <c r="Z40" s="81">
        <v>2852700</v>
      </c>
      <c r="AA40" s="56">
        <v>4895850</v>
      </c>
      <c r="AB40" s="56">
        <v>7864200</v>
      </c>
      <c r="AC40" s="56">
        <v>732450</v>
      </c>
      <c r="AD40" s="56">
        <v>5204250</v>
      </c>
      <c r="AE40" s="54" t="s">
        <v>12</v>
      </c>
      <c r="AF40" s="56">
        <v>2659950</v>
      </c>
      <c r="AG40" s="56">
        <v>2428650</v>
      </c>
      <c r="AH40" s="56">
        <v>9637500</v>
      </c>
      <c r="AI40" s="56">
        <v>23361300</v>
      </c>
      <c r="AJ40" s="56">
        <v>3777900</v>
      </c>
      <c r="AK40" s="56">
        <v>13646700</v>
      </c>
      <c r="AL40" s="56">
        <v>1040850</v>
      </c>
      <c r="AM40" s="56">
        <v>4433250</v>
      </c>
      <c r="AN40" s="56">
        <v>0</v>
      </c>
      <c r="AO40" s="56">
        <v>22667400</v>
      </c>
      <c r="AP40" s="56">
        <v>0</v>
      </c>
      <c r="AQ40" s="56">
        <v>23515500</v>
      </c>
      <c r="AR40" s="56">
        <v>0</v>
      </c>
      <c r="AS40" s="56">
        <v>771000</v>
      </c>
      <c r="AT40" s="56">
        <v>0</v>
      </c>
      <c r="AU40" s="56">
        <v>578250</v>
      </c>
      <c r="AV40" s="56">
        <v>38742750</v>
      </c>
      <c r="AW40" s="56">
        <v>269850</v>
      </c>
      <c r="AX40" s="56">
        <v>8365350</v>
      </c>
      <c r="AY40" s="56">
        <v>1619100</v>
      </c>
      <c r="AZ40" s="54" t="s">
        <v>12</v>
      </c>
      <c r="BA40" s="56">
        <v>4857300</v>
      </c>
      <c r="BB40" s="56">
        <v>3816450</v>
      </c>
      <c r="BC40" s="56">
        <v>2043150</v>
      </c>
      <c r="BD40" s="56">
        <v>1233600</v>
      </c>
      <c r="BE40" s="56">
        <v>2544300</v>
      </c>
      <c r="BF40" s="89" t="s">
        <v>12</v>
      </c>
    </row>
    <row r="41" spans="1:58" x14ac:dyDescent="0.4">
      <c r="A41" s="63">
        <v>44860</v>
      </c>
      <c r="B41" s="53">
        <v>44860.458818344909</v>
      </c>
      <c r="C41" s="54" t="s">
        <v>92</v>
      </c>
      <c r="D41" s="55" t="s">
        <v>74</v>
      </c>
      <c r="E41" s="69" t="s">
        <v>90</v>
      </c>
      <c r="F41" s="73">
        <v>76.510000000000005</v>
      </c>
      <c r="G41" s="57">
        <v>45</v>
      </c>
      <c r="H41" s="57">
        <v>80</v>
      </c>
      <c r="I41" s="57">
        <v>75.78</v>
      </c>
      <c r="J41" s="77">
        <v>76.31</v>
      </c>
      <c r="K41" s="81">
        <v>3101500</v>
      </c>
      <c r="L41" s="56">
        <v>7930500</v>
      </c>
      <c r="M41" s="56">
        <v>91</v>
      </c>
      <c r="N41" s="56">
        <v>35</v>
      </c>
      <c r="O41" s="57">
        <v>4.33</v>
      </c>
      <c r="P41" s="56">
        <v>87148</v>
      </c>
      <c r="Q41" s="56">
        <v>377643</v>
      </c>
      <c r="R41" s="56">
        <v>761956</v>
      </c>
      <c r="S41" s="56">
        <v>221536</v>
      </c>
      <c r="T41" s="56">
        <v>348642</v>
      </c>
      <c r="U41" s="77">
        <v>2.56</v>
      </c>
      <c r="V41" s="81">
        <v>21</v>
      </c>
      <c r="W41" s="85">
        <v>14</v>
      </c>
      <c r="X41" s="81">
        <v>237295765</v>
      </c>
      <c r="Y41" s="69" t="s">
        <v>79</v>
      </c>
      <c r="Z41" s="87" t="s">
        <v>12</v>
      </c>
      <c r="AA41" s="54" t="s">
        <v>12</v>
      </c>
      <c r="AB41" s="54" t="s">
        <v>12</v>
      </c>
      <c r="AC41" s="54" t="s">
        <v>12</v>
      </c>
      <c r="AD41" s="54" t="s">
        <v>12</v>
      </c>
      <c r="AE41" s="54" t="s">
        <v>12</v>
      </c>
      <c r="AF41" s="54" t="s">
        <v>12</v>
      </c>
      <c r="AG41" s="54" t="s">
        <v>12</v>
      </c>
      <c r="AH41" s="54" t="s">
        <v>12</v>
      </c>
      <c r="AI41" s="54" t="s">
        <v>12</v>
      </c>
      <c r="AJ41" s="54" t="s">
        <v>12</v>
      </c>
      <c r="AK41" s="54" t="s">
        <v>12</v>
      </c>
      <c r="AL41" s="54" t="s">
        <v>12</v>
      </c>
      <c r="AM41" s="54" t="s">
        <v>12</v>
      </c>
      <c r="AN41" s="54" t="s">
        <v>12</v>
      </c>
      <c r="AO41" s="54" t="s">
        <v>12</v>
      </c>
      <c r="AP41" s="54" t="s">
        <v>12</v>
      </c>
      <c r="AQ41" s="54" t="s">
        <v>12</v>
      </c>
      <c r="AR41" s="54" t="s">
        <v>12</v>
      </c>
      <c r="AS41" s="54" t="s">
        <v>12</v>
      </c>
      <c r="AT41" s="54" t="s">
        <v>12</v>
      </c>
      <c r="AU41" s="54" t="s">
        <v>12</v>
      </c>
      <c r="AV41" s="54" t="s">
        <v>12</v>
      </c>
      <c r="AW41" s="54" t="s">
        <v>12</v>
      </c>
      <c r="AX41" s="54" t="s">
        <v>12</v>
      </c>
      <c r="AY41" s="54" t="s">
        <v>12</v>
      </c>
      <c r="AZ41" s="56">
        <v>237295765</v>
      </c>
      <c r="BA41" s="54" t="s">
        <v>12</v>
      </c>
      <c r="BB41" s="54" t="s">
        <v>12</v>
      </c>
      <c r="BC41" s="54" t="s">
        <v>12</v>
      </c>
      <c r="BD41" s="54" t="s">
        <v>12</v>
      </c>
      <c r="BE41" s="54" t="s">
        <v>12</v>
      </c>
      <c r="BF41" s="89" t="s">
        <v>12</v>
      </c>
    </row>
    <row r="42" spans="1:58" x14ac:dyDescent="0.4">
      <c r="A42" s="63">
        <v>44859</v>
      </c>
      <c r="B42" s="53">
        <v>44859.45869378472</v>
      </c>
      <c r="C42" s="54" t="s">
        <v>89</v>
      </c>
      <c r="D42" s="55" t="s">
        <v>74</v>
      </c>
      <c r="E42" s="69" t="s">
        <v>90</v>
      </c>
      <c r="F42" s="73">
        <v>74.17</v>
      </c>
      <c r="G42" s="57">
        <v>60</v>
      </c>
      <c r="H42" s="57">
        <v>82</v>
      </c>
      <c r="I42" s="57">
        <v>74.06</v>
      </c>
      <c r="J42" s="77">
        <v>74.010000000000005</v>
      </c>
      <c r="K42" s="81">
        <v>2510500</v>
      </c>
      <c r="L42" s="56">
        <v>5010500</v>
      </c>
      <c r="M42" s="56">
        <v>64</v>
      </c>
      <c r="N42" s="56">
        <v>27</v>
      </c>
      <c r="O42" s="57">
        <v>4</v>
      </c>
      <c r="P42" s="56">
        <v>78289</v>
      </c>
      <c r="Q42" s="56">
        <v>313156</v>
      </c>
      <c r="R42" s="56">
        <v>438447</v>
      </c>
      <c r="S42" s="56">
        <v>209208</v>
      </c>
      <c r="T42" s="56">
        <v>322153</v>
      </c>
      <c r="U42" s="77">
        <v>2</v>
      </c>
      <c r="V42" s="81">
        <v>16</v>
      </c>
      <c r="W42" s="85">
        <v>12</v>
      </c>
      <c r="X42" s="81">
        <v>186203785</v>
      </c>
      <c r="Y42" s="69" t="s">
        <v>75</v>
      </c>
      <c r="Z42" s="81">
        <v>2744290</v>
      </c>
      <c r="AA42" s="56">
        <v>4709795</v>
      </c>
      <c r="AB42" s="56">
        <v>7565340</v>
      </c>
      <c r="AC42" s="56">
        <v>704615</v>
      </c>
      <c r="AD42" s="56">
        <v>5006475</v>
      </c>
      <c r="AE42" s="54" t="s">
        <v>12</v>
      </c>
      <c r="AF42" s="56">
        <v>2558865</v>
      </c>
      <c r="AG42" s="56">
        <v>2336355</v>
      </c>
      <c r="AH42" s="56">
        <v>9271250</v>
      </c>
      <c r="AI42" s="56">
        <v>22473510</v>
      </c>
      <c r="AJ42" s="56">
        <v>3634330</v>
      </c>
      <c r="AK42" s="56">
        <v>13128090</v>
      </c>
      <c r="AL42" s="56">
        <v>1001295</v>
      </c>
      <c r="AM42" s="56">
        <v>4264775</v>
      </c>
      <c r="AN42" s="56">
        <v>0</v>
      </c>
      <c r="AO42" s="56">
        <v>21805980</v>
      </c>
      <c r="AP42" s="56">
        <v>0</v>
      </c>
      <c r="AQ42" s="56">
        <v>22621850</v>
      </c>
      <c r="AR42" s="56">
        <v>0</v>
      </c>
      <c r="AS42" s="56">
        <v>741700</v>
      </c>
      <c r="AT42" s="56">
        <v>0</v>
      </c>
      <c r="AU42" s="56">
        <v>556275</v>
      </c>
      <c r="AV42" s="56">
        <v>37270425</v>
      </c>
      <c r="AW42" s="56">
        <v>259595</v>
      </c>
      <c r="AX42" s="56">
        <v>8047445</v>
      </c>
      <c r="AY42" s="56">
        <v>1557570</v>
      </c>
      <c r="AZ42" s="54" t="s">
        <v>12</v>
      </c>
      <c r="BA42" s="56">
        <v>4672710</v>
      </c>
      <c r="BB42" s="56">
        <v>3671415</v>
      </c>
      <c r="BC42" s="56">
        <v>1965505</v>
      </c>
      <c r="BD42" s="56">
        <v>1186720</v>
      </c>
      <c r="BE42" s="56">
        <v>2447610</v>
      </c>
      <c r="BF42" s="89" t="s">
        <v>12</v>
      </c>
    </row>
    <row r="43" spans="1:58" x14ac:dyDescent="0.4">
      <c r="A43" s="63">
        <v>44858</v>
      </c>
      <c r="B43" s="53">
        <v>44858.458887997687</v>
      </c>
      <c r="C43" s="54" t="s">
        <v>89</v>
      </c>
      <c r="D43" s="55" t="s">
        <v>74</v>
      </c>
      <c r="E43" s="69" t="s">
        <v>90</v>
      </c>
      <c r="F43" s="73">
        <v>68.02</v>
      </c>
      <c r="G43" s="57">
        <v>60</v>
      </c>
      <c r="H43" s="57">
        <v>75</v>
      </c>
      <c r="I43" s="57">
        <v>67.72</v>
      </c>
      <c r="J43" s="77">
        <v>67.55</v>
      </c>
      <c r="K43" s="81">
        <v>2510500</v>
      </c>
      <c r="L43" s="56">
        <v>5385500</v>
      </c>
      <c r="M43" s="56">
        <v>71</v>
      </c>
      <c r="N43" s="56">
        <v>22</v>
      </c>
      <c r="O43" s="57">
        <v>3.74</v>
      </c>
      <c r="P43" s="56">
        <v>75852</v>
      </c>
      <c r="Q43" s="56">
        <v>283447</v>
      </c>
      <c r="R43" s="56">
        <v>431640</v>
      </c>
      <c r="S43" s="56">
        <v>228227</v>
      </c>
      <c r="T43" s="56">
        <v>343924</v>
      </c>
      <c r="U43" s="77">
        <v>2.15</v>
      </c>
      <c r="V43" s="81">
        <v>19</v>
      </c>
      <c r="W43" s="85">
        <v>11</v>
      </c>
      <c r="X43" s="81">
        <v>170764210</v>
      </c>
      <c r="Y43" s="69" t="s">
        <v>75</v>
      </c>
      <c r="Z43" s="81">
        <v>2516740</v>
      </c>
      <c r="AA43" s="56">
        <v>4319270</v>
      </c>
      <c r="AB43" s="56">
        <v>6938040</v>
      </c>
      <c r="AC43" s="56">
        <v>646190</v>
      </c>
      <c r="AD43" s="56">
        <v>4591350</v>
      </c>
      <c r="AE43" s="54" t="s">
        <v>12</v>
      </c>
      <c r="AF43" s="56">
        <v>2346690</v>
      </c>
      <c r="AG43" s="56">
        <v>2142630</v>
      </c>
      <c r="AH43" s="56">
        <v>8502500</v>
      </c>
      <c r="AI43" s="56">
        <v>20610060</v>
      </c>
      <c r="AJ43" s="56">
        <v>3332980</v>
      </c>
      <c r="AK43" s="56">
        <v>12039540</v>
      </c>
      <c r="AL43" s="56">
        <v>918270</v>
      </c>
      <c r="AM43" s="56">
        <v>3911150</v>
      </c>
      <c r="AN43" s="56">
        <v>0</v>
      </c>
      <c r="AO43" s="56">
        <v>19997880</v>
      </c>
      <c r="AP43" s="56">
        <v>0</v>
      </c>
      <c r="AQ43" s="56">
        <v>20746100</v>
      </c>
      <c r="AR43" s="56">
        <v>0</v>
      </c>
      <c r="AS43" s="56">
        <v>680200</v>
      </c>
      <c r="AT43" s="56">
        <v>0</v>
      </c>
      <c r="AU43" s="56">
        <v>510150</v>
      </c>
      <c r="AV43" s="56">
        <v>34180050</v>
      </c>
      <c r="AW43" s="56">
        <v>238070</v>
      </c>
      <c r="AX43" s="56">
        <v>7380170</v>
      </c>
      <c r="AY43" s="56">
        <v>1428420</v>
      </c>
      <c r="AZ43" s="54" t="s">
        <v>12</v>
      </c>
      <c r="BA43" s="56">
        <v>4285260</v>
      </c>
      <c r="BB43" s="56">
        <v>3366990</v>
      </c>
      <c r="BC43" s="56">
        <v>1802530</v>
      </c>
      <c r="BD43" s="56">
        <v>1088320</v>
      </c>
      <c r="BE43" s="56">
        <v>2244660</v>
      </c>
      <c r="BF43" s="89" t="s">
        <v>12</v>
      </c>
    </row>
    <row r="44" spans="1:58" x14ac:dyDescent="0.4">
      <c r="A44" s="63">
        <v>44855</v>
      </c>
      <c r="B44" s="53">
        <v>44855.458884687498</v>
      </c>
      <c r="C44" s="54" t="s">
        <v>91</v>
      </c>
      <c r="D44" s="55" t="s">
        <v>74</v>
      </c>
      <c r="E44" s="69" t="s">
        <v>90</v>
      </c>
      <c r="F44" s="73">
        <v>67.900000000000006</v>
      </c>
      <c r="G44" s="57">
        <v>60</v>
      </c>
      <c r="H44" s="57">
        <v>69.900000000000006</v>
      </c>
      <c r="I44" s="57">
        <v>67.430000000000007</v>
      </c>
      <c r="J44" s="77">
        <v>67.510000000000005</v>
      </c>
      <c r="K44" s="81">
        <v>1861500</v>
      </c>
      <c r="L44" s="56">
        <v>4923500</v>
      </c>
      <c r="M44" s="56">
        <v>71</v>
      </c>
      <c r="N44" s="56">
        <v>26</v>
      </c>
      <c r="O44" s="57">
        <v>4.18</v>
      </c>
      <c r="P44" s="56">
        <v>69345</v>
      </c>
      <c r="Q44" s="56">
        <v>289618</v>
      </c>
      <c r="R44" s="56">
        <v>467946</v>
      </c>
      <c r="S44" s="56">
        <v>169227</v>
      </c>
      <c r="T44" s="56">
        <v>227843</v>
      </c>
      <c r="U44" s="77">
        <v>2.64</v>
      </c>
      <c r="V44" s="81">
        <v>17</v>
      </c>
      <c r="W44" s="85">
        <v>11</v>
      </c>
      <c r="X44" s="81">
        <v>126395850</v>
      </c>
      <c r="Y44" s="69" t="s">
        <v>77</v>
      </c>
      <c r="Z44" s="87" t="s">
        <v>12</v>
      </c>
      <c r="AA44" s="54" t="s">
        <v>12</v>
      </c>
      <c r="AB44" s="54" t="s">
        <v>12</v>
      </c>
      <c r="AC44" s="54" t="s">
        <v>12</v>
      </c>
      <c r="AD44" s="54" t="s">
        <v>12</v>
      </c>
      <c r="AE44" s="56">
        <v>126395850</v>
      </c>
      <c r="AF44" s="54" t="s">
        <v>12</v>
      </c>
      <c r="AG44" s="54" t="s">
        <v>12</v>
      </c>
      <c r="AH44" s="54" t="s">
        <v>12</v>
      </c>
      <c r="AI44" s="54" t="s">
        <v>12</v>
      </c>
      <c r="AJ44" s="54" t="s">
        <v>12</v>
      </c>
      <c r="AK44" s="54" t="s">
        <v>12</v>
      </c>
      <c r="AL44" s="54" t="s">
        <v>12</v>
      </c>
      <c r="AM44" s="54" t="s">
        <v>12</v>
      </c>
      <c r="AN44" s="54" t="s">
        <v>12</v>
      </c>
      <c r="AO44" s="54" t="s">
        <v>12</v>
      </c>
      <c r="AP44" s="54" t="s">
        <v>12</v>
      </c>
      <c r="AQ44" s="54" t="s">
        <v>12</v>
      </c>
      <c r="AR44" s="54" t="s">
        <v>12</v>
      </c>
      <c r="AS44" s="54" t="s">
        <v>12</v>
      </c>
      <c r="AT44" s="54" t="s">
        <v>12</v>
      </c>
      <c r="AU44" s="54" t="s">
        <v>12</v>
      </c>
      <c r="AV44" s="54" t="s">
        <v>12</v>
      </c>
      <c r="AW44" s="54" t="s">
        <v>12</v>
      </c>
      <c r="AX44" s="54" t="s">
        <v>12</v>
      </c>
      <c r="AY44" s="54" t="s">
        <v>12</v>
      </c>
      <c r="AZ44" s="54" t="s">
        <v>12</v>
      </c>
      <c r="BA44" s="54" t="s">
        <v>12</v>
      </c>
      <c r="BB44" s="54" t="s">
        <v>12</v>
      </c>
      <c r="BC44" s="54" t="s">
        <v>12</v>
      </c>
      <c r="BD44" s="54" t="s">
        <v>12</v>
      </c>
      <c r="BE44" s="54" t="s">
        <v>12</v>
      </c>
      <c r="BF44" s="89" t="s">
        <v>12</v>
      </c>
    </row>
    <row r="45" spans="1:58" x14ac:dyDescent="0.4">
      <c r="A45" s="63">
        <v>44854</v>
      </c>
      <c r="B45" s="53">
        <v>44854.45879099537</v>
      </c>
      <c r="C45" s="54" t="s">
        <v>89</v>
      </c>
      <c r="D45" s="55" t="s">
        <v>74</v>
      </c>
      <c r="E45" s="69" t="s">
        <v>90</v>
      </c>
      <c r="F45" s="73">
        <v>67.010000000000005</v>
      </c>
      <c r="G45" s="57">
        <v>57</v>
      </c>
      <c r="H45" s="57">
        <v>75</v>
      </c>
      <c r="I45" s="57">
        <v>66.489999999999995</v>
      </c>
      <c r="J45" s="77">
        <v>66.53</v>
      </c>
      <c r="K45" s="81">
        <v>2510500</v>
      </c>
      <c r="L45" s="56">
        <v>6175500</v>
      </c>
      <c r="M45" s="56">
        <v>80</v>
      </c>
      <c r="N45" s="56">
        <v>21</v>
      </c>
      <c r="O45" s="57">
        <v>4.71</v>
      </c>
      <c r="P45" s="56">
        <v>77194</v>
      </c>
      <c r="Q45" s="56">
        <v>363265</v>
      </c>
      <c r="R45" s="56">
        <v>593651</v>
      </c>
      <c r="S45" s="56">
        <v>278944</v>
      </c>
      <c r="T45" s="56">
        <v>384801</v>
      </c>
      <c r="U45" s="77">
        <v>2.46</v>
      </c>
      <c r="V45" s="81">
        <v>17</v>
      </c>
      <c r="W45" s="85">
        <v>9</v>
      </c>
      <c r="X45" s="81">
        <v>168228605</v>
      </c>
      <c r="Y45" s="69" t="s">
        <v>75</v>
      </c>
      <c r="Z45" s="81">
        <v>2479370</v>
      </c>
      <c r="AA45" s="56">
        <v>4255135</v>
      </c>
      <c r="AB45" s="56">
        <v>6835020</v>
      </c>
      <c r="AC45" s="56">
        <v>636595</v>
      </c>
      <c r="AD45" s="56">
        <v>4523175</v>
      </c>
      <c r="AE45" s="54" t="s">
        <v>12</v>
      </c>
      <c r="AF45" s="56">
        <v>2311845</v>
      </c>
      <c r="AG45" s="56">
        <v>2110815</v>
      </c>
      <c r="AH45" s="56">
        <v>8376250</v>
      </c>
      <c r="AI45" s="56">
        <v>20304030</v>
      </c>
      <c r="AJ45" s="56">
        <v>3283490</v>
      </c>
      <c r="AK45" s="56">
        <v>11860770</v>
      </c>
      <c r="AL45" s="56">
        <v>904635</v>
      </c>
      <c r="AM45" s="56">
        <v>3853075</v>
      </c>
      <c r="AN45" s="56">
        <v>0</v>
      </c>
      <c r="AO45" s="56">
        <v>19700940</v>
      </c>
      <c r="AP45" s="56">
        <v>0</v>
      </c>
      <c r="AQ45" s="56">
        <v>20438050</v>
      </c>
      <c r="AR45" s="56">
        <v>0</v>
      </c>
      <c r="AS45" s="56">
        <v>670100</v>
      </c>
      <c r="AT45" s="56">
        <v>0</v>
      </c>
      <c r="AU45" s="56">
        <v>502575</v>
      </c>
      <c r="AV45" s="56">
        <v>33672525</v>
      </c>
      <c r="AW45" s="56">
        <v>234535</v>
      </c>
      <c r="AX45" s="56">
        <v>7270585</v>
      </c>
      <c r="AY45" s="56">
        <v>1407210</v>
      </c>
      <c r="AZ45" s="54" t="s">
        <v>12</v>
      </c>
      <c r="BA45" s="56">
        <v>4221630</v>
      </c>
      <c r="BB45" s="56">
        <v>3316995</v>
      </c>
      <c r="BC45" s="56">
        <v>1775765</v>
      </c>
      <c r="BD45" s="56">
        <v>1072160</v>
      </c>
      <c r="BE45" s="56">
        <v>2211330</v>
      </c>
      <c r="BF45" s="89" t="s">
        <v>12</v>
      </c>
    </row>
    <row r="46" spans="1:58" x14ac:dyDescent="0.4">
      <c r="A46" s="63">
        <v>44853</v>
      </c>
      <c r="B46" s="53">
        <v>44853.458922060185</v>
      </c>
      <c r="C46" s="54" t="s">
        <v>82</v>
      </c>
      <c r="D46" s="55" t="s">
        <v>81</v>
      </c>
      <c r="E46" s="69" t="s">
        <v>90</v>
      </c>
      <c r="F46" s="73">
        <v>68.62</v>
      </c>
      <c r="G46" s="57">
        <v>67.680000000000007</v>
      </c>
      <c r="H46" s="57">
        <v>70.900000000000006</v>
      </c>
      <c r="I46" s="57">
        <v>68.459999999999994</v>
      </c>
      <c r="J46" s="77">
        <v>68.36</v>
      </c>
      <c r="K46" s="81">
        <v>586500</v>
      </c>
      <c r="L46" s="56">
        <v>1178000</v>
      </c>
      <c r="M46" s="56">
        <v>28</v>
      </c>
      <c r="N46" s="56">
        <v>9</v>
      </c>
      <c r="O46" s="57">
        <v>4.67</v>
      </c>
      <c r="P46" s="56">
        <v>42071</v>
      </c>
      <c r="Q46" s="56">
        <v>196333</v>
      </c>
      <c r="R46" s="56">
        <v>189354</v>
      </c>
      <c r="S46" s="56">
        <v>146625</v>
      </c>
      <c r="T46" s="56">
        <v>117273</v>
      </c>
      <c r="U46" s="77">
        <v>2.0099999999999998</v>
      </c>
      <c r="V46" s="81">
        <v>6</v>
      </c>
      <c r="W46" s="85">
        <v>4</v>
      </c>
      <c r="X46" s="81">
        <v>40245630</v>
      </c>
      <c r="Y46" s="69" t="s">
        <v>77</v>
      </c>
      <c r="Z46" s="87" t="s">
        <v>12</v>
      </c>
      <c r="AA46" s="54" t="s">
        <v>12</v>
      </c>
      <c r="AB46" s="54" t="s">
        <v>12</v>
      </c>
      <c r="AC46" s="54" t="s">
        <v>12</v>
      </c>
      <c r="AD46" s="54" t="s">
        <v>12</v>
      </c>
      <c r="AE46" s="56">
        <v>40245630</v>
      </c>
      <c r="AF46" s="54" t="s">
        <v>12</v>
      </c>
      <c r="AG46" s="54" t="s">
        <v>12</v>
      </c>
      <c r="AH46" s="54" t="s">
        <v>12</v>
      </c>
      <c r="AI46" s="54" t="s">
        <v>12</v>
      </c>
      <c r="AJ46" s="54" t="s">
        <v>12</v>
      </c>
      <c r="AK46" s="54" t="s">
        <v>12</v>
      </c>
      <c r="AL46" s="54" t="s">
        <v>12</v>
      </c>
      <c r="AM46" s="54" t="s">
        <v>12</v>
      </c>
      <c r="AN46" s="54" t="s">
        <v>12</v>
      </c>
      <c r="AO46" s="54" t="s">
        <v>12</v>
      </c>
      <c r="AP46" s="54" t="s">
        <v>12</v>
      </c>
      <c r="AQ46" s="54" t="s">
        <v>12</v>
      </c>
      <c r="AR46" s="54" t="s">
        <v>12</v>
      </c>
      <c r="AS46" s="54" t="s">
        <v>12</v>
      </c>
      <c r="AT46" s="54" t="s">
        <v>12</v>
      </c>
      <c r="AU46" s="54" t="s">
        <v>12</v>
      </c>
      <c r="AV46" s="54" t="s">
        <v>12</v>
      </c>
      <c r="AW46" s="54" t="s">
        <v>12</v>
      </c>
      <c r="AX46" s="54" t="s">
        <v>12</v>
      </c>
      <c r="AY46" s="54" t="s">
        <v>12</v>
      </c>
      <c r="AZ46" s="54" t="s">
        <v>12</v>
      </c>
      <c r="BA46" s="54" t="s">
        <v>12</v>
      </c>
      <c r="BB46" s="54" t="s">
        <v>12</v>
      </c>
      <c r="BC46" s="54" t="s">
        <v>12</v>
      </c>
      <c r="BD46" s="54" t="s">
        <v>12</v>
      </c>
      <c r="BE46" s="54" t="s">
        <v>12</v>
      </c>
      <c r="BF46" s="89" t="s">
        <v>12</v>
      </c>
    </row>
    <row r="47" spans="1:58" x14ac:dyDescent="0.4">
      <c r="A47" s="63">
        <v>44852</v>
      </c>
      <c r="B47" s="53">
        <v>44852.458719259259</v>
      </c>
      <c r="C47" s="54" t="s">
        <v>89</v>
      </c>
      <c r="D47" s="55" t="s">
        <v>74</v>
      </c>
      <c r="E47" s="69" t="s">
        <v>90</v>
      </c>
      <c r="F47" s="73">
        <v>67.11</v>
      </c>
      <c r="G47" s="57">
        <v>56</v>
      </c>
      <c r="H47" s="57">
        <v>75</v>
      </c>
      <c r="I47" s="57">
        <v>66.36</v>
      </c>
      <c r="J47" s="77">
        <v>66.5</v>
      </c>
      <c r="K47" s="81">
        <v>2510500</v>
      </c>
      <c r="L47" s="56">
        <v>6788500</v>
      </c>
      <c r="M47" s="56">
        <v>75</v>
      </c>
      <c r="N47" s="56">
        <v>19</v>
      </c>
      <c r="O47" s="57">
        <v>3.75</v>
      </c>
      <c r="P47" s="56">
        <v>90513</v>
      </c>
      <c r="Q47" s="56">
        <v>339425</v>
      </c>
      <c r="R47" s="56">
        <v>466138</v>
      </c>
      <c r="S47" s="56">
        <v>209208</v>
      </c>
      <c r="T47" s="56">
        <v>194749</v>
      </c>
      <c r="U47" s="77">
        <v>2.7</v>
      </c>
      <c r="V47" s="81">
        <v>20</v>
      </c>
      <c r="W47" s="85">
        <v>12</v>
      </c>
      <c r="X47" s="81">
        <v>168479655</v>
      </c>
      <c r="Y47" s="69" t="s">
        <v>75</v>
      </c>
      <c r="Z47" s="81">
        <v>2483070</v>
      </c>
      <c r="AA47" s="56">
        <v>4261485</v>
      </c>
      <c r="AB47" s="56">
        <v>6845220</v>
      </c>
      <c r="AC47" s="56">
        <v>637545</v>
      </c>
      <c r="AD47" s="56">
        <v>4529925</v>
      </c>
      <c r="AE47" s="54" t="s">
        <v>12</v>
      </c>
      <c r="AF47" s="56">
        <v>2315295</v>
      </c>
      <c r="AG47" s="56">
        <v>2113965</v>
      </c>
      <c r="AH47" s="56">
        <v>8388750</v>
      </c>
      <c r="AI47" s="56">
        <v>20334330</v>
      </c>
      <c r="AJ47" s="56">
        <v>3288390</v>
      </c>
      <c r="AK47" s="56">
        <v>11878470</v>
      </c>
      <c r="AL47" s="56">
        <v>905985</v>
      </c>
      <c r="AM47" s="56">
        <v>3858825</v>
      </c>
      <c r="AN47" s="56">
        <v>0</v>
      </c>
      <c r="AO47" s="56">
        <v>19730340</v>
      </c>
      <c r="AP47" s="56">
        <v>0</v>
      </c>
      <c r="AQ47" s="56">
        <v>20468550</v>
      </c>
      <c r="AR47" s="56">
        <v>0</v>
      </c>
      <c r="AS47" s="56">
        <v>671100</v>
      </c>
      <c r="AT47" s="56">
        <v>0</v>
      </c>
      <c r="AU47" s="56">
        <v>503325</v>
      </c>
      <c r="AV47" s="56">
        <v>33722775</v>
      </c>
      <c r="AW47" s="56">
        <v>234885</v>
      </c>
      <c r="AX47" s="56">
        <v>7281435</v>
      </c>
      <c r="AY47" s="56">
        <v>1409310</v>
      </c>
      <c r="AZ47" s="54" t="s">
        <v>12</v>
      </c>
      <c r="BA47" s="56">
        <v>4227930</v>
      </c>
      <c r="BB47" s="56">
        <v>3321945</v>
      </c>
      <c r="BC47" s="56">
        <v>1778415</v>
      </c>
      <c r="BD47" s="56">
        <v>1073760</v>
      </c>
      <c r="BE47" s="56">
        <v>2214630</v>
      </c>
      <c r="BF47" s="89" t="s">
        <v>12</v>
      </c>
    </row>
    <row r="48" spans="1:58" x14ac:dyDescent="0.4">
      <c r="A48" s="63">
        <v>44851</v>
      </c>
      <c r="B48" s="53">
        <v>44851.458849178242</v>
      </c>
      <c r="C48" s="54" t="s">
        <v>89</v>
      </c>
      <c r="D48" s="55" t="s">
        <v>74</v>
      </c>
      <c r="E48" s="69" t="s">
        <v>90</v>
      </c>
      <c r="F48" s="73">
        <v>66.25</v>
      </c>
      <c r="G48" s="57">
        <v>57</v>
      </c>
      <c r="H48" s="57">
        <v>68.599999999999994</v>
      </c>
      <c r="I48" s="57">
        <v>66.099999999999994</v>
      </c>
      <c r="J48" s="77">
        <v>66.319999999999993</v>
      </c>
      <c r="K48" s="81">
        <v>2510500</v>
      </c>
      <c r="L48" s="56">
        <v>5754000</v>
      </c>
      <c r="M48" s="56">
        <v>85</v>
      </c>
      <c r="N48" s="56">
        <v>47</v>
      </c>
      <c r="O48" s="57">
        <v>4.47</v>
      </c>
      <c r="P48" s="56">
        <v>67694</v>
      </c>
      <c r="Q48" s="56">
        <v>302842</v>
      </c>
      <c r="R48" s="56">
        <v>544157</v>
      </c>
      <c r="S48" s="56">
        <v>156906</v>
      </c>
      <c r="T48" s="56">
        <v>226847</v>
      </c>
      <c r="U48" s="77">
        <v>2.29</v>
      </c>
      <c r="V48" s="81">
        <v>19</v>
      </c>
      <c r="W48" s="85">
        <v>16</v>
      </c>
      <c r="X48" s="81">
        <v>166320625</v>
      </c>
      <c r="Y48" s="69" t="s">
        <v>75</v>
      </c>
      <c r="Z48" s="81">
        <v>2451250</v>
      </c>
      <c r="AA48" s="56">
        <v>4206875</v>
      </c>
      <c r="AB48" s="56">
        <v>6757500</v>
      </c>
      <c r="AC48" s="56">
        <v>629375</v>
      </c>
      <c r="AD48" s="56">
        <v>4471875</v>
      </c>
      <c r="AE48" s="54" t="s">
        <v>12</v>
      </c>
      <c r="AF48" s="56">
        <v>2285625</v>
      </c>
      <c r="AG48" s="56">
        <v>2086875</v>
      </c>
      <c r="AH48" s="56">
        <v>8281250</v>
      </c>
      <c r="AI48" s="56">
        <v>20073750</v>
      </c>
      <c r="AJ48" s="56">
        <v>3246250</v>
      </c>
      <c r="AK48" s="56">
        <v>11726250</v>
      </c>
      <c r="AL48" s="56">
        <v>894375</v>
      </c>
      <c r="AM48" s="56">
        <v>3809375</v>
      </c>
      <c r="AN48" s="56">
        <v>0</v>
      </c>
      <c r="AO48" s="56">
        <v>19477500</v>
      </c>
      <c r="AP48" s="56">
        <v>0</v>
      </c>
      <c r="AQ48" s="56">
        <v>20206250</v>
      </c>
      <c r="AR48" s="56">
        <v>0</v>
      </c>
      <c r="AS48" s="56">
        <v>662500</v>
      </c>
      <c r="AT48" s="56">
        <v>0</v>
      </c>
      <c r="AU48" s="56">
        <v>496875</v>
      </c>
      <c r="AV48" s="56">
        <v>33290625</v>
      </c>
      <c r="AW48" s="56">
        <v>231875</v>
      </c>
      <c r="AX48" s="56">
        <v>7188125</v>
      </c>
      <c r="AY48" s="56">
        <v>1391250</v>
      </c>
      <c r="AZ48" s="54" t="s">
        <v>12</v>
      </c>
      <c r="BA48" s="56">
        <v>4173750</v>
      </c>
      <c r="BB48" s="56">
        <v>3279375</v>
      </c>
      <c r="BC48" s="56">
        <v>1755625</v>
      </c>
      <c r="BD48" s="56">
        <v>1060000</v>
      </c>
      <c r="BE48" s="56">
        <v>2186250</v>
      </c>
      <c r="BF48" s="89" t="s">
        <v>12</v>
      </c>
    </row>
    <row r="49" spans="1:58" x14ac:dyDescent="0.4">
      <c r="A49" s="63">
        <v>44848</v>
      </c>
      <c r="B49" s="53">
        <v>44848.458643298611</v>
      </c>
      <c r="C49" s="54" t="s">
        <v>91</v>
      </c>
      <c r="D49" s="55" t="s">
        <v>74</v>
      </c>
      <c r="E49" s="69" t="s">
        <v>90</v>
      </c>
      <c r="F49" s="73">
        <v>67.7</v>
      </c>
      <c r="G49" s="57">
        <v>50.45</v>
      </c>
      <c r="H49" s="57">
        <v>75</v>
      </c>
      <c r="I49" s="57">
        <v>67.22</v>
      </c>
      <c r="J49" s="77">
        <v>67.63</v>
      </c>
      <c r="K49" s="81">
        <v>1861500</v>
      </c>
      <c r="L49" s="56">
        <v>5928500</v>
      </c>
      <c r="M49" s="56">
        <v>67</v>
      </c>
      <c r="N49" s="56">
        <v>30</v>
      </c>
      <c r="O49" s="57">
        <v>4.47</v>
      </c>
      <c r="P49" s="56">
        <v>88485</v>
      </c>
      <c r="Q49" s="56">
        <v>395233</v>
      </c>
      <c r="R49" s="56">
        <v>613339</v>
      </c>
      <c r="S49" s="56">
        <v>143192</v>
      </c>
      <c r="T49" s="56">
        <v>206430</v>
      </c>
      <c r="U49" s="77">
        <v>3.18</v>
      </c>
      <c r="V49" s="81">
        <v>15</v>
      </c>
      <c r="W49" s="85">
        <v>13</v>
      </c>
      <c r="X49" s="81">
        <v>126023550</v>
      </c>
      <c r="Y49" s="69" t="s">
        <v>77</v>
      </c>
      <c r="Z49" s="87" t="s">
        <v>12</v>
      </c>
      <c r="AA49" s="54" t="s">
        <v>12</v>
      </c>
      <c r="AB49" s="54" t="s">
        <v>12</v>
      </c>
      <c r="AC49" s="54" t="s">
        <v>12</v>
      </c>
      <c r="AD49" s="54" t="s">
        <v>12</v>
      </c>
      <c r="AE49" s="56">
        <v>126023550</v>
      </c>
      <c r="AF49" s="54" t="s">
        <v>12</v>
      </c>
      <c r="AG49" s="54" t="s">
        <v>12</v>
      </c>
      <c r="AH49" s="54" t="s">
        <v>12</v>
      </c>
      <c r="AI49" s="54" t="s">
        <v>12</v>
      </c>
      <c r="AJ49" s="54" t="s">
        <v>12</v>
      </c>
      <c r="AK49" s="54" t="s">
        <v>12</v>
      </c>
      <c r="AL49" s="54" t="s">
        <v>12</v>
      </c>
      <c r="AM49" s="54" t="s">
        <v>12</v>
      </c>
      <c r="AN49" s="54" t="s">
        <v>12</v>
      </c>
      <c r="AO49" s="54" t="s">
        <v>12</v>
      </c>
      <c r="AP49" s="54" t="s">
        <v>12</v>
      </c>
      <c r="AQ49" s="54" t="s">
        <v>12</v>
      </c>
      <c r="AR49" s="54" t="s">
        <v>12</v>
      </c>
      <c r="AS49" s="54" t="s">
        <v>12</v>
      </c>
      <c r="AT49" s="54" t="s">
        <v>12</v>
      </c>
      <c r="AU49" s="54" t="s">
        <v>12</v>
      </c>
      <c r="AV49" s="54" t="s">
        <v>12</v>
      </c>
      <c r="AW49" s="54" t="s">
        <v>12</v>
      </c>
      <c r="AX49" s="54" t="s">
        <v>12</v>
      </c>
      <c r="AY49" s="54" t="s">
        <v>12</v>
      </c>
      <c r="AZ49" s="54" t="s">
        <v>12</v>
      </c>
      <c r="BA49" s="54" t="s">
        <v>12</v>
      </c>
      <c r="BB49" s="54" t="s">
        <v>12</v>
      </c>
      <c r="BC49" s="54" t="s">
        <v>12</v>
      </c>
      <c r="BD49" s="54" t="s">
        <v>12</v>
      </c>
      <c r="BE49" s="54" t="s">
        <v>12</v>
      </c>
      <c r="BF49" s="89" t="s">
        <v>12</v>
      </c>
    </row>
    <row r="50" spans="1:58" x14ac:dyDescent="0.4">
      <c r="A50" s="63">
        <v>44847</v>
      </c>
      <c r="B50" s="53">
        <v>44847.459021516202</v>
      </c>
      <c r="C50" s="54" t="s">
        <v>89</v>
      </c>
      <c r="D50" s="55" t="s">
        <v>74</v>
      </c>
      <c r="E50" s="69" t="s">
        <v>90</v>
      </c>
      <c r="F50" s="73">
        <v>66.650000000000006</v>
      </c>
      <c r="G50" s="57">
        <v>51.15</v>
      </c>
      <c r="H50" s="57">
        <v>80</v>
      </c>
      <c r="I50" s="57">
        <v>66.540000000000006</v>
      </c>
      <c r="J50" s="77">
        <v>66.430000000000007</v>
      </c>
      <c r="K50" s="81">
        <v>2510500</v>
      </c>
      <c r="L50" s="56">
        <v>6003500</v>
      </c>
      <c r="M50" s="56">
        <v>64</v>
      </c>
      <c r="N50" s="56">
        <v>25</v>
      </c>
      <c r="O50" s="57">
        <v>4.2699999999999996</v>
      </c>
      <c r="P50" s="56">
        <v>93805</v>
      </c>
      <c r="Q50" s="56">
        <v>400233</v>
      </c>
      <c r="R50" s="56">
        <v>644127</v>
      </c>
      <c r="S50" s="56">
        <v>209208</v>
      </c>
      <c r="T50" s="56">
        <v>304321</v>
      </c>
      <c r="U50" s="77">
        <v>2.39</v>
      </c>
      <c r="V50" s="81">
        <v>15</v>
      </c>
      <c r="W50" s="85">
        <v>12</v>
      </c>
      <c r="X50" s="81">
        <v>167324825</v>
      </c>
      <c r="Y50" s="69" t="s">
        <v>75</v>
      </c>
      <c r="Z50" s="81">
        <v>2466050</v>
      </c>
      <c r="AA50" s="56">
        <v>4232275</v>
      </c>
      <c r="AB50" s="56">
        <v>6798300</v>
      </c>
      <c r="AC50" s="56">
        <v>633175</v>
      </c>
      <c r="AD50" s="56">
        <v>4498875</v>
      </c>
      <c r="AE50" s="54" t="s">
        <v>12</v>
      </c>
      <c r="AF50" s="56">
        <v>2299425</v>
      </c>
      <c r="AG50" s="56">
        <v>2099475</v>
      </c>
      <c r="AH50" s="56">
        <v>8331250</v>
      </c>
      <c r="AI50" s="56">
        <v>20194950</v>
      </c>
      <c r="AJ50" s="56">
        <v>3265850</v>
      </c>
      <c r="AK50" s="56">
        <v>11797050</v>
      </c>
      <c r="AL50" s="56">
        <v>899775</v>
      </c>
      <c r="AM50" s="56">
        <v>3832375</v>
      </c>
      <c r="AN50" s="56">
        <v>0</v>
      </c>
      <c r="AO50" s="56">
        <v>19595100</v>
      </c>
      <c r="AP50" s="56">
        <v>0</v>
      </c>
      <c r="AQ50" s="56">
        <v>20328250</v>
      </c>
      <c r="AR50" s="56">
        <v>0</v>
      </c>
      <c r="AS50" s="56">
        <v>666500</v>
      </c>
      <c r="AT50" s="56">
        <v>0</v>
      </c>
      <c r="AU50" s="56">
        <v>499875</v>
      </c>
      <c r="AV50" s="56">
        <v>33491625</v>
      </c>
      <c r="AW50" s="56">
        <v>233275</v>
      </c>
      <c r="AX50" s="56">
        <v>7231525</v>
      </c>
      <c r="AY50" s="56">
        <v>1399650</v>
      </c>
      <c r="AZ50" s="54" t="s">
        <v>12</v>
      </c>
      <c r="BA50" s="56">
        <v>4198950</v>
      </c>
      <c r="BB50" s="56">
        <v>3299175</v>
      </c>
      <c r="BC50" s="56">
        <v>1766225</v>
      </c>
      <c r="BD50" s="56">
        <v>1066400</v>
      </c>
      <c r="BE50" s="56">
        <v>2199450</v>
      </c>
      <c r="BF50" s="89" t="s">
        <v>12</v>
      </c>
    </row>
    <row r="51" spans="1:58" x14ac:dyDescent="0.4">
      <c r="A51" s="63">
        <v>44846</v>
      </c>
      <c r="B51" s="53">
        <v>44846.45878951389</v>
      </c>
      <c r="C51" s="54" t="s">
        <v>92</v>
      </c>
      <c r="D51" s="55" t="s">
        <v>74</v>
      </c>
      <c r="E51" s="69" t="s">
        <v>90</v>
      </c>
      <c r="F51" s="73">
        <v>65.760000000000005</v>
      </c>
      <c r="G51" s="57">
        <v>51</v>
      </c>
      <c r="H51" s="57">
        <v>72</v>
      </c>
      <c r="I51" s="57">
        <v>65.86</v>
      </c>
      <c r="J51" s="77">
        <v>65.7</v>
      </c>
      <c r="K51" s="81">
        <v>3101500</v>
      </c>
      <c r="L51" s="56">
        <v>7662500</v>
      </c>
      <c r="M51" s="56">
        <v>101</v>
      </c>
      <c r="N51" s="56">
        <v>46</v>
      </c>
      <c r="O51" s="57">
        <v>5.61</v>
      </c>
      <c r="P51" s="56">
        <v>75866</v>
      </c>
      <c r="Q51" s="56">
        <v>425694</v>
      </c>
      <c r="R51" s="56">
        <v>681887</v>
      </c>
      <c r="S51" s="56">
        <v>221536</v>
      </c>
      <c r="T51" s="56">
        <v>282685</v>
      </c>
      <c r="U51" s="77">
        <v>2.4700000000000002</v>
      </c>
      <c r="V51" s="81">
        <v>18</v>
      </c>
      <c r="W51" s="85">
        <v>14</v>
      </c>
      <c r="X51" s="81">
        <v>203954640</v>
      </c>
      <c r="Y51" s="69" t="s">
        <v>79</v>
      </c>
      <c r="Z51" s="87" t="s">
        <v>12</v>
      </c>
      <c r="AA51" s="54" t="s">
        <v>12</v>
      </c>
      <c r="AB51" s="54" t="s">
        <v>12</v>
      </c>
      <c r="AC51" s="54" t="s">
        <v>12</v>
      </c>
      <c r="AD51" s="54" t="s">
        <v>12</v>
      </c>
      <c r="AE51" s="54" t="s">
        <v>12</v>
      </c>
      <c r="AF51" s="54" t="s">
        <v>12</v>
      </c>
      <c r="AG51" s="54" t="s">
        <v>12</v>
      </c>
      <c r="AH51" s="54" t="s">
        <v>12</v>
      </c>
      <c r="AI51" s="54" t="s">
        <v>12</v>
      </c>
      <c r="AJ51" s="54" t="s">
        <v>12</v>
      </c>
      <c r="AK51" s="54" t="s">
        <v>12</v>
      </c>
      <c r="AL51" s="54" t="s">
        <v>12</v>
      </c>
      <c r="AM51" s="54" t="s">
        <v>12</v>
      </c>
      <c r="AN51" s="54" t="s">
        <v>12</v>
      </c>
      <c r="AO51" s="54" t="s">
        <v>12</v>
      </c>
      <c r="AP51" s="54" t="s">
        <v>12</v>
      </c>
      <c r="AQ51" s="54" t="s">
        <v>12</v>
      </c>
      <c r="AR51" s="54" t="s">
        <v>12</v>
      </c>
      <c r="AS51" s="54" t="s">
        <v>12</v>
      </c>
      <c r="AT51" s="54" t="s">
        <v>12</v>
      </c>
      <c r="AU51" s="54" t="s">
        <v>12</v>
      </c>
      <c r="AV51" s="54" t="s">
        <v>12</v>
      </c>
      <c r="AW51" s="54" t="s">
        <v>12</v>
      </c>
      <c r="AX51" s="54" t="s">
        <v>12</v>
      </c>
      <c r="AY51" s="54" t="s">
        <v>12</v>
      </c>
      <c r="AZ51" s="56">
        <v>203954640</v>
      </c>
      <c r="BA51" s="54" t="s">
        <v>12</v>
      </c>
      <c r="BB51" s="54" t="s">
        <v>12</v>
      </c>
      <c r="BC51" s="54" t="s">
        <v>12</v>
      </c>
      <c r="BD51" s="54" t="s">
        <v>12</v>
      </c>
      <c r="BE51" s="54" t="s">
        <v>12</v>
      </c>
      <c r="BF51" s="89" t="s">
        <v>12</v>
      </c>
    </row>
    <row r="52" spans="1:58" x14ac:dyDescent="0.4">
      <c r="A52" s="63">
        <v>44845</v>
      </c>
      <c r="B52" s="53">
        <v>44845.458654085647</v>
      </c>
      <c r="C52" s="54" t="s">
        <v>89</v>
      </c>
      <c r="D52" s="55" t="s">
        <v>74</v>
      </c>
      <c r="E52" s="69" t="s">
        <v>90</v>
      </c>
      <c r="F52" s="73">
        <v>66.34</v>
      </c>
      <c r="G52" s="57">
        <v>59.35</v>
      </c>
      <c r="H52" s="57">
        <v>70</v>
      </c>
      <c r="I52" s="57">
        <v>65.86</v>
      </c>
      <c r="J52" s="77">
        <v>65.83</v>
      </c>
      <c r="K52" s="81">
        <v>2510500</v>
      </c>
      <c r="L52" s="56">
        <v>5030500</v>
      </c>
      <c r="M52" s="56">
        <v>68</v>
      </c>
      <c r="N52" s="56">
        <v>17</v>
      </c>
      <c r="O52" s="57">
        <v>4</v>
      </c>
      <c r="P52" s="56">
        <v>73978</v>
      </c>
      <c r="Q52" s="56">
        <v>295912</v>
      </c>
      <c r="R52" s="56">
        <v>350520</v>
      </c>
      <c r="S52" s="56">
        <v>251050</v>
      </c>
      <c r="T52" s="56">
        <v>290359</v>
      </c>
      <c r="U52" s="77">
        <v>2</v>
      </c>
      <c r="V52" s="81">
        <v>17</v>
      </c>
      <c r="W52" s="85">
        <v>10</v>
      </c>
      <c r="X52" s="81">
        <v>166546570</v>
      </c>
      <c r="Y52" s="69" t="s">
        <v>75</v>
      </c>
      <c r="Z52" s="81">
        <v>2454580</v>
      </c>
      <c r="AA52" s="56">
        <v>4212590</v>
      </c>
      <c r="AB52" s="56">
        <v>6766680</v>
      </c>
      <c r="AC52" s="56">
        <v>630230</v>
      </c>
      <c r="AD52" s="56">
        <v>4477950</v>
      </c>
      <c r="AE52" s="54" t="s">
        <v>12</v>
      </c>
      <c r="AF52" s="56">
        <v>2288730</v>
      </c>
      <c r="AG52" s="56">
        <v>2089710</v>
      </c>
      <c r="AH52" s="56">
        <v>8292500</v>
      </c>
      <c r="AI52" s="56">
        <v>20101020</v>
      </c>
      <c r="AJ52" s="56">
        <v>3250660</v>
      </c>
      <c r="AK52" s="56">
        <v>11742180</v>
      </c>
      <c r="AL52" s="56">
        <v>895590</v>
      </c>
      <c r="AM52" s="56">
        <v>3814550</v>
      </c>
      <c r="AN52" s="56">
        <v>0</v>
      </c>
      <c r="AO52" s="56">
        <v>19503960</v>
      </c>
      <c r="AP52" s="56">
        <v>0</v>
      </c>
      <c r="AQ52" s="56">
        <v>20233700</v>
      </c>
      <c r="AR52" s="56">
        <v>0</v>
      </c>
      <c r="AS52" s="56">
        <v>663400</v>
      </c>
      <c r="AT52" s="56">
        <v>0</v>
      </c>
      <c r="AU52" s="56">
        <v>497550</v>
      </c>
      <c r="AV52" s="56">
        <v>33335850</v>
      </c>
      <c r="AW52" s="56">
        <v>232190</v>
      </c>
      <c r="AX52" s="56">
        <v>7197890</v>
      </c>
      <c r="AY52" s="56">
        <v>1393140</v>
      </c>
      <c r="AZ52" s="54" t="s">
        <v>12</v>
      </c>
      <c r="BA52" s="56">
        <v>4179420</v>
      </c>
      <c r="BB52" s="56">
        <v>3283830</v>
      </c>
      <c r="BC52" s="56">
        <v>1758010</v>
      </c>
      <c r="BD52" s="56">
        <v>1061440</v>
      </c>
      <c r="BE52" s="56">
        <v>2189220</v>
      </c>
      <c r="BF52" s="89" t="s">
        <v>12</v>
      </c>
    </row>
    <row r="53" spans="1:58" x14ac:dyDescent="0.4">
      <c r="A53" s="63">
        <v>44844</v>
      </c>
      <c r="B53" s="53">
        <v>44844.458731319442</v>
      </c>
      <c r="C53" s="54" t="s">
        <v>89</v>
      </c>
      <c r="D53" s="55" t="s">
        <v>74</v>
      </c>
      <c r="E53" s="69" t="s">
        <v>90</v>
      </c>
      <c r="F53" s="73">
        <v>67.010000000000005</v>
      </c>
      <c r="G53" s="57">
        <v>60.12</v>
      </c>
      <c r="H53" s="57">
        <v>75</v>
      </c>
      <c r="I53" s="57">
        <v>66.62</v>
      </c>
      <c r="J53" s="77">
        <v>66.510000000000005</v>
      </c>
      <c r="K53" s="81">
        <v>2510500</v>
      </c>
      <c r="L53" s="56">
        <v>4884000</v>
      </c>
      <c r="M53" s="56">
        <v>77</v>
      </c>
      <c r="N53" s="56">
        <v>15</v>
      </c>
      <c r="O53" s="57">
        <v>4.05</v>
      </c>
      <c r="P53" s="56">
        <v>63429</v>
      </c>
      <c r="Q53" s="56">
        <v>257053</v>
      </c>
      <c r="R53" s="56">
        <v>399926</v>
      </c>
      <c r="S53" s="56">
        <v>228227</v>
      </c>
      <c r="T53" s="56">
        <v>414652</v>
      </c>
      <c r="U53" s="77">
        <v>1.95</v>
      </c>
      <c r="V53" s="81">
        <v>19</v>
      </c>
      <c r="W53" s="85">
        <v>11</v>
      </c>
      <c r="X53" s="81">
        <v>168228605</v>
      </c>
      <c r="Y53" s="69" t="s">
        <v>75</v>
      </c>
      <c r="Z53" s="81">
        <v>2479370</v>
      </c>
      <c r="AA53" s="56">
        <v>4255135</v>
      </c>
      <c r="AB53" s="56">
        <v>6835020</v>
      </c>
      <c r="AC53" s="56">
        <v>636595</v>
      </c>
      <c r="AD53" s="56">
        <v>4523175</v>
      </c>
      <c r="AE53" s="54" t="s">
        <v>12</v>
      </c>
      <c r="AF53" s="56">
        <v>2311845</v>
      </c>
      <c r="AG53" s="56">
        <v>2110815</v>
      </c>
      <c r="AH53" s="56">
        <v>8376250</v>
      </c>
      <c r="AI53" s="56">
        <v>20304030</v>
      </c>
      <c r="AJ53" s="56">
        <v>3283490</v>
      </c>
      <c r="AK53" s="56">
        <v>11860770</v>
      </c>
      <c r="AL53" s="56">
        <v>904635</v>
      </c>
      <c r="AM53" s="56">
        <v>3853075</v>
      </c>
      <c r="AN53" s="56">
        <v>0</v>
      </c>
      <c r="AO53" s="56">
        <v>19700940</v>
      </c>
      <c r="AP53" s="56">
        <v>0</v>
      </c>
      <c r="AQ53" s="56">
        <v>20438050</v>
      </c>
      <c r="AR53" s="56">
        <v>0</v>
      </c>
      <c r="AS53" s="56">
        <v>670100</v>
      </c>
      <c r="AT53" s="56">
        <v>0</v>
      </c>
      <c r="AU53" s="56">
        <v>502575</v>
      </c>
      <c r="AV53" s="56">
        <v>33672525</v>
      </c>
      <c r="AW53" s="56">
        <v>234535</v>
      </c>
      <c r="AX53" s="56">
        <v>7270585</v>
      </c>
      <c r="AY53" s="56">
        <v>1407210</v>
      </c>
      <c r="AZ53" s="54" t="s">
        <v>12</v>
      </c>
      <c r="BA53" s="56">
        <v>4221630</v>
      </c>
      <c r="BB53" s="56">
        <v>3316995</v>
      </c>
      <c r="BC53" s="56">
        <v>1775765</v>
      </c>
      <c r="BD53" s="56">
        <v>1072160</v>
      </c>
      <c r="BE53" s="56">
        <v>2211330</v>
      </c>
      <c r="BF53" s="89" t="s">
        <v>12</v>
      </c>
    </row>
    <row r="54" spans="1:58" x14ac:dyDescent="0.4">
      <c r="A54" s="63">
        <v>44841</v>
      </c>
      <c r="B54" s="53">
        <v>44841.458721678238</v>
      </c>
      <c r="C54" s="54" t="s">
        <v>91</v>
      </c>
      <c r="D54" s="55" t="s">
        <v>74</v>
      </c>
      <c r="E54" s="69" t="s">
        <v>90</v>
      </c>
      <c r="F54" s="73">
        <v>67.52</v>
      </c>
      <c r="G54" s="57">
        <v>60</v>
      </c>
      <c r="H54" s="57">
        <v>75</v>
      </c>
      <c r="I54" s="57">
        <v>67.59</v>
      </c>
      <c r="J54" s="77">
        <v>67.5</v>
      </c>
      <c r="K54" s="81">
        <v>1861500</v>
      </c>
      <c r="L54" s="56">
        <v>3768500</v>
      </c>
      <c r="M54" s="56">
        <v>80</v>
      </c>
      <c r="N54" s="56">
        <v>38</v>
      </c>
      <c r="O54" s="57">
        <v>4.21</v>
      </c>
      <c r="P54" s="56">
        <v>47106</v>
      </c>
      <c r="Q54" s="56">
        <v>198342</v>
      </c>
      <c r="R54" s="56">
        <v>284600</v>
      </c>
      <c r="S54" s="56">
        <v>116344</v>
      </c>
      <c r="T54" s="56">
        <v>220447</v>
      </c>
      <c r="U54" s="77">
        <v>2.02</v>
      </c>
      <c r="V54" s="81">
        <v>19</v>
      </c>
      <c r="W54" s="85">
        <v>16</v>
      </c>
      <c r="X54" s="81">
        <v>125688480</v>
      </c>
      <c r="Y54" s="69" t="s">
        <v>77</v>
      </c>
      <c r="Z54" s="87" t="s">
        <v>12</v>
      </c>
      <c r="AA54" s="54" t="s">
        <v>12</v>
      </c>
      <c r="AB54" s="54" t="s">
        <v>12</v>
      </c>
      <c r="AC54" s="54" t="s">
        <v>12</v>
      </c>
      <c r="AD54" s="54" t="s">
        <v>12</v>
      </c>
      <c r="AE54" s="56">
        <v>125688480</v>
      </c>
      <c r="AF54" s="54" t="s">
        <v>12</v>
      </c>
      <c r="AG54" s="54" t="s">
        <v>12</v>
      </c>
      <c r="AH54" s="54" t="s">
        <v>12</v>
      </c>
      <c r="AI54" s="54" t="s">
        <v>12</v>
      </c>
      <c r="AJ54" s="54" t="s">
        <v>12</v>
      </c>
      <c r="AK54" s="54" t="s">
        <v>12</v>
      </c>
      <c r="AL54" s="54" t="s">
        <v>12</v>
      </c>
      <c r="AM54" s="54" t="s">
        <v>12</v>
      </c>
      <c r="AN54" s="54" t="s">
        <v>12</v>
      </c>
      <c r="AO54" s="54" t="s">
        <v>12</v>
      </c>
      <c r="AP54" s="54" t="s">
        <v>12</v>
      </c>
      <c r="AQ54" s="54" t="s">
        <v>12</v>
      </c>
      <c r="AR54" s="54" t="s">
        <v>12</v>
      </c>
      <c r="AS54" s="54" t="s">
        <v>12</v>
      </c>
      <c r="AT54" s="54" t="s">
        <v>12</v>
      </c>
      <c r="AU54" s="54" t="s">
        <v>12</v>
      </c>
      <c r="AV54" s="54" t="s">
        <v>12</v>
      </c>
      <c r="AW54" s="54" t="s">
        <v>12</v>
      </c>
      <c r="AX54" s="54" t="s">
        <v>12</v>
      </c>
      <c r="AY54" s="54" t="s">
        <v>12</v>
      </c>
      <c r="AZ54" s="54" t="s">
        <v>12</v>
      </c>
      <c r="BA54" s="54" t="s">
        <v>12</v>
      </c>
      <c r="BB54" s="54" t="s">
        <v>12</v>
      </c>
      <c r="BC54" s="54" t="s">
        <v>12</v>
      </c>
      <c r="BD54" s="54" t="s">
        <v>12</v>
      </c>
      <c r="BE54" s="54" t="s">
        <v>12</v>
      </c>
      <c r="BF54" s="89" t="s">
        <v>12</v>
      </c>
    </row>
    <row r="55" spans="1:58" x14ac:dyDescent="0.4">
      <c r="A55" s="63">
        <v>44840</v>
      </c>
      <c r="B55" s="53">
        <v>44840.458571898147</v>
      </c>
      <c r="C55" s="54" t="s">
        <v>89</v>
      </c>
      <c r="D55" s="55" t="s">
        <v>74</v>
      </c>
      <c r="E55" s="69" t="s">
        <v>90</v>
      </c>
      <c r="F55" s="73">
        <v>65.760000000000005</v>
      </c>
      <c r="G55" s="57">
        <v>55.35</v>
      </c>
      <c r="H55" s="57">
        <v>70</v>
      </c>
      <c r="I55" s="57">
        <v>65.349999999999994</v>
      </c>
      <c r="J55" s="77">
        <v>65.540000000000006</v>
      </c>
      <c r="K55" s="81">
        <v>2510500</v>
      </c>
      <c r="L55" s="56">
        <v>6652500</v>
      </c>
      <c r="M55" s="56">
        <v>73</v>
      </c>
      <c r="N55" s="56">
        <v>26</v>
      </c>
      <c r="O55" s="57">
        <v>3.84</v>
      </c>
      <c r="P55" s="56">
        <v>91130</v>
      </c>
      <c r="Q55" s="56">
        <v>350132</v>
      </c>
      <c r="R55" s="56">
        <v>643859</v>
      </c>
      <c r="S55" s="56">
        <v>179321</v>
      </c>
      <c r="T55" s="56">
        <v>338012</v>
      </c>
      <c r="U55" s="77">
        <v>2.65</v>
      </c>
      <c r="V55" s="81">
        <v>19</v>
      </c>
      <c r="W55" s="85">
        <v>14</v>
      </c>
      <c r="X55" s="81">
        <v>165090480</v>
      </c>
      <c r="Y55" s="69" t="s">
        <v>75</v>
      </c>
      <c r="Z55" s="81">
        <v>2433120</v>
      </c>
      <c r="AA55" s="56">
        <v>4175760</v>
      </c>
      <c r="AB55" s="56">
        <v>6707520</v>
      </c>
      <c r="AC55" s="56">
        <v>624720</v>
      </c>
      <c r="AD55" s="56">
        <v>4438800</v>
      </c>
      <c r="AE55" s="54" t="s">
        <v>12</v>
      </c>
      <c r="AF55" s="56">
        <v>2268720</v>
      </c>
      <c r="AG55" s="56">
        <v>2071440</v>
      </c>
      <c r="AH55" s="56">
        <v>8220000</v>
      </c>
      <c r="AI55" s="56">
        <v>19925280</v>
      </c>
      <c r="AJ55" s="56">
        <v>3222240</v>
      </c>
      <c r="AK55" s="56">
        <v>11639520</v>
      </c>
      <c r="AL55" s="56">
        <v>887760</v>
      </c>
      <c r="AM55" s="56">
        <v>3781200</v>
      </c>
      <c r="AN55" s="56">
        <v>0</v>
      </c>
      <c r="AO55" s="56">
        <v>19333440</v>
      </c>
      <c r="AP55" s="56">
        <v>0</v>
      </c>
      <c r="AQ55" s="56">
        <v>20056800</v>
      </c>
      <c r="AR55" s="56">
        <v>0</v>
      </c>
      <c r="AS55" s="56">
        <v>657600</v>
      </c>
      <c r="AT55" s="56">
        <v>0</v>
      </c>
      <c r="AU55" s="56">
        <v>493200</v>
      </c>
      <c r="AV55" s="56">
        <v>33044400</v>
      </c>
      <c r="AW55" s="56">
        <v>230160</v>
      </c>
      <c r="AX55" s="56">
        <v>7134960</v>
      </c>
      <c r="AY55" s="56">
        <v>1380960</v>
      </c>
      <c r="AZ55" s="54" t="s">
        <v>12</v>
      </c>
      <c r="BA55" s="56">
        <v>4142880</v>
      </c>
      <c r="BB55" s="56">
        <v>3255120</v>
      </c>
      <c r="BC55" s="56">
        <v>1742640</v>
      </c>
      <c r="BD55" s="56">
        <v>1052160</v>
      </c>
      <c r="BE55" s="56">
        <v>2170080</v>
      </c>
      <c r="BF55" s="89" t="s">
        <v>12</v>
      </c>
    </row>
    <row r="56" spans="1:58" x14ac:dyDescent="0.4">
      <c r="A56" s="63">
        <v>44838</v>
      </c>
      <c r="B56" s="53">
        <v>44838.458769467594</v>
      </c>
      <c r="C56" s="54" t="s">
        <v>89</v>
      </c>
      <c r="D56" s="55" t="s">
        <v>74</v>
      </c>
      <c r="E56" s="69" t="s">
        <v>90</v>
      </c>
      <c r="F56" s="73">
        <v>66.17</v>
      </c>
      <c r="G56" s="57">
        <v>64.94</v>
      </c>
      <c r="H56" s="57">
        <v>72</v>
      </c>
      <c r="I56" s="57">
        <v>66.239999999999995</v>
      </c>
      <c r="J56" s="77">
        <v>65.98</v>
      </c>
      <c r="K56" s="81">
        <v>2510500</v>
      </c>
      <c r="L56" s="56">
        <v>3528500</v>
      </c>
      <c r="M56" s="56">
        <v>73</v>
      </c>
      <c r="N56" s="56">
        <v>27</v>
      </c>
      <c r="O56" s="57">
        <v>4.0599999999999996</v>
      </c>
      <c r="P56" s="56">
        <v>48336</v>
      </c>
      <c r="Q56" s="56">
        <v>196028</v>
      </c>
      <c r="R56" s="56">
        <v>286908</v>
      </c>
      <c r="S56" s="56">
        <v>167367</v>
      </c>
      <c r="T56" s="56">
        <v>266264</v>
      </c>
      <c r="U56" s="77">
        <v>1.41</v>
      </c>
      <c r="V56" s="81">
        <v>18</v>
      </c>
      <c r="W56" s="85">
        <v>15</v>
      </c>
      <c r="X56" s="81">
        <v>166119785</v>
      </c>
      <c r="Y56" s="69" t="s">
        <v>75</v>
      </c>
      <c r="Z56" s="81">
        <v>2448290</v>
      </c>
      <c r="AA56" s="56">
        <v>4201795</v>
      </c>
      <c r="AB56" s="56">
        <v>6749340</v>
      </c>
      <c r="AC56" s="56">
        <v>628615</v>
      </c>
      <c r="AD56" s="56">
        <v>4466475</v>
      </c>
      <c r="AE56" s="54" t="s">
        <v>12</v>
      </c>
      <c r="AF56" s="56">
        <v>2282865</v>
      </c>
      <c r="AG56" s="56">
        <v>2084355</v>
      </c>
      <c r="AH56" s="56">
        <v>8271250</v>
      </c>
      <c r="AI56" s="56">
        <v>20049510</v>
      </c>
      <c r="AJ56" s="56">
        <v>3242330</v>
      </c>
      <c r="AK56" s="56">
        <v>11712090</v>
      </c>
      <c r="AL56" s="56">
        <v>893295</v>
      </c>
      <c r="AM56" s="56">
        <v>3804775</v>
      </c>
      <c r="AN56" s="56">
        <v>0</v>
      </c>
      <c r="AO56" s="56">
        <v>19453980</v>
      </c>
      <c r="AP56" s="56">
        <v>0</v>
      </c>
      <c r="AQ56" s="56">
        <v>20181850</v>
      </c>
      <c r="AR56" s="56">
        <v>0</v>
      </c>
      <c r="AS56" s="56">
        <v>661700</v>
      </c>
      <c r="AT56" s="56">
        <v>0</v>
      </c>
      <c r="AU56" s="56">
        <v>496275</v>
      </c>
      <c r="AV56" s="56">
        <v>33250425</v>
      </c>
      <c r="AW56" s="56">
        <v>231595</v>
      </c>
      <c r="AX56" s="56">
        <v>7179445</v>
      </c>
      <c r="AY56" s="56">
        <v>1389570</v>
      </c>
      <c r="AZ56" s="54" t="s">
        <v>12</v>
      </c>
      <c r="BA56" s="56">
        <v>4168710</v>
      </c>
      <c r="BB56" s="56">
        <v>3275415</v>
      </c>
      <c r="BC56" s="56">
        <v>1753505</v>
      </c>
      <c r="BD56" s="56">
        <v>1058720</v>
      </c>
      <c r="BE56" s="56">
        <v>2183610</v>
      </c>
      <c r="BF56" s="89" t="s">
        <v>12</v>
      </c>
    </row>
    <row r="57" spans="1:58" x14ac:dyDescent="0.4">
      <c r="A57" s="63">
        <v>44837</v>
      </c>
      <c r="B57" s="53">
        <v>44837.459062893518</v>
      </c>
      <c r="C57" s="54" t="s">
        <v>89</v>
      </c>
      <c r="D57" s="55" t="s">
        <v>74</v>
      </c>
      <c r="E57" s="69" t="s">
        <v>90</v>
      </c>
      <c r="F57" s="73">
        <v>64.45</v>
      </c>
      <c r="G57" s="57">
        <v>45</v>
      </c>
      <c r="H57" s="57">
        <v>67.19</v>
      </c>
      <c r="I57" s="57">
        <v>64.209999999999994</v>
      </c>
      <c r="J57" s="77">
        <v>64.63</v>
      </c>
      <c r="K57" s="81">
        <v>2510500</v>
      </c>
      <c r="L57" s="56">
        <v>4440500</v>
      </c>
      <c r="M57" s="56">
        <v>71</v>
      </c>
      <c r="N57" s="56">
        <v>42</v>
      </c>
      <c r="O57" s="57">
        <v>4.4400000000000004</v>
      </c>
      <c r="P57" s="56">
        <v>62542</v>
      </c>
      <c r="Q57" s="56">
        <v>277531</v>
      </c>
      <c r="R57" s="56">
        <v>305481</v>
      </c>
      <c r="S57" s="56">
        <v>179321</v>
      </c>
      <c r="T57" s="56">
        <v>246335</v>
      </c>
      <c r="U57" s="77">
        <v>1.77</v>
      </c>
      <c r="V57" s="81">
        <v>16</v>
      </c>
      <c r="W57" s="85">
        <v>14</v>
      </c>
      <c r="X57" s="81">
        <v>161801725</v>
      </c>
      <c r="Y57" s="69" t="s">
        <v>75</v>
      </c>
      <c r="Z57" s="81">
        <v>2384650</v>
      </c>
      <c r="AA57" s="56">
        <v>4092575</v>
      </c>
      <c r="AB57" s="56">
        <v>6573900</v>
      </c>
      <c r="AC57" s="56">
        <v>612275</v>
      </c>
      <c r="AD57" s="56">
        <v>4350375</v>
      </c>
      <c r="AE57" s="54" t="s">
        <v>12</v>
      </c>
      <c r="AF57" s="56">
        <v>2223525</v>
      </c>
      <c r="AG57" s="56">
        <v>2030175</v>
      </c>
      <c r="AH57" s="56">
        <v>8056250</v>
      </c>
      <c r="AI57" s="56">
        <v>19528350</v>
      </c>
      <c r="AJ57" s="56">
        <v>3158050</v>
      </c>
      <c r="AK57" s="56">
        <v>11407650</v>
      </c>
      <c r="AL57" s="56">
        <v>870075</v>
      </c>
      <c r="AM57" s="56">
        <v>3705875</v>
      </c>
      <c r="AN57" s="56">
        <v>0</v>
      </c>
      <c r="AO57" s="56">
        <v>18948300</v>
      </c>
      <c r="AP57" s="56">
        <v>0</v>
      </c>
      <c r="AQ57" s="56">
        <v>19657250</v>
      </c>
      <c r="AR57" s="56">
        <v>0</v>
      </c>
      <c r="AS57" s="56">
        <v>644500</v>
      </c>
      <c r="AT57" s="56">
        <v>0</v>
      </c>
      <c r="AU57" s="56">
        <v>483375</v>
      </c>
      <c r="AV57" s="56">
        <v>32386125</v>
      </c>
      <c r="AW57" s="56">
        <v>225575</v>
      </c>
      <c r="AX57" s="56">
        <v>6992825</v>
      </c>
      <c r="AY57" s="56">
        <v>1353450</v>
      </c>
      <c r="AZ57" s="54" t="s">
        <v>12</v>
      </c>
      <c r="BA57" s="56">
        <v>4060350</v>
      </c>
      <c r="BB57" s="56">
        <v>3190275</v>
      </c>
      <c r="BC57" s="56">
        <v>1707925</v>
      </c>
      <c r="BD57" s="56">
        <v>1031200</v>
      </c>
      <c r="BE57" s="56">
        <v>2126850</v>
      </c>
      <c r="BF57" s="89" t="s">
        <v>12</v>
      </c>
    </row>
    <row r="58" spans="1:58" x14ac:dyDescent="0.4">
      <c r="A58" s="63">
        <v>44834</v>
      </c>
      <c r="B58" s="53">
        <v>44834.458682534721</v>
      </c>
      <c r="C58" s="54" t="s">
        <v>91</v>
      </c>
      <c r="D58" s="55" t="s">
        <v>74</v>
      </c>
      <c r="E58" s="69" t="s">
        <v>90</v>
      </c>
      <c r="F58" s="73">
        <v>66.87</v>
      </c>
      <c r="G58" s="57">
        <v>45</v>
      </c>
      <c r="H58" s="57">
        <v>70.12</v>
      </c>
      <c r="I58" s="57">
        <v>66.75</v>
      </c>
      <c r="J58" s="77">
        <v>67.25</v>
      </c>
      <c r="K58" s="81">
        <v>1861500</v>
      </c>
      <c r="L58" s="56">
        <v>3037500</v>
      </c>
      <c r="M58" s="56">
        <v>60</v>
      </c>
      <c r="N58" s="56">
        <v>37</v>
      </c>
      <c r="O58" s="57">
        <v>4.29</v>
      </c>
      <c r="P58" s="56">
        <v>50625</v>
      </c>
      <c r="Q58" s="56">
        <v>216964</v>
      </c>
      <c r="R58" s="56">
        <v>290482</v>
      </c>
      <c r="S58" s="56">
        <v>206833</v>
      </c>
      <c r="T58" s="56">
        <v>231478</v>
      </c>
      <c r="U58" s="77">
        <v>1.63</v>
      </c>
      <c r="V58" s="81">
        <v>14</v>
      </c>
      <c r="W58" s="85">
        <v>9</v>
      </c>
      <c r="X58" s="81">
        <v>124478505</v>
      </c>
      <c r="Y58" s="69" t="s">
        <v>77</v>
      </c>
      <c r="Z58" s="87" t="s">
        <v>12</v>
      </c>
      <c r="AA58" s="54" t="s">
        <v>12</v>
      </c>
      <c r="AB58" s="54" t="s">
        <v>12</v>
      </c>
      <c r="AC58" s="54" t="s">
        <v>12</v>
      </c>
      <c r="AD58" s="54" t="s">
        <v>12</v>
      </c>
      <c r="AE58" s="56">
        <v>124478505</v>
      </c>
      <c r="AF58" s="54" t="s">
        <v>12</v>
      </c>
      <c r="AG58" s="54" t="s">
        <v>12</v>
      </c>
      <c r="AH58" s="54" t="s">
        <v>12</v>
      </c>
      <c r="AI58" s="54" t="s">
        <v>12</v>
      </c>
      <c r="AJ58" s="54" t="s">
        <v>12</v>
      </c>
      <c r="AK58" s="54" t="s">
        <v>12</v>
      </c>
      <c r="AL58" s="54" t="s">
        <v>12</v>
      </c>
      <c r="AM58" s="54" t="s">
        <v>12</v>
      </c>
      <c r="AN58" s="54" t="s">
        <v>12</v>
      </c>
      <c r="AO58" s="54" t="s">
        <v>12</v>
      </c>
      <c r="AP58" s="54" t="s">
        <v>12</v>
      </c>
      <c r="AQ58" s="54" t="s">
        <v>12</v>
      </c>
      <c r="AR58" s="54" t="s">
        <v>12</v>
      </c>
      <c r="AS58" s="54" t="s">
        <v>12</v>
      </c>
      <c r="AT58" s="54" t="s">
        <v>12</v>
      </c>
      <c r="AU58" s="54" t="s">
        <v>12</v>
      </c>
      <c r="AV58" s="54" t="s">
        <v>12</v>
      </c>
      <c r="AW58" s="54" t="s">
        <v>12</v>
      </c>
      <c r="AX58" s="54" t="s">
        <v>12</v>
      </c>
      <c r="AY58" s="54" t="s">
        <v>12</v>
      </c>
      <c r="AZ58" s="54" t="s">
        <v>12</v>
      </c>
      <c r="BA58" s="54" t="s">
        <v>12</v>
      </c>
      <c r="BB58" s="54" t="s">
        <v>12</v>
      </c>
      <c r="BC58" s="54" t="s">
        <v>12</v>
      </c>
      <c r="BD58" s="54" t="s">
        <v>12</v>
      </c>
      <c r="BE58" s="54" t="s">
        <v>12</v>
      </c>
      <c r="BF58" s="89" t="s">
        <v>12</v>
      </c>
    </row>
    <row r="59" spans="1:58" x14ac:dyDescent="0.4">
      <c r="A59" s="63">
        <v>44833</v>
      </c>
      <c r="B59" s="53">
        <v>44833.458585567132</v>
      </c>
      <c r="C59" s="54" t="s">
        <v>89</v>
      </c>
      <c r="D59" s="55" t="s">
        <v>74</v>
      </c>
      <c r="E59" s="69" t="s">
        <v>90</v>
      </c>
      <c r="F59" s="73">
        <v>64.7</v>
      </c>
      <c r="G59" s="57">
        <v>45</v>
      </c>
      <c r="H59" s="57">
        <v>75</v>
      </c>
      <c r="I59" s="57">
        <v>64.180000000000007</v>
      </c>
      <c r="J59" s="77">
        <v>64.28</v>
      </c>
      <c r="K59" s="81">
        <v>2510500</v>
      </c>
      <c r="L59" s="56">
        <v>4296000</v>
      </c>
      <c r="M59" s="56">
        <v>69</v>
      </c>
      <c r="N59" s="56">
        <v>25</v>
      </c>
      <c r="O59" s="57">
        <v>4.3099999999999996</v>
      </c>
      <c r="P59" s="56">
        <v>62261</v>
      </c>
      <c r="Q59" s="56">
        <v>268500</v>
      </c>
      <c r="R59" s="56">
        <v>336423</v>
      </c>
      <c r="S59" s="56">
        <v>251050</v>
      </c>
      <c r="T59" s="56">
        <v>271479</v>
      </c>
      <c r="U59" s="77">
        <v>1.71</v>
      </c>
      <c r="V59" s="81">
        <v>16</v>
      </c>
      <c r="W59" s="85">
        <v>10</v>
      </c>
      <c r="X59" s="81">
        <v>162429350</v>
      </c>
      <c r="Y59" s="69" t="s">
        <v>75</v>
      </c>
      <c r="Z59" s="81">
        <v>2393900</v>
      </c>
      <c r="AA59" s="56">
        <v>4108450</v>
      </c>
      <c r="AB59" s="56">
        <v>6599400</v>
      </c>
      <c r="AC59" s="56">
        <v>614650</v>
      </c>
      <c r="AD59" s="56">
        <v>4367250</v>
      </c>
      <c r="AE59" s="54" t="s">
        <v>12</v>
      </c>
      <c r="AF59" s="56">
        <v>2232150</v>
      </c>
      <c r="AG59" s="56">
        <v>2038050</v>
      </c>
      <c r="AH59" s="56">
        <v>8087500</v>
      </c>
      <c r="AI59" s="56">
        <v>19604100</v>
      </c>
      <c r="AJ59" s="56">
        <v>3170300</v>
      </c>
      <c r="AK59" s="56">
        <v>11451900</v>
      </c>
      <c r="AL59" s="56">
        <v>873450</v>
      </c>
      <c r="AM59" s="56">
        <v>3720250</v>
      </c>
      <c r="AN59" s="56">
        <v>0</v>
      </c>
      <c r="AO59" s="56">
        <v>19021800</v>
      </c>
      <c r="AP59" s="56">
        <v>0</v>
      </c>
      <c r="AQ59" s="56">
        <v>19733500</v>
      </c>
      <c r="AR59" s="56">
        <v>0</v>
      </c>
      <c r="AS59" s="56">
        <v>647000</v>
      </c>
      <c r="AT59" s="56">
        <v>0</v>
      </c>
      <c r="AU59" s="56">
        <v>485250</v>
      </c>
      <c r="AV59" s="56">
        <v>32511750</v>
      </c>
      <c r="AW59" s="56">
        <v>226450</v>
      </c>
      <c r="AX59" s="56">
        <v>7019950</v>
      </c>
      <c r="AY59" s="56">
        <v>1358700</v>
      </c>
      <c r="AZ59" s="54" t="s">
        <v>12</v>
      </c>
      <c r="BA59" s="56">
        <v>4076100</v>
      </c>
      <c r="BB59" s="56">
        <v>3202650</v>
      </c>
      <c r="BC59" s="56">
        <v>1714550</v>
      </c>
      <c r="BD59" s="56">
        <v>1035200</v>
      </c>
      <c r="BE59" s="56">
        <v>2135100</v>
      </c>
      <c r="BF59" s="89" t="s">
        <v>12</v>
      </c>
    </row>
    <row r="60" spans="1:58" x14ac:dyDescent="0.4">
      <c r="A60" s="63">
        <v>44832</v>
      </c>
      <c r="B60" s="53">
        <v>44832.458796018516</v>
      </c>
      <c r="C60" s="54" t="s">
        <v>92</v>
      </c>
      <c r="D60" s="55" t="s">
        <v>74</v>
      </c>
      <c r="E60" s="69" t="s">
        <v>90</v>
      </c>
      <c r="F60" s="73">
        <v>64.709999999999994</v>
      </c>
      <c r="G60" s="57">
        <v>45</v>
      </c>
      <c r="H60" s="57">
        <v>75</v>
      </c>
      <c r="I60" s="57">
        <v>64.819999999999993</v>
      </c>
      <c r="J60" s="77">
        <v>64.83</v>
      </c>
      <c r="K60" s="81">
        <v>3101500</v>
      </c>
      <c r="L60" s="56">
        <v>4663000</v>
      </c>
      <c r="M60" s="56">
        <v>76</v>
      </c>
      <c r="N60" s="56">
        <v>44</v>
      </c>
      <c r="O60" s="57">
        <v>4.47</v>
      </c>
      <c r="P60" s="56">
        <v>61355</v>
      </c>
      <c r="Q60" s="56">
        <v>274294</v>
      </c>
      <c r="R60" s="56">
        <v>304113</v>
      </c>
      <c r="S60" s="56">
        <v>221536</v>
      </c>
      <c r="T60" s="56">
        <v>256101</v>
      </c>
      <c r="U60" s="77">
        <v>1.5</v>
      </c>
      <c r="V60" s="81">
        <v>17</v>
      </c>
      <c r="W60" s="85">
        <v>14</v>
      </c>
      <c r="X60" s="81">
        <v>200698065</v>
      </c>
      <c r="Y60" s="69" t="s">
        <v>79</v>
      </c>
      <c r="Z60" s="87" t="s">
        <v>12</v>
      </c>
      <c r="AA60" s="54" t="s">
        <v>12</v>
      </c>
      <c r="AB60" s="54" t="s">
        <v>12</v>
      </c>
      <c r="AC60" s="54" t="s">
        <v>12</v>
      </c>
      <c r="AD60" s="54" t="s">
        <v>12</v>
      </c>
      <c r="AE60" s="54" t="s">
        <v>12</v>
      </c>
      <c r="AF60" s="54" t="s">
        <v>12</v>
      </c>
      <c r="AG60" s="54" t="s">
        <v>12</v>
      </c>
      <c r="AH60" s="54" t="s">
        <v>12</v>
      </c>
      <c r="AI60" s="54" t="s">
        <v>12</v>
      </c>
      <c r="AJ60" s="54" t="s">
        <v>12</v>
      </c>
      <c r="AK60" s="54" t="s">
        <v>12</v>
      </c>
      <c r="AL60" s="54" t="s">
        <v>12</v>
      </c>
      <c r="AM60" s="54" t="s">
        <v>12</v>
      </c>
      <c r="AN60" s="54" t="s">
        <v>12</v>
      </c>
      <c r="AO60" s="54" t="s">
        <v>12</v>
      </c>
      <c r="AP60" s="54" t="s">
        <v>12</v>
      </c>
      <c r="AQ60" s="54" t="s">
        <v>12</v>
      </c>
      <c r="AR60" s="54" t="s">
        <v>12</v>
      </c>
      <c r="AS60" s="54" t="s">
        <v>12</v>
      </c>
      <c r="AT60" s="54" t="s">
        <v>12</v>
      </c>
      <c r="AU60" s="54" t="s">
        <v>12</v>
      </c>
      <c r="AV60" s="54" t="s">
        <v>12</v>
      </c>
      <c r="AW60" s="54" t="s">
        <v>12</v>
      </c>
      <c r="AX60" s="54" t="s">
        <v>12</v>
      </c>
      <c r="AY60" s="54" t="s">
        <v>12</v>
      </c>
      <c r="AZ60" s="56">
        <v>200698065</v>
      </c>
      <c r="BA60" s="54" t="s">
        <v>12</v>
      </c>
      <c r="BB60" s="54" t="s">
        <v>12</v>
      </c>
      <c r="BC60" s="54" t="s">
        <v>12</v>
      </c>
      <c r="BD60" s="54" t="s">
        <v>12</v>
      </c>
      <c r="BE60" s="54" t="s">
        <v>12</v>
      </c>
      <c r="BF60" s="89" t="s">
        <v>12</v>
      </c>
    </row>
    <row r="61" spans="1:58" x14ac:dyDescent="0.4">
      <c r="A61" s="63">
        <v>44831</v>
      </c>
      <c r="B61" s="53">
        <v>44831.458694675923</v>
      </c>
      <c r="C61" s="54" t="s">
        <v>89</v>
      </c>
      <c r="D61" s="55" t="s">
        <v>74</v>
      </c>
      <c r="E61" s="69" t="s">
        <v>90</v>
      </c>
      <c r="F61" s="73">
        <v>67.7</v>
      </c>
      <c r="G61" s="57">
        <v>45</v>
      </c>
      <c r="H61" s="57">
        <v>80</v>
      </c>
      <c r="I61" s="57">
        <v>67.430000000000007</v>
      </c>
      <c r="J61" s="77">
        <v>67.569999999999993</v>
      </c>
      <c r="K61" s="81">
        <v>2510500</v>
      </c>
      <c r="L61" s="56">
        <v>4831500</v>
      </c>
      <c r="M61" s="56">
        <v>81</v>
      </c>
      <c r="N61" s="56">
        <v>36</v>
      </c>
      <c r="O61" s="57">
        <v>4.05</v>
      </c>
      <c r="P61" s="56">
        <v>59648</v>
      </c>
      <c r="Q61" s="56">
        <v>241575</v>
      </c>
      <c r="R61" s="56">
        <v>274427</v>
      </c>
      <c r="S61" s="56">
        <v>156906</v>
      </c>
      <c r="T61" s="56">
        <v>193158</v>
      </c>
      <c r="U61" s="77">
        <v>1.92</v>
      </c>
      <c r="V61" s="81">
        <v>20</v>
      </c>
      <c r="W61" s="85">
        <v>16</v>
      </c>
      <c r="X61" s="81">
        <v>169960850</v>
      </c>
      <c r="Y61" s="69" t="s">
        <v>75</v>
      </c>
      <c r="Z61" s="81">
        <v>2504900</v>
      </c>
      <c r="AA61" s="56">
        <v>4298950</v>
      </c>
      <c r="AB61" s="56">
        <v>6905400</v>
      </c>
      <c r="AC61" s="56">
        <v>643150</v>
      </c>
      <c r="AD61" s="56">
        <v>4569750</v>
      </c>
      <c r="AE61" s="54" t="s">
        <v>12</v>
      </c>
      <c r="AF61" s="56">
        <v>2335650</v>
      </c>
      <c r="AG61" s="56">
        <v>2132550</v>
      </c>
      <c r="AH61" s="56">
        <v>8462500</v>
      </c>
      <c r="AI61" s="56">
        <v>20513100</v>
      </c>
      <c r="AJ61" s="56">
        <v>3317300</v>
      </c>
      <c r="AK61" s="56">
        <v>11982900</v>
      </c>
      <c r="AL61" s="56">
        <v>913950</v>
      </c>
      <c r="AM61" s="56">
        <v>3892750</v>
      </c>
      <c r="AN61" s="56">
        <v>0</v>
      </c>
      <c r="AO61" s="56">
        <v>19903800</v>
      </c>
      <c r="AP61" s="56">
        <v>0</v>
      </c>
      <c r="AQ61" s="56">
        <v>20648500</v>
      </c>
      <c r="AR61" s="56">
        <v>0</v>
      </c>
      <c r="AS61" s="56">
        <v>677000</v>
      </c>
      <c r="AT61" s="56">
        <v>0</v>
      </c>
      <c r="AU61" s="56">
        <v>507750</v>
      </c>
      <c r="AV61" s="56">
        <v>34019250</v>
      </c>
      <c r="AW61" s="56">
        <v>236950</v>
      </c>
      <c r="AX61" s="56">
        <v>7345450</v>
      </c>
      <c r="AY61" s="56">
        <v>1421700</v>
      </c>
      <c r="AZ61" s="54" t="s">
        <v>12</v>
      </c>
      <c r="BA61" s="56">
        <v>4265100</v>
      </c>
      <c r="BB61" s="56">
        <v>3351150</v>
      </c>
      <c r="BC61" s="56">
        <v>1794050</v>
      </c>
      <c r="BD61" s="56">
        <v>1083200</v>
      </c>
      <c r="BE61" s="56">
        <v>2234100</v>
      </c>
      <c r="BF61" s="89" t="s">
        <v>12</v>
      </c>
    </row>
    <row r="62" spans="1:58" x14ac:dyDescent="0.4">
      <c r="A62" s="63">
        <v>44830</v>
      </c>
      <c r="B62" s="53">
        <v>44830.458879178237</v>
      </c>
      <c r="C62" s="54" t="s">
        <v>89</v>
      </c>
      <c r="D62" s="55" t="s">
        <v>74</v>
      </c>
      <c r="E62" s="69" t="s">
        <v>90</v>
      </c>
      <c r="F62" s="73">
        <v>66.02</v>
      </c>
      <c r="G62" s="57">
        <v>58.98</v>
      </c>
      <c r="H62" s="57">
        <v>75</v>
      </c>
      <c r="I62" s="57">
        <v>65.55</v>
      </c>
      <c r="J62" s="77">
        <v>65.45</v>
      </c>
      <c r="K62" s="81">
        <v>2510500</v>
      </c>
      <c r="L62" s="56">
        <v>4546500</v>
      </c>
      <c r="M62" s="56">
        <v>67</v>
      </c>
      <c r="N62" s="56">
        <v>13</v>
      </c>
      <c r="O62" s="57">
        <v>4.1900000000000004</v>
      </c>
      <c r="P62" s="56">
        <v>67858</v>
      </c>
      <c r="Q62" s="56">
        <v>284156</v>
      </c>
      <c r="R62" s="56">
        <v>438621</v>
      </c>
      <c r="S62" s="56">
        <v>278944</v>
      </c>
      <c r="T62" s="56">
        <v>457267</v>
      </c>
      <c r="U62" s="77">
        <v>1.81</v>
      </c>
      <c r="V62" s="81">
        <v>16</v>
      </c>
      <c r="W62" s="85">
        <v>9</v>
      </c>
      <c r="X62" s="81">
        <v>165743210</v>
      </c>
      <c r="Y62" s="69" t="s">
        <v>75</v>
      </c>
      <c r="Z62" s="81">
        <v>2442740</v>
      </c>
      <c r="AA62" s="56">
        <v>4192270</v>
      </c>
      <c r="AB62" s="56">
        <v>6734040</v>
      </c>
      <c r="AC62" s="56">
        <v>627190</v>
      </c>
      <c r="AD62" s="56">
        <v>4456350</v>
      </c>
      <c r="AE62" s="54" t="s">
        <v>12</v>
      </c>
      <c r="AF62" s="56">
        <v>2277690</v>
      </c>
      <c r="AG62" s="56">
        <v>2079630</v>
      </c>
      <c r="AH62" s="56">
        <v>8252500</v>
      </c>
      <c r="AI62" s="56">
        <v>20004060</v>
      </c>
      <c r="AJ62" s="56">
        <v>3234980</v>
      </c>
      <c r="AK62" s="56">
        <v>11685540</v>
      </c>
      <c r="AL62" s="56">
        <v>891270</v>
      </c>
      <c r="AM62" s="56">
        <v>3796150</v>
      </c>
      <c r="AN62" s="56">
        <v>0</v>
      </c>
      <c r="AO62" s="56">
        <v>19409880</v>
      </c>
      <c r="AP62" s="56">
        <v>0</v>
      </c>
      <c r="AQ62" s="56">
        <v>20136100</v>
      </c>
      <c r="AR62" s="56">
        <v>0</v>
      </c>
      <c r="AS62" s="56">
        <v>660200</v>
      </c>
      <c r="AT62" s="56">
        <v>0</v>
      </c>
      <c r="AU62" s="56">
        <v>495150</v>
      </c>
      <c r="AV62" s="56">
        <v>33175050</v>
      </c>
      <c r="AW62" s="56">
        <v>231070</v>
      </c>
      <c r="AX62" s="56">
        <v>7163170</v>
      </c>
      <c r="AY62" s="56">
        <v>1386420</v>
      </c>
      <c r="AZ62" s="54" t="s">
        <v>12</v>
      </c>
      <c r="BA62" s="56">
        <v>4159260</v>
      </c>
      <c r="BB62" s="56">
        <v>3267990</v>
      </c>
      <c r="BC62" s="56">
        <v>1749530</v>
      </c>
      <c r="BD62" s="56">
        <v>1056320</v>
      </c>
      <c r="BE62" s="56">
        <v>2178660</v>
      </c>
      <c r="BF62" s="89" t="s">
        <v>12</v>
      </c>
    </row>
    <row r="63" spans="1:58" x14ac:dyDescent="0.4">
      <c r="A63" s="63">
        <v>44827</v>
      </c>
      <c r="B63" s="53">
        <v>44827.458719988426</v>
      </c>
      <c r="C63" s="54" t="s">
        <v>91</v>
      </c>
      <c r="D63" s="55" t="s">
        <v>74</v>
      </c>
      <c r="E63" s="69" t="s">
        <v>90</v>
      </c>
      <c r="F63" s="73">
        <v>67.56</v>
      </c>
      <c r="G63" s="57">
        <v>45</v>
      </c>
      <c r="H63" s="57">
        <v>75</v>
      </c>
      <c r="I63" s="57">
        <v>67.69</v>
      </c>
      <c r="J63" s="77">
        <v>68.010000000000005</v>
      </c>
      <c r="K63" s="81">
        <v>1861500</v>
      </c>
      <c r="L63" s="56">
        <v>2958000</v>
      </c>
      <c r="M63" s="56">
        <v>53</v>
      </c>
      <c r="N63" s="56">
        <v>39</v>
      </c>
      <c r="O63" s="57">
        <v>3.79</v>
      </c>
      <c r="P63" s="56">
        <v>55811</v>
      </c>
      <c r="Q63" s="56">
        <v>211286</v>
      </c>
      <c r="R63" s="56">
        <v>291236</v>
      </c>
      <c r="S63" s="56">
        <v>143192</v>
      </c>
      <c r="T63" s="56">
        <v>220868</v>
      </c>
      <c r="U63" s="77">
        <v>1.59</v>
      </c>
      <c r="V63" s="81">
        <v>14</v>
      </c>
      <c r="W63" s="85">
        <v>13</v>
      </c>
      <c r="X63" s="81">
        <v>125762940</v>
      </c>
      <c r="Y63" s="69" t="s">
        <v>77</v>
      </c>
      <c r="Z63" s="87" t="s">
        <v>12</v>
      </c>
      <c r="AA63" s="54" t="s">
        <v>12</v>
      </c>
      <c r="AB63" s="54" t="s">
        <v>12</v>
      </c>
      <c r="AC63" s="54" t="s">
        <v>12</v>
      </c>
      <c r="AD63" s="54" t="s">
        <v>12</v>
      </c>
      <c r="AE63" s="56">
        <v>125762940</v>
      </c>
      <c r="AF63" s="54" t="s">
        <v>12</v>
      </c>
      <c r="AG63" s="54" t="s">
        <v>12</v>
      </c>
      <c r="AH63" s="54" t="s">
        <v>12</v>
      </c>
      <c r="AI63" s="54" t="s">
        <v>12</v>
      </c>
      <c r="AJ63" s="54" t="s">
        <v>12</v>
      </c>
      <c r="AK63" s="54" t="s">
        <v>12</v>
      </c>
      <c r="AL63" s="54" t="s">
        <v>12</v>
      </c>
      <c r="AM63" s="54" t="s">
        <v>12</v>
      </c>
      <c r="AN63" s="54" t="s">
        <v>12</v>
      </c>
      <c r="AO63" s="54" t="s">
        <v>12</v>
      </c>
      <c r="AP63" s="54" t="s">
        <v>12</v>
      </c>
      <c r="AQ63" s="54" t="s">
        <v>12</v>
      </c>
      <c r="AR63" s="54" t="s">
        <v>12</v>
      </c>
      <c r="AS63" s="54" t="s">
        <v>12</v>
      </c>
      <c r="AT63" s="54" t="s">
        <v>12</v>
      </c>
      <c r="AU63" s="54" t="s">
        <v>12</v>
      </c>
      <c r="AV63" s="54" t="s">
        <v>12</v>
      </c>
      <c r="AW63" s="54" t="s">
        <v>12</v>
      </c>
      <c r="AX63" s="54" t="s">
        <v>12</v>
      </c>
      <c r="AY63" s="54" t="s">
        <v>12</v>
      </c>
      <c r="AZ63" s="54" t="s">
        <v>12</v>
      </c>
      <c r="BA63" s="54" t="s">
        <v>12</v>
      </c>
      <c r="BB63" s="54" t="s">
        <v>12</v>
      </c>
      <c r="BC63" s="54" t="s">
        <v>12</v>
      </c>
      <c r="BD63" s="54" t="s">
        <v>12</v>
      </c>
      <c r="BE63" s="54" t="s">
        <v>12</v>
      </c>
      <c r="BF63" s="89" t="s">
        <v>12</v>
      </c>
    </row>
    <row r="64" spans="1:58" x14ac:dyDescent="0.4">
      <c r="A64" s="63">
        <v>44826</v>
      </c>
      <c r="B64" s="53">
        <v>44826.458697476854</v>
      </c>
      <c r="C64" s="54" t="s">
        <v>89</v>
      </c>
      <c r="D64" s="55" t="s">
        <v>74</v>
      </c>
      <c r="E64" s="69" t="s">
        <v>90</v>
      </c>
      <c r="F64" s="73">
        <v>69.88</v>
      </c>
      <c r="G64" s="57">
        <v>45</v>
      </c>
      <c r="H64" s="57">
        <v>76</v>
      </c>
      <c r="I64" s="57">
        <v>69.52</v>
      </c>
      <c r="J64" s="77">
        <v>69.709999999999994</v>
      </c>
      <c r="K64" s="81">
        <v>2511500</v>
      </c>
      <c r="L64" s="56">
        <v>4229000</v>
      </c>
      <c r="M64" s="56">
        <v>73</v>
      </c>
      <c r="N64" s="56">
        <v>28</v>
      </c>
      <c r="O64" s="57">
        <v>3.65</v>
      </c>
      <c r="P64" s="56">
        <v>57932</v>
      </c>
      <c r="Q64" s="56">
        <v>211450</v>
      </c>
      <c r="R64" s="56">
        <v>314356</v>
      </c>
      <c r="S64" s="56">
        <v>167433</v>
      </c>
      <c r="T64" s="56">
        <v>256313</v>
      </c>
      <c r="U64" s="77">
        <v>1.68</v>
      </c>
      <c r="V64" s="81">
        <v>20</v>
      </c>
      <c r="W64" s="85">
        <v>15</v>
      </c>
      <c r="X64" s="81">
        <v>175503620</v>
      </c>
      <c r="Y64" s="69" t="s">
        <v>75</v>
      </c>
      <c r="Z64" s="81">
        <v>2585560</v>
      </c>
      <c r="AA64" s="56">
        <v>4437380</v>
      </c>
      <c r="AB64" s="56">
        <v>7127760</v>
      </c>
      <c r="AC64" s="56">
        <v>663860</v>
      </c>
      <c r="AD64" s="56">
        <v>4716900</v>
      </c>
      <c r="AE64" s="54" t="s">
        <v>12</v>
      </c>
      <c r="AF64" s="56">
        <v>2410860</v>
      </c>
      <c r="AG64" s="56">
        <v>2201220</v>
      </c>
      <c r="AH64" s="56">
        <v>8735000</v>
      </c>
      <c r="AI64" s="56">
        <v>21173640</v>
      </c>
      <c r="AJ64" s="56">
        <v>3424120</v>
      </c>
      <c r="AK64" s="56">
        <v>12368760</v>
      </c>
      <c r="AL64" s="56">
        <v>943380</v>
      </c>
      <c r="AM64" s="56">
        <v>4018100</v>
      </c>
      <c r="AN64" s="56">
        <v>0</v>
      </c>
      <c r="AO64" s="56">
        <v>20544720</v>
      </c>
      <c r="AP64" s="56">
        <v>0</v>
      </c>
      <c r="AQ64" s="56">
        <v>21313400</v>
      </c>
      <c r="AR64" s="56">
        <v>69880</v>
      </c>
      <c r="AS64" s="56">
        <v>698800</v>
      </c>
      <c r="AT64" s="56">
        <v>0</v>
      </c>
      <c r="AU64" s="56">
        <v>524100</v>
      </c>
      <c r="AV64" s="56">
        <v>35114700</v>
      </c>
      <c r="AW64" s="56">
        <v>244580</v>
      </c>
      <c r="AX64" s="56">
        <v>7581980</v>
      </c>
      <c r="AY64" s="56">
        <v>1467480</v>
      </c>
      <c r="AZ64" s="54" t="s">
        <v>12</v>
      </c>
      <c r="BA64" s="56">
        <v>4402440</v>
      </c>
      <c r="BB64" s="56">
        <v>3459060</v>
      </c>
      <c r="BC64" s="56">
        <v>1851820</v>
      </c>
      <c r="BD64" s="56">
        <v>1118080</v>
      </c>
      <c r="BE64" s="56">
        <v>2306040</v>
      </c>
      <c r="BF64" s="89" t="s">
        <v>12</v>
      </c>
    </row>
    <row r="65" spans="1:58" x14ac:dyDescent="0.4">
      <c r="A65" s="63">
        <v>44825</v>
      </c>
      <c r="B65" s="53">
        <v>44825.459123101849</v>
      </c>
      <c r="C65" s="54" t="s">
        <v>94</v>
      </c>
      <c r="D65" s="55" t="s">
        <v>74</v>
      </c>
      <c r="E65" s="69" t="s">
        <v>90</v>
      </c>
      <c r="F65" s="73">
        <v>70.39</v>
      </c>
      <c r="G65" s="57">
        <v>45</v>
      </c>
      <c r="H65" s="57">
        <v>80</v>
      </c>
      <c r="I65" s="57">
        <v>69.38</v>
      </c>
      <c r="J65" s="77">
        <v>69.91</v>
      </c>
      <c r="K65" s="81">
        <v>929000</v>
      </c>
      <c r="L65" s="56">
        <v>2724000</v>
      </c>
      <c r="M65" s="56">
        <v>66</v>
      </c>
      <c r="N65" s="56">
        <v>18</v>
      </c>
      <c r="O65" s="57">
        <v>3.88</v>
      </c>
      <c r="P65" s="56">
        <v>41273</v>
      </c>
      <c r="Q65" s="56">
        <v>160235</v>
      </c>
      <c r="R65" s="56">
        <v>238017</v>
      </c>
      <c r="S65" s="56">
        <v>116125</v>
      </c>
      <c r="T65" s="56">
        <v>130967</v>
      </c>
      <c r="U65" s="77">
        <v>2.93</v>
      </c>
      <c r="V65" s="81">
        <v>17</v>
      </c>
      <c r="W65" s="85">
        <v>8</v>
      </c>
      <c r="X65" s="81">
        <v>65392310</v>
      </c>
      <c r="Y65" s="69" t="s">
        <v>95</v>
      </c>
      <c r="Z65" s="87" t="s">
        <v>12</v>
      </c>
      <c r="AA65" s="54" t="s">
        <v>12</v>
      </c>
      <c r="AB65" s="54" t="s">
        <v>12</v>
      </c>
      <c r="AC65" s="54" t="s">
        <v>12</v>
      </c>
      <c r="AD65" s="54" t="s">
        <v>12</v>
      </c>
      <c r="AE65" s="54" t="s">
        <v>12</v>
      </c>
      <c r="AF65" s="54" t="s">
        <v>12</v>
      </c>
      <c r="AG65" s="54" t="s">
        <v>12</v>
      </c>
      <c r="AH65" s="54" t="s">
        <v>12</v>
      </c>
      <c r="AI65" s="54" t="s">
        <v>12</v>
      </c>
      <c r="AJ65" s="54" t="s">
        <v>12</v>
      </c>
      <c r="AK65" s="54" t="s">
        <v>12</v>
      </c>
      <c r="AL65" s="54" t="s">
        <v>12</v>
      </c>
      <c r="AM65" s="54" t="s">
        <v>12</v>
      </c>
      <c r="AN65" s="54" t="s">
        <v>12</v>
      </c>
      <c r="AO65" s="54" t="s">
        <v>12</v>
      </c>
      <c r="AP65" s="54" t="s">
        <v>12</v>
      </c>
      <c r="AQ65" s="54" t="s">
        <v>12</v>
      </c>
      <c r="AR65" s="54" t="s">
        <v>12</v>
      </c>
      <c r="AS65" s="54" t="s">
        <v>12</v>
      </c>
      <c r="AT65" s="54" t="s">
        <v>12</v>
      </c>
      <c r="AU65" s="54" t="s">
        <v>12</v>
      </c>
      <c r="AV65" s="54" t="s">
        <v>12</v>
      </c>
      <c r="AW65" s="54" t="s">
        <v>12</v>
      </c>
      <c r="AX65" s="54" t="s">
        <v>12</v>
      </c>
      <c r="AY65" s="54" t="s">
        <v>12</v>
      </c>
      <c r="AZ65" s="54" t="s">
        <v>12</v>
      </c>
      <c r="BA65" s="54" t="s">
        <v>12</v>
      </c>
      <c r="BB65" s="54" t="s">
        <v>12</v>
      </c>
      <c r="BC65" s="54" t="s">
        <v>12</v>
      </c>
      <c r="BD65" s="54" t="s">
        <v>12</v>
      </c>
      <c r="BE65" s="54" t="s">
        <v>12</v>
      </c>
      <c r="BF65" s="85">
        <v>65392310</v>
      </c>
    </row>
    <row r="66" spans="1:58" x14ac:dyDescent="0.4">
      <c r="A66" s="63">
        <v>44824</v>
      </c>
      <c r="B66" s="53">
        <v>44824.458831053242</v>
      </c>
      <c r="C66" s="54" t="s">
        <v>89</v>
      </c>
      <c r="D66" s="55" t="s">
        <v>74</v>
      </c>
      <c r="E66" s="69" t="s">
        <v>90</v>
      </c>
      <c r="F66" s="73">
        <v>70.38</v>
      </c>
      <c r="G66" s="57">
        <v>45</v>
      </c>
      <c r="H66" s="57">
        <v>80</v>
      </c>
      <c r="I66" s="57">
        <v>69.819999999999993</v>
      </c>
      <c r="J66" s="77">
        <v>69.98</v>
      </c>
      <c r="K66" s="81">
        <v>2510500</v>
      </c>
      <c r="L66" s="56">
        <v>5304500</v>
      </c>
      <c r="M66" s="56">
        <v>81</v>
      </c>
      <c r="N66" s="56">
        <v>22</v>
      </c>
      <c r="O66" s="57">
        <v>3.86</v>
      </c>
      <c r="P66" s="56">
        <v>65488</v>
      </c>
      <c r="Q66" s="56">
        <v>252595</v>
      </c>
      <c r="R66" s="56">
        <v>439275</v>
      </c>
      <c r="S66" s="56">
        <v>193115</v>
      </c>
      <c r="T66" s="56">
        <v>275286</v>
      </c>
      <c r="U66" s="77">
        <v>2.11</v>
      </c>
      <c r="V66" s="81">
        <v>21</v>
      </c>
      <c r="W66" s="85">
        <v>13</v>
      </c>
      <c r="X66" s="81">
        <v>176688990</v>
      </c>
      <c r="Y66" s="69" t="s">
        <v>75</v>
      </c>
      <c r="Z66" s="81">
        <v>2604060</v>
      </c>
      <c r="AA66" s="56">
        <v>4469130</v>
      </c>
      <c r="AB66" s="56">
        <v>7178760</v>
      </c>
      <c r="AC66" s="56">
        <v>668610</v>
      </c>
      <c r="AD66" s="56">
        <v>4750650</v>
      </c>
      <c r="AE66" s="54" t="s">
        <v>12</v>
      </c>
      <c r="AF66" s="56">
        <v>2428110</v>
      </c>
      <c r="AG66" s="56">
        <v>2216970</v>
      </c>
      <c r="AH66" s="56">
        <v>8797500</v>
      </c>
      <c r="AI66" s="56">
        <v>21325140</v>
      </c>
      <c r="AJ66" s="56">
        <v>3448620</v>
      </c>
      <c r="AK66" s="56">
        <v>12457260</v>
      </c>
      <c r="AL66" s="56">
        <v>950130</v>
      </c>
      <c r="AM66" s="56">
        <v>4046850</v>
      </c>
      <c r="AN66" s="56">
        <v>0</v>
      </c>
      <c r="AO66" s="56">
        <v>20691720</v>
      </c>
      <c r="AP66" s="56">
        <v>0</v>
      </c>
      <c r="AQ66" s="56">
        <v>21465900</v>
      </c>
      <c r="AR66" s="56">
        <v>0</v>
      </c>
      <c r="AS66" s="56">
        <v>703800</v>
      </c>
      <c r="AT66" s="56">
        <v>0</v>
      </c>
      <c r="AU66" s="56">
        <v>527850</v>
      </c>
      <c r="AV66" s="56">
        <v>35365950</v>
      </c>
      <c r="AW66" s="56">
        <v>246330</v>
      </c>
      <c r="AX66" s="56">
        <v>7636230</v>
      </c>
      <c r="AY66" s="56">
        <v>1477980</v>
      </c>
      <c r="AZ66" s="54" t="s">
        <v>12</v>
      </c>
      <c r="BA66" s="56">
        <v>4433940</v>
      </c>
      <c r="BB66" s="56">
        <v>3483810</v>
      </c>
      <c r="BC66" s="56">
        <v>1865070</v>
      </c>
      <c r="BD66" s="56">
        <v>1126080</v>
      </c>
      <c r="BE66" s="56">
        <v>2322540</v>
      </c>
      <c r="BF66" s="89" t="s">
        <v>12</v>
      </c>
    </row>
    <row r="67" spans="1:58" x14ac:dyDescent="0.4">
      <c r="A67" s="63">
        <v>44823</v>
      </c>
      <c r="B67" s="53">
        <v>44823.458833923614</v>
      </c>
      <c r="C67" s="54" t="s">
        <v>89</v>
      </c>
      <c r="D67" s="55" t="s">
        <v>74</v>
      </c>
      <c r="E67" s="69" t="s">
        <v>90</v>
      </c>
      <c r="F67" s="73">
        <v>71.11</v>
      </c>
      <c r="G67" s="57">
        <v>45</v>
      </c>
      <c r="H67" s="57">
        <v>80</v>
      </c>
      <c r="I67" s="57">
        <v>70.709999999999994</v>
      </c>
      <c r="J67" s="77">
        <v>70.88</v>
      </c>
      <c r="K67" s="81">
        <v>2510500</v>
      </c>
      <c r="L67" s="56">
        <v>6251000</v>
      </c>
      <c r="M67" s="56">
        <v>90</v>
      </c>
      <c r="N67" s="56">
        <v>35</v>
      </c>
      <c r="O67" s="57">
        <v>5.29</v>
      </c>
      <c r="P67" s="56">
        <v>69456</v>
      </c>
      <c r="Q67" s="56">
        <v>367706</v>
      </c>
      <c r="R67" s="56">
        <v>661058</v>
      </c>
      <c r="S67" s="56">
        <v>209208</v>
      </c>
      <c r="T67" s="56">
        <v>351974</v>
      </c>
      <c r="U67" s="77">
        <v>2.4900000000000002</v>
      </c>
      <c r="V67" s="81">
        <v>17</v>
      </c>
      <c r="W67" s="85">
        <v>12</v>
      </c>
      <c r="X67" s="81">
        <v>178521655</v>
      </c>
      <c r="Y67" s="69" t="s">
        <v>75</v>
      </c>
      <c r="Z67" s="81">
        <v>2631070</v>
      </c>
      <c r="AA67" s="56">
        <v>4515485</v>
      </c>
      <c r="AB67" s="56">
        <v>7253220</v>
      </c>
      <c r="AC67" s="56">
        <v>675545</v>
      </c>
      <c r="AD67" s="56">
        <v>4799925</v>
      </c>
      <c r="AE67" s="54" t="s">
        <v>12</v>
      </c>
      <c r="AF67" s="56">
        <v>2453295</v>
      </c>
      <c r="AG67" s="56">
        <v>2239965</v>
      </c>
      <c r="AH67" s="56">
        <v>8888750</v>
      </c>
      <c r="AI67" s="56">
        <v>21546330</v>
      </c>
      <c r="AJ67" s="56">
        <v>3484390</v>
      </c>
      <c r="AK67" s="56">
        <v>12586470</v>
      </c>
      <c r="AL67" s="56">
        <v>959985</v>
      </c>
      <c r="AM67" s="56">
        <v>4088825</v>
      </c>
      <c r="AN67" s="56">
        <v>0</v>
      </c>
      <c r="AO67" s="56">
        <v>20906340</v>
      </c>
      <c r="AP67" s="56">
        <v>0</v>
      </c>
      <c r="AQ67" s="56">
        <v>21688550</v>
      </c>
      <c r="AR67" s="56">
        <v>0</v>
      </c>
      <c r="AS67" s="56">
        <v>711100</v>
      </c>
      <c r="AT67" s="56">
        <v>0</v>
      </c>
      <c r="AU67" s="56">
        <v>533325</v>
      </c>
      <c r="AV67" s="56">
        <v>35732775</v>
      </c>
      <c r="AW67" s="56">
        <v>248885</v>
      </c>
      <c r="AX67" s="56">
        <v>7715435</v>
      </c>
      <c r="AY67" s="56">
        <v>1493310</v>
      </c>
      <c r="AZ67" s="54" t="s">
        <v>12</v>
      </c>
      <c r="BA67" s="56">
        <v>4479930</v>
      </c>
      <c r="BB67" s="56">
        <v>3519945</v>
      </c>
      <c r="BC67" s="56">
        <v>1884415</v>
      </c>
      <c r="BD67" s="56">
        <v>1137760</v>
      </c>
      <c r="BE67" s="56">
        <v>2346630</v>
      </c>
      <c r="BF67" s="89" t="s">
        <v>12</v>
      </c>
    </row>
    <row r="68" spans="1:58" x14ac:dyDescent="0.4">
      <c r="A68" s="63">
        <v>44820</v>
      </c>
      <c r="B68" s="53">
        <v>44820.458749930556</v>
      </c>
      <c r="C68" s="54" t="s">
        <v>91</v>
      </c>
      <c r="D68" s="55" t="s">
        <v>74</v>
      </c>
      <c r="E68" s="69" t="s">
        <v>90</v>
      </c>
      <c r="F68" s="73">
        <v>71</v>
      </c>
      <c r="G68" s="57">
        <v>45</v>
      </c>
      <c r="H68" s="57">
        <v>75</v>
      </c>
      <c r="I68" s="57">
        <v>70.27</v>
      </c>
      <c r="J68" s="77">
        <v>70.78</v>
      </c>
      <c r="K68" s="81">
        <v>1861500</v>
      </c>
      <c r="L68" s="56">
        <v>3102500</v>
      </c>
      <c r="M68" s="56">
        <v>75</v>
      </c>
      <c r="N68" s="56">
        <v>32</v>
      </c>
      <c r="O68" s="57">
        <v>4.41</v>
      </c>
      <c r="P68" s="56">
        <v>41367</v>
      </c>
      <c r="Q68" s="56">
        <v>182500</v>
      </c>
      <c r="R68" s="56">
        <v>190978</v>
      </c>
      <c r="S68" s="56">
        <v>132964</v>
      </c>
      <c r="T68" s="56">
        <v>178637</v>
      </c>
      <c r="U68" s="77">
        <v>1.67</v>
      </c>
      <c r="V68" s="81">
        <v>17</v>
      </c>
      <c r="W68" s="85">
        <v>14</v>
      </c>
      <c r="X68" s="81">
        <v>132166500</v>
      </c>
      <c r="Y68" s="69" t="s">
        <v>77</v>
      </c>
      <c r="Z68" s="87" t="s">
        <v>12</v>
      </c>
      <c r="AA68" s="54" t="s">
        <v>12</v>
      </c>
      <c r="AB68" s="54" t="s">
        <v>12</v>
      </c>
      <c r="AC68" s="54" t="s">
        <v>12</v>
      </c>
      <c r="AD68" s="54" t="s">
        <v>12</v>
      </c>
      <c r="AE68" s="56">
        <v>132166500</v>
      </c>
      <c r="AF68" s="54" t="s">
        <v>12</v>
      </c>
      <c r="AG68" s="54" t="s">
        <v>12</v>
      </c>
      <c r="AH68" s="54" t="s">
        <v>12</v>
      </c>
      <c r="AI68" s="54" t="s">
        <v>12</v>
      </c>
      <c r="AJ68" s="54" t="s">
        <v>12</v>
      </c>
      <c r="AK68" s="54" t="s">
        <v>12</v>
      </c>
      <c r="AL68" s="54" t="s">
        <v>12</v>
      </c>
      <c r="AM68" s="54" t="s">
        <v>12</v>
      </c>
      <c r="AN68" s="54" t="s">
        <v>12</v>
      </c>
      <c r="AO68" s="54" t="s">
        <v>12</v>
      </c>
      <c r="AP68" s="54" t="s">
        <v>12</v>
      </c>
      <c r="AQ68" s="54" t="s">
        <v>12</v>
      </c>
      <c r="AR68" s="54" t="s">
        <v>12</v>
      </c>
      <c r="AS68" s="54" t="s">
        <v>12</v>
      </c>
      <c r="AT68" s="54" t="s">
        <v>12</v>
      </c>
      <c r="AU68" s="54" t="s">
        <v>12</v>
      </c>
      <c r="AV68" s="54" t="s">
        <v>12</v>
      </c>
      <c r="AW68" s="54" t="s">
        <v>12</v>
      </c>
      <c r="AX68" s="54" t="s">
        <v>12</v>
      </c>
      <c r="AY68" s="54" t="s">
        <v>12</v>
      </c>
      <c r="AZ68" s="54" t="s">
        <v>12</v>
      </c>
      <c r="BA68" s="54" t="s">
        <v>12</v>
      </c>
      <c r="BB68" s="54" t="s">
        <v>12</v>
      </c>
      <c r="BC68" s="54" t="s">
        <v>12</v>
      </c>
      <c r="BD68" s="54" t="s">
        <v>12</v>
      </c>
      <c r="BE68" s="54" t="s">
        <v>12</v>
      </c>
      <c r="BF68" s="89" t="s">
        <v>12</v>
      </c>
    </row>
    <row r="69" spans="1:58" x14ac:dyDescent="0.4">
      <c r="A69" s="63">
        <v>44819</v>
      </c>
      <c r="B69" s="53">
        <v>44819.458697303242</v>
      </c>
      <c r="C69" s="54" t="s">
        <v>89</v>
      </c>
      <c r="D69" s="55" t="s">
        <v>74</v>
      </c>
      <c r="E69" s="69" t="s">
        <v>90</v>
      </c>
      <c r="F69" s="73">
        <v>70.84</v>
      </c>
      <c r="G69" s="57">
        <v>45</v>
      </c>
      <c r="H69" s="57">
        <v>80</v>
      </c>
      <c r="I69" s="57">
        <v>70.34</v>
      </c>
      <c r="J69" s="77">
        <v>70.58</v>
      </c>
      <c r="K69" s="81">
        <v>2510500</v>
      </c>
      <c r="L69" s="56">
        <v>3550500</v>
      </c>
      <c r="M69" s="56">
        <v>84</v>
      </c>
      <c r="N69" s="56">
        <v>36</v>
      </c>
      <c r="O69" s="57">
        <v>4.67</v>
      </c>
      <c r="P69" s="56">
        <v>42268</v>
      </c>
      <c r="Q69" s="56">
        <v>197250</v>
      </c>
      <c r="R69" s="56">
        <v>240667</v>
      </c>
      <c r="S69" s="56">
        <v>209208</v>
      </c>
      <c r="T69" s="56">
        <v>261319</v>
      </c>
      <c r="U69" s="77">
        <v>1.41</v>
      </c>
      <c r="V69" s="81">
        <v>18</v>
      </c>
      <c r="W69" s="85">
        <v>12</v>
      </c>
      <c r="X69" s="81">
        <v>177843820</v>
      </c>
      <c r="Y69" s="69" t="s">
        <v>75</v>
      </c>
      <c r="Z69" s="81">
        <v>2621080</v>
      </c>
      <c r="AA69" s="56">
        <v>4498340</v>
      </c>
      <c r="AB69" s="56">
        <v>7225680</v>
      </c>
      <c r="AC69" s="56">
        <v>672980</v>
      </c>
      <c r="AD69" s="56">
        <v>4781700</v>
      </c>
      <c r="AE69" s="54" t="s">
        <v>12</v>
      </c>
      <c r="AF69" s="56">
        <v>2443980</v>
      </c>
      <c r="AG69" s="56">
        <v>2231460</v>
      </c>
      <c r="AH69" s="56">
        <v>8855000</v>
      </c>
      <c r="AI69" s="56">
        <v>21464520</v>
      </c>
      <c r="AJ69" s="56">
        <v>3471160</v>
      </c>
      <c r="AK69" s="56">
        <v>12538680</v>
      </c>
      <c r="AL69" s="56">
        <v>956340</v>
      </c>
      <c r="AM69" s="56">
        <v>4073300</v>
      </c>
      <c r="AN69" s="56">
        <v>0</v>
      </c>
      <c r="AO69" s="56">
        <v>20826960</v>
      </c>
      <c r="AP69" s="56">
        <v>0</v>
      </c>
      <c r="AQ69" s="56">
        <v>21606200</v>
      </c>
      <c r="AR69" s="56">
        <v>0</v>
      </c>
      <c r="AS69" s="56">
        <v>708400</v>
      </c>
      <c r="AT69" s="56">
        <v>0</v>
      </c>
      <c r="AU69" s="56">
        <v>531300</v>
      </c>
      <c r="AV69" s="56">
        <v>35597100</v>
      </c>
      <c r="AW69" s="56">
        <v>247940</v>
      </c>
      <c r="AX69" s="56">
        <v>7686140</v>
      </c>
      <c r="AY69" s="56">
        <v>1487640</v>
      </c>
      <c r="AZ69" s="54" t="s">
        <v>12</v>
      </c>
      <c r="BA69" s="56">
        <v>4462920</v>
      </c>
      <c r="BB69" s="56">
        <v>3506580</v>
      </c>
      <c r="BC69" s="56">
        <v>1877260</v>
      </c>
      <c r="BD69" s="56">
        <v>1133440</v>
      </c>
      <c r="BE69" s="56">
        <v>2337720</v>
      </c>
      <c r="BF69" s="89" t="s">
        <v>12</v>
      </c>
    </row>
    <row r="70" spans="1:58" x14ac:dyDescent="0.4">
      <c r="A70" s="63">
        <v>44818</v>
      </c>
      <c r="B70" s="53">
        <v>44818.458843020831</v>
      </c>
      <c r="C70" s="54" t="s">
        <v>92</v>
      </c>
      <c r="D70" s="55" t="s">
        <v>74</v>
      </c>
      <c r="E70" s="69" t="s">
        <v>90</v>
      </c>
      <c r="F70" s="73">
        <v>68.290000000000006</v>
      </c>
      <c r="G70" s="57">
        <v>45</v>
      </c>
      <c r="H70" s="57">
        <v>75</v>
      </c>
      <c r="I70" s="57">
        <v>68.239999999999995</v>
      </c>
      <c r="J70" s="77">
        <v>68.22</v>
      </c>
      <c r="K70" s="81">
        <v>3101500</v>
      </c>
      <c r="L70" s="56">
        <v>5838500</v>
      </c>
      <c r="M70" s="56">
        <v>83</v>
      </c>
      <c r="N70" s="56">
        <v>39</v>
      </c>
      <c r="O70" s="57">
        <v>4.1500000000000004</v>
      </c>
      <c r="P70" s="56">
        <v>70343</v>
      </c>
      <c r="Q70" s="56">
        <v>291925</v>
      </c>
      <c r="R70" s="56">
        <v>419520</v>
      </c>
      <c r="S70" s="56">
        <v>182441</v>
      </c>
      <c r="T70" s="56">
        <v>246809</v>
      </c>
      <c r="U70" s="77">
        <v>1.88</v>
      </c>
      <c r="V70" s="81">
        <v>20</v>
      </c>
      <c r="W70" s="85">
        <v>17</v>
      </c>
      <c r="X70" s="81">
        <v>211801435</v>
      </c>
      <c r="Y70" s="69" t="s">
        <v>79</v>
      </c>
      <c r="Z70" s="87" t="s">
        <v>12</v>
      </c>
      <c r="AA70" s="54" t="s">
        <v>12</v>
      </c>
      <c r="AB70" s="54" t="s">
        <v>12</v>
      </c>
      <c r="AC70" s="54" t="s">
        <v>12</v>
      </c>
      <c r="AD70" s="54" t="s">
        <v>12</v>
      </c>
      <c r="AE70" s="54" t="s">
        <v>12</v>
      </c>
      <c r="AF70" s="54" t="s">
        <v>12</v>
      </c>
      <c r="AG70" s="54" t="s">
        <v>12</v>
      </c>
      <c r="AH70" s="54" t="s">
        <v>12</v>
      </c>
      <c r="AI70" s="54" t="s">
        <v>12</v>
      </c>
      <c r="AJ70" s="54" t="s">
        <v>12</v>
      </c>
      <c r="AK70" s="54" t="s">
        <v>12</v>
      </c>
      <c r="AL70" s="54" t="s">
        <v>12</v>
      </c>
      <c r="AM70" s="54" t="s">
        <v>12</v>
      </c>
      <c r="AN70" s="54" t="s">
        <v>12</v>
      </c>
      <c r="AO70" s="54" t="s">
        <v>12</v>
      </c>
      <c r="AP70" s="54" t="s">
        <v>12</v>
      </c>
      <c r="AQ70" s="54" t="s">
        <v>12</v>
      </c>
      <c r="AR70" s="54" t="s">
        <v>12</v>
      </c>
      <c r="AS70" s="54" t="s">
        <v>12</v>
      </c>
      <c r="AT70" s="54" t="s">
        <v>12</v>
      </c>
      <c r="AU70" s="54" t="s">
        <v>12</v>
      </c>
      <c r="AV70" s="54" t="s">
        <v>12</v>
      </c>
      <c r="AW70" s="54" t="s">
        <v>12</v>
      </c>
      <c r="AX70" s="54" t="s">
        <v>12</v>
      </c>
      <c r="AY70" s="54" t="s">
        <v>12</v>
      </c>
      <c r="AZ70" s="56">
        <v>211801435</v>
      </c>
      <c r="BA70" s="54" t="s">
        <v>12</v>
      </c>
      <c r="BB70" s="54" t="s">
        <v>12</v>
      </c>
      <c r="BC70" s="54" t="s">
        <v>12</v>
      </c>
      <c r="BD70" s="54" t="s">
        <v>12</v>
      </c>
      <c r="BE70" s="54" t="s">
        <v>12</v>
      </c>
      <c r="BF70" s="89" t="s">
        <v>12</v>
      </c>
    </row>
    <row r="71" spans="1:58" x14ac:dyDescent="0.4">
      <c r="A71" s="63">
        <v>44817</v>
      </c>
      <c r="B71" s="53">
        <v>44817.458780694447</v>
      </c>
      <c r="C71" s="54" t="s">
        <v>89</v>
      </c>
      <c r="D71" s="55" t="s">
        <v>74</v>
      </c>
      <c r="E71" s="69" t="s">
        <v>90</v>
      </c>
      <c r="F71" s="73">
        <v>70.48</v>
      </c>
      <c r="G71" s="57">
        <v>45</v>
      </c>
      <c r="H71" s="57">
        <v>100</v>
      </c>
      <c r="I71" s="57">
        <v>70.45</v>
      </c>
      <c r="J71" s="77">
        <v>70.61</v>
      </c>
      <c r="K71" s="81">
        <v>2510500</v>
      </c>
      <c r="L71" s="56">
        <v>4820000</v>
      </c>
      <c r="M71" s="56">
        <v>87</v>
      </c>
      <c r="N71" s="56">
        <v>49</v>
      </c>
      <c r="O71" s="57">
        <v>4.1399999999999997</v>
      </c>
      <c r="P71" s="56">
        <v>55402</v>
      </c>
      <c r="Q71" s="56">
        <v>229524</v>
      </c>
      <c r="R71" s="56">
        <v>395025</v>
      </c>
      <c r="S71" s="56">
        <v>139472</v>
      </c>
      <c r="T71" s="56">
        <v>173860</v>
      </c>
      <c r="U71" s="77">
        <v>1.92</v>
      </c>
      <c r="V71" s="81">
        <v>21</v>
      </c>
      <c r="W71" s="85">
        <v>18</v>
      </c>
      <c r="X71" s="81">
        <v>176940040</v>
      </c>
      <c r="Y71" s="69" t="s">
        <v>75</v>
      </c>
      <c r="Z71" s="81">
        <v>2607760</v>
      </c>
      <c r="AA71" s="56">
        <v>4475480</v>
      </c>
      <c r="AB71" s="56">
        <v>7188960</v>
      </c>
      <c r="AC71" s="56">
        <v>669560</v>
      </c>
      <c r="AD71" s="56">
        <v>4757400</v>
      </c>
      <c r="AE71" s="54" t="s">
        <v>12</v>
      </c>
      <c r="AF71" s="56">
        <v>2431560</v>
      </c>
      <c r="AG71" s="56">
        <v>2220120</v>
      </c>
      <c r="AH71" s="56">
        <v>8810000</v>
      </c>
      <c r="AI71" s="56">
        <v>21355440</v>
      </c>
      <c r="AJ71" s="56">
        <v>3453520</v>
      </c>
      <c r="AK71" s="56">
        <v>12474960</v>
      </c>
      <c r="AL71" s="56">
        <v>951480</v>
      </c>
      <c r="AM71" s="56">
        <v>4052600</v>
      </c>
      <c r="AN71" s="56">
        <v>0</v>
      </c>
      <c r="AO71" s="56">
        <v>20721120</v>
      </c>
      <c r="AP71" s="56">
        <v>0</v>
      </c>
      <c r="AQ71" s="56">
        <v>21496400</v>
      </c>
      <c r="AR71" s="56">
        <v>0</v>
      </c>
      <c r="AS71" s="56">
        <v>704800</v>
      </c>
      <c r="AT71" s="56">
        <v>0</v>
      </c>
      <c r="AU71" s="56">
        <v>528600</v>
      </c>
      <c r="AV71" s="56">
        <v>35416200</v>
      </c>
      <c r="AW71" s="56">
        <v>246680</v>
      </c>
      <c r="AX71" s="56">
        <v>7647080</v>
      </c>
      <c r="AY71" s="56">
        <v>1480080</v>
      </c>
      <c r="AZ71" s="54" t="s">
        <v>12</v>
      </c>
      <c r="BA71" s="56">
        <v>4440240</v>
      </c>
      <c r="BB71" s="56">
        <v>3488760</v>
      </c>
      <c r="BC71" s="56">
        <v>1867720</v>
      </c>
      <c r="BD71" s="56">
        <v>1127680</v>
      </c>
      <c r="BE71" s="56">
        <v>2325840</v>
      </c>
      <c r="BF71" s="89" t="s">
        <v>12</v>
      </c>
    </row>
    <row r="72" spans="1:58" x14ac:dyDescent="0.4">
      <c r="A72" s="63">
        <v>44816</v>
      </c>
      <c r="B72" s="53">
        <v>44816.45864300926</v>
      </c>
      <c r="C72" s="54" t="s">
        <v>89</v>
      </c>
      <c r="D72" s="55" t="s">
        <v>74</v>
      </c>
      <c r="E72" s="69" t="s">
        <v>90</v>
      </c>
      <c r="F72" s="73">
        <v>65.959999999999994</v>
      </c>
      <c r="G72" s="57">
        <v>45</v>
      </c>
      <c r="H72" s="57">
        <v>77.5</v>
      </c>
      <c r="I72" s="57">
        <v>65.83</v>
      </c>
      <c r="J72" s="77">
        <v>65.55</v>
      </c>
      <c r="K72" s="81">
        <v>2510500</v>
      </c>
      <c r="L72" s="56">
        <v>5241500</v>
      </c>
      <c r="M72" s="56">
        <v>78</v>
      </c>
      <c r="N72" s="56">
        <v>23</v>
      </c>
      <c r="O72" s="57">
        <v>4.1100000000000003</v>
      </c>
      <c r="P72" s="56">
        <v>67199</v>
      </c>
      <c r="Q72" s="56">
        <v>275868</v>
      </c>
      <c r="R72" s="56">
        <v>446277</v>
      </c>
      <c r="S72" s="56">
        <v>278944</v>
      </c>
      <c r="T72" s="56">
        <v>263028</v>
      </c>
      <c r="U72" s="77">
        <v>2.09</v>
      </c>
      <c r="V72" s="81">
        <v>19</v>
      </c>
      <c r="W72" s="85">
        <v>9</v>
      </c>
      <c r="X72" s="81">
        <v>165592580</v>
      </c>
      <c r="Y72" s="69" t="s">
        <v>75</v>
      </c>
      <c r="Z72" s="81">
        <v>2440520</v>
      </c>
      <c r="AA72" s="56">
        <v>4188460</v>
      </c>
      <c r="AB72" s="56">
        <v>6727920</v>
      </c>
      <c r="AC72" s="56">
        <v>626620</v>
      </c>
      <c r="AD72" s="56">
        <v>4452300</v>
      </c>
      <c r="AE72" s="54" t="s">
        <v>12</v>
      </c>
      <c r="AF72" s="56">
        <v>2275620</v>
      </c>
      <c r="AG72" s="56">
        <v>2077740</v>
      </c>
      <c r="AH72" s="56">
        <v>8245000</v>
      </c>
      <c r="AI72" s="56">
        <v>19985880</v>
      </c>
      <c r="AJ72" s="56">
        <v>3232040</v>
      </c>
      <c r="AK72" s="56">
        <v>11674920</v>
      </c>
      <c r="AL72" s="56">
        <v>890460</v>
      </c>
      <c r="AM72" s="56">
        <v>3792700</v>
      </c>
      <c r="AN72" s="56">
        <v>0</v>
      </c>
      <c r="AO72" s="56">
        <v>19392240</v>
      </c>
      <c r="AP72" s="56">
        <v>0</v>
      </c>
      <c r="AQ72" s="56">
        <v>20117800</v>
      </c>
      <c r="AR72" s="56">
        <v>0</v>
      </c>
      <c r="AS72" s="56">
        <v>659600</v>
      </c>
      <c r="AT72" s="56">
        <v>0</v>
      </c>
      <c r="AU72" s="56">
        <v>494700</v>
      </c>
      <c r="AV72" s="56">
        <v>33144900</v>
      </c>
      <c r="AW72" s="56">
        <v>230860</v>
      </c>
      <c r="AX72" s="56">
        <v>7156660</v>
      </c>
      <c r="AY72" s="56">
        <v>1385160</v>
      </c>
      <c r="AZ72" s="54" t="s">
        <v>12</v>
      </c>
      <c r="BA72" s="56">
        <v>4155480</v>
      </c>
      <c r="BB72" s="56">
        <v>3265020</v>
      </c>
      <c r="BC72" s="56">
        <v>1747940</v>
      </c>
      <c r="BD72" s="56">
        <v>1055360</v>
      </c>
      <c r="BE72" s="56">
        <v>2176680</v>
      </c>
      <c r="BF72" s="89" t="s">
        <v>12</v>
      </c>
    </row>
    <row r="73" spans="1:58" x14ac:dyDescent="0.4">
      <c r="A73" s="63">
        <v>44813</v>
      </c>
      <c r="B73" s="53">
        <v>44813.458864247688</v>
      </c>
      <c r="C73" s="54" t="s">
        <v>91</v>
      </c>
      <c r="D73" s="55" t="s">
        <v>74</v>
      </c>
      <c r="E73" s="69" t="s">
        <v>90</v>
      </c>
      <c r="F73" s="73">
        <v>65.209999999999994</v>
      </c>
      <c r="G73" s="57">
        <v>45</v>
      </c>
      <c r="H73" s="57">
        <v>74.8</v>
      </c>
      <c r="I73" s="57">
        <v>65.83</v>
      </c>
      <c r="J73" s="77">
        <v>65.47</v>
      </c>
      <c r="K73" s="81">
        <v>1861500</v>
      </c>
      <c r="L73" s="56">
        <v>4143000</v>
      </c>
      <c r="M73" s="56">
        <v>69</v>
      </c>
      <c r="N73" s="56">
        <v>48</v>
      </c>
      <c r="O73" s="57">
        <v>4.0599999999999996</v>
      </c>
      <c r="P73" s="56">
        <v>60043</v>
      </c>
      <c r="Q73" s="56">
        <v>243706</v>
      </c>
      <c r="R73" s="56">
        <v>417777</v>
      </c>
      <c r="S73" s="56">
        <v>124100</v>
      </c>
      <c r="T73" s="56">
        <v>153723</v>
      </c>
      <c r="U73" s="77">
        <v>2.23</v>
      </c>
      <c r="V73" s="81">
        <v>17</v>
      </c>
      <c r="W73" s="85">
        <v>15</v>
      </c>
      <c r="X73" s="81">
        <v>121388415</v>
      </c>
      <c r="Y73" s="69" t="s">
        <v>77</v>
      </c>
      <c r="Z73" s="87" t="s">
        <v>12</v>
      </c>
      <c r="AA73" s="54" t="s">
        <v>12</v>
      </c>
      <c r="AB73" s="54" t="s">
        <v>12</v>
      </c>
      <c r="AC73" s="54" t="s">
        <v>12</v>
      </c>
      <c r="AD73" s="54" t="s">
        <v>12</v>
      </c>
      <c r="AE73" s="56">
        <v>121388415</v>
      </c>
      <c r="AF73" s="54" t="s">
        <v>12</v>
      </c>
      <c r="AG73" s="54" t="s">
        <v>12</v>
      </c>
      <c r="AH73" s="54" t="s">
        <v>12</v>
      </c>
      <c r="AI73" s="54" t="s">
        <v>12</v>
      </c>
      <c r="AJ73" s="54" t="s">
        <v>12</v>
      </c>
      <c r="AK73" s="54" t="s">
        <v>12</v>
      </c>
      <c r="AL73" s="54" t="s">
        <v>12</v>
      </c>
      <c r="AM73" s="54" t="s">
        <v>12</v>
      </c>
      <c r="AN73" s="54" t="s">
        <v>12</v>
      </c>
      <c r="AO73" s="54" t="s">
        <v>12</v>
      </c>
      <c r="AP73" s="54" t="s">
        <v>12</v>
      </c>
      <c r="AQ73" s="54" t="s">
        <v>12</v>
      </c>
      <c r="AR73" s="54" t="s">
        <v>12</v>
      </c>
      <c r="AS73" s="54" t="s">
        <v>12</v>
      </c>
      <c r="AT73" s="54" t="s">
        <v>12</v>
      </c>
      <c r="AU73" s="54" t="s">
        <v>12</v>
      </c>
      <c r="AV73" s="54" t="s">
        <v>12</v>
      </c>
      <c r="AW73" s="54" t="s">
        <v>12</v>
      </c>
      <c r="AX73" s="54" t="s">
        <v>12</v>
      </c>
      <c r="AY73" s="54" t="s">
        <v>12</v>
      </c>
      <c r="AZ73" s="54" t="s">
        <v>12</v>
      </c>
      <c r="BA73" s="54" t="s">
        <v>12</v>
      </c>
      <c r="BB73" s="54" t="s">
        <v>12</v>
      </c>
      <c r="BC73" s="54" t="s">
        <v>12</v>
      </c>
      <c r="BD73" s="54" t="s">
        <v>12</v>
      </c>
      <c r="BE73" s="54" t="s">
        <v>12</v>
      </c>
      <c r="BF73" s="89" t="s">
        <v>12</v>
      </c>
    </row>
    <row r="74" spans="1:58" x14ac:dyDescent="0.4">
      <c r="A74" s="63">
        <v>44811</v>
      </c>
      <c r="B74" s="53">
        <v>44811.458817777777</v>
      </c>
      <c r="C74" s="54" t="s">
        <v>93</v>
      </c>
      <c r="D74" s="55" t="s">
        <v>81</v>
      </c>
      <c r="E74" s="69" t="s">
        <v>90</v>
      </c>
      <c r="F74" s="73">
        <v>69.06</v>
      </c>
      <c r="G74" s="57">
        <v>45</v>
      </c>
      <c r="H74" s="57">
        <v>72</v>
      </c>
      <c r="I74" s="57">
        <v>68.84</v>
      </c>
      <c r="J74" s="77">
        <v>69.760000000000005</v>
      </c>
      <c r="K74" s="81">
        <v>600000</v>
      </c>
      <c r="L74" s="56">
        <v>634000</v>
      </c>
      <c r="M74" s="56">
        <v>23</v>
      </c>
      <c r="N74" s="56">
        <v>22</v>
      </c>
      <c r="O74" s="57">
        <v>3.83</v>
      </c>
      <c r="P74" s="56">
        <v>27565</v>
      </c>
      <c r="Q74" s="56">
        <v>105667</v>
      </c>
      <c r="R74" s="56">
        <v>96965</v>
      </c>
      <c r="S74" s="56">
        <v>100000</v>
      </c>
      <c r="T74" s="56">
        <v>96334</v>
      </c>
      <c r="U74" s="77">
        <v>1.06</v>
      </c>
      <c r="V74" s="81">
        <v>6</v>
      </c>
      <c r="W74" s="85">
        <v>6</v>
      </c>
      <c r="X74" s="81">
        <v>41436000</v>
      </c>
      <c r="Y74" s="69" t="s">
        <v>75</v>
      </c>
      <c r="Z74" s="81">
        <v>1070430</v>
      </c>
      <c r="AA74" s="56">
        <v>1484790</v>
      </c>
      <c r="AB74" s="56">
        <v>483420</v>
      </c>
      <c r="AC74" s="56">
        <v>345300</v>
      </c>
      <c r="AD74" s="56">
        <v>517950</v>
      </c>
      <c r="AE74" s="54" t="s">
        <v>12</v>
      </c>
      <c r="AF74" s="56">
        <v>1312140</v>
      </c>
      <c r="AG74" s="56">
        <v>138120</v>
      </c>
      <c r="AH74" s="56">
        <v>2658810</v>
      </c>
      <c r="AI74" s="56">
        <v>7596600</v>
      </c>
      <c r="AJ74" s="56">
        <v>1104960</v>
      </c>
      <c r="AK74" s="56">
        <v>5766510</v>
      </c>
      <c r="AL74" s="56">
        <v>379830</v>
      </c>
      <c r="AM74" s="56">
        <v>483420</v>
      </c>
      <c r="AN74" s="56">
        <v>1001370</v>
      </c>
      <c r="AO74" s="54" t="s">
        <v>12</v>
      </c>
      <c r="AP74" s="56">
        <v>483420</v>
      </c>
      <c r="AQ74" s="56">
        <v>6284460</v>
      </c>
      <c r="AR74" s="56">
        <v>0</v>
      </c>
      <c r="AS74" s="56">
        <v>241710</v>
      </c>
      <c r="AT74" s="56">
        <v>172650</v>
      </c>
      <c r="AU74" s="56">
        <v>276240</v>
      </c>
      <c r="AV74" s="54" t="s">
        <v>12</v>
      </c>
      <c r="AW74" s="56">
        <v>310770</v>
      </c>
      <c r="AX74" s="56">
        <v>2175390</v>
      </c>
      <c r="AY74" s="56">
        <v>2140860</v>
      </c>
      <c r="AZ74" s="54" t="s">
        <v>12</v>
      </c>
      <c r="BA74" s="56">
        <v>2002740</v>
      </c>
      <c r="BB74" s="56">
        <v>966840</v>
      </c>
      <c r="BC74" s="56">
        <v>1899150</v>
      </c>
      <c r="BD74" s="56">
        <v>69060</v>
      </c>
      <c r="BE74" s="56">
        <v>69060</v>
      </c>
      <c r="BF74" s="89" t="s">
        <v>12</v>
      </c>
    </row>
    <row r="75" spans="1:58" x14ac:dyDescent="0.4">
      <c r="A75" s="63">
        <v>44810</v>
      </c>
      <c r="B75" s="53">
        <v>44810.458592881943</v>
      </c>
      <c r="C75" s="54" t="s">
        <v>89</v>
      </c>
      <c r="D75" s="55" t="s">
        <v>74</v>
      </c>
      <c r="E75" s="69" t="s">
        <v>90</v>
      </c>
      <c r="F75" s="73">
        <v>71.05</v>
      </c>
      <c r="G75" s="57">
        <v>45</v>
      </c>
      <c r="H75" s="57">
        <v>100</v>
      </c>
      <c r="I75" s="57">
        <v>70.95</v>
      </c>
      <c r="J75" s="77">
        <v>70.98</v>
      </c>
      <c r="K75" s="81">
        <v>2510500</v>
      </c>
      <c r="L75" s="56">
        <v>5663000</v>
      </c>
      <c r="M75" s="56">
        <v>74</v>
      </c>
      <c r="N75" s="56">
        <v>34</v>
      </c>
      <c r="O75" s="57">
        <v>3.7</v>
      </c>
      <c r="P75" s="56">
        <v>76527</v>
      </c>
      <c r="Q75" s="56">
        <v>283150</v>
      </c>
      <c r="R75" s="56">
        <v>425804</v>
      </c>
      <c r="S75" s="56">
        <v>167367</v>
      </c>
      <c r="T75" s="56">
        <v>240113</v>
      </c>
      <c r="U75" s="77">
        <v>2.2599999999999998</v>
      </c>
      <c r="V75" s="81">
        <v>20</v>
      </c>
      <c r="W75" s="85">
        <v>15</v>
      </c>
      <c r="X75" s="81">
        <v>178371025</v>
      </c>
      <c r="Y75" s="69" t="s">
        <v>75</v>
      </c>
      <c r="Z75" s="81">
        <v>2628850</v>
      </c>
      <c r="AA75" s="56">
        <v>4511675</v>
      </c>
      <c r="AB75" s="56">
        <v>7247100</v>
      </c>
      <c r="AC75" s="56">
        <v>674975</v>
      </c>
      <c r="AD75" s="56">
        <v>4795875</v>
      </c>
      <c r="AE75" s="54" t="s">
        <v>12</v>
      </c>
      <c r="AF75" s="56">
        <v>2451225</v>
      </c>
      <c r="AG75" s="56">
        <v>2238075</v>
      </c>
      <c r="AH75" s="56">
        <v>8881250</v>
      </c>
      <c r="AI75" s="56">
        <v>21528150</v>
      </c>
      <c r="AJ75" s="56">
        <v>3481450</v>
      </c>
      <c r="AK75" s="56">
        <v>12575850</v>
      </c>
      <c r="AL75" s="56">
        <v>959175</v>
      </c>
      <c r="AM75" s="56">
        <v>4085375</v>
      </c>
      <c r="AN75" s="56">
        <v>0</v>
      </c>
      <c r="AO75" s="56">
        <v>20888700</v>
      </c>
      <c r="AP75" s="56">
        <v>0</v>
      </c>
      <c r="AQ75" s="56">
        <v>21670250</v>
      </c>
      <c r="AR75" s="56">
        <v>0</v>
      </c>
      <c r="AS75" s="56">
        <v>710500</v>
      </c>
      <c r="AT75" s="56">
        <v>0</v>
      </c>
      <c r="AU75" s="56">
        <v>532875</v>
      </c>
      <c r="AV75" s="56">
        <v>35702625</v>
      </c>
      <c r="AW75" s="56">
        <v>248675</v>
      </c>
      <c r="AX75" s="56">
        <v>7708925</v>
      </c>
      <c r="AY75" s="56">
        <v>1492050</v>
      </c>
      <c r="AZ75" s="54" t="s">
        <v>12</v>
      </c>
      <c r="BA75" s="56">
        <v>4476150</v>
      </c>
      <c r="BB75" s="56">
        <v>3516975</v>
      </c>
      <c r="BC75" s="56">
        <v>1882825</v>
      </c>
      <c r="BD75" s="56">
        <v>1136800</v>
      </c>
      <c r="BE75" s="56">
        <v>2344650</v>
      </c>
      <c r="BF75" s="89" t="s">
        <v>12</v>
      </c>
    </row>
    <row r="76" spans="1:58" x14ac:dyDescent="0.4">
      <c r="A76" s="63">
        <v>44809</v>
      </c>
      <c r="B76" s="53">
        <v>44809.459072800928</v>
      </c>
      <c r="C76" s="54" t="s">
        <v>89</v>
      </c>
      <c r="D76" s="55" t="s">
        <v>74</v>
      </c>
      <c r="E76" s="69" t="s">
        <v>90</v>
      </c>
      <c r="F76" s="73">
        <v>73.75</v>
      </c>
      <c r="G76" s="57">
        <v>45</v>
      </c>
      <c r="H76" s="57">
        <v>77</v>
      </c>
      <c r="I76" s="57">
        <v>73.16</v>
      </c>
      <c r="J76" s="77">
        <v>73.81</v>
      </c>
      <c r="K76" s="81">
        <v>2510500</v>
      </c>
      <c r="L76" s="56">
        <v>5335000</v>
      </c>
      <c r="M76" s="56">
        <v>72</v>
      </c>
      <c r="N76" s="56">
        <v>40</v>
      </c>
      <c r="O76" s="57">
        <v>3.6</v>
      </c>
      <c r="P76" s="56">
        <v>74097</v>
      </c>
      <c r="Q76" s="56">
        <v>266750</v>
      </c>
      <c r="R76" s="56">
        <v>430312</v>
      </c>
      <c r="S76" s="56">
        <v>139472</v>
      </c>
      <c r="T76" s="56">
        <v>221500</v>
      </c>
      <c r="U76" s="77">
        <v>2.13</v>
      </c>
      <c r="V76" s="81">
        <v>20</v>
      </c>
      <c r="W76" s="85">
        <v>18</v>
      </c>
      <c r="X76" s="81">
        <v>185149375</v>
      </c>
      <c r="Y76" s="69" t="s">
        <v>75</v>
      </c>
      <c r="Z76" s="81">
        <v>2728750</v>
      </c>
      <c r="AA76" s="56">
        <v>4683125</v>
      </c>
      <c r="AB76" s="56">
        <v>7522500</v>
      </c>
      <c r="AC76" s="56">
        <v>700625</v>
      </c>
      <c r="AD76" s="56">
        <v>4978125</v>
      </c>
      <c r="AE76" s="54" t="s">
        <v>12</v>
      </c>
      <c r="AF76" s="56">
        <v>2544375</v>
      </c>
      <c r="AG76" s="56">
        <v>2323125</v>
      </c>
      <c r="AH76" s="56">
        <v>9218750</v>
      </c>
      <c r="AI76" s="56">
        <v>22346250</v>
      </c>
      <c r="AJ76" s="56">
        <v>3613750</v>
      </c>
      <c r="AK76" s="56">
        <v>13053750</v>
      </c>
      <c r="AL76" s="56">
        <v>995625</v>
      </c>
      <c r="AM76" s="56">
        <v>4240625</v>
      </c>
      <c r="AN76" s="56">
        <v>0</v>
      </c>
      <c r="AO76" s="56">
        <v>21682500</v>
      </c>
      <c r="AP76" s="56">
        <v>0</v>
      </c>
      <c r="AQ76" s="56">
        <v>22493750</v>
      </c>
      <c r="AR76" s="56">
        <v>0</v>
      </c>
      <c r="AS76" s="56">
        <v>737500</v>
      </c>
      <c r="AT76" s="56">
        <v>0</v>
      </c>
      <c r="AU76" s="56">
        <v>553125</v>
      </c>
      <c r="AV76" s="56">
        <v>37059375</v>
      </c>
      <c r="AW76" s="56">
        <v>258125</v>
      </c>
      <c r="AX76" s="56">
        <v>8001875</v>
      </c>
      <c r="AY76" s="56">
        <v>1548750</v>
      </c>
      <c r="AZ76" s="54" t="s">
        <v>12</v>
      </c>
      <c r="BA76" s="56">
        <v>4646250</v>
      </c>
      <c r="BB76" s="56">
        <v>3650625</v>
      </c>
      <c r="BC76" s="56">
        <v>1954375</v>
      </c>
      <c r="BD76" s="56">
        <v>1180000</v>
      </c>
      <c r="BE76" s="56">
        <v>2433750</v>
      </c>
      <c r="BF76" s="89" t="s">
        <v>12</v>
      </c>
    </row>
    <row r="77" spans="1:58" x14ac:dyDescent="0.4">
      <c r="A77" s="63">
        <v>44806</v>
      </c>
      <c r="B77" s="53">
        <v>44806.458781504632</v>
      </c>
      <c r="C77" s="54" t="s">
        <v>91</v>
      </c>
      <c r="D77" s="55" t="s">
        <v>74</v>
      </c>
      <c r="E77" s="69" t="s">
        <v>90</v>
      </c>
      <c r="F77" s="73">
        <v>78.41</v>
      </c>
      <c r="G77" s="57">
        <v>45</v>
      </c>
      <c r="H77" s="57">
        <v>84</v>
      </c>
      <c r="I77" s="57">
        <v>78.150000000000006</v>
      </c>
      <c r="J77" s="77">
        <v>78.67</v>
      </c>
      <c r="K77" s="81">
        <v>1861500</v>
      </c>
      <c r="L77" s="56">
        <v>2933500</v>
      </c>
      <c r="M77" s="56">
        <v>72</v>
      </c>
      <c r="N77" s="56">
        <v>47</v>
      </c>
      <c r="O77" s="57">
        <v>4.24</v>
      </c>
      <c r="P77" s="56">
        <v>40743</v>
      </c>
      <c r="Q77" s="56">
        <v>172559</v>
      </c>
      <c r="R77" s="56">
        <v>238153</v>
      </c>
      <c r="S77" s="56">
        <v>116344</v>
      </c>
      <c r="T77" s="56">
        <v>219920</v>
      </c>
      <c r="U77" s="77">
        <v>1.58</v>
      </c>
      <c r="V77" s="81">
        <v>17</v>
      </c>
      <c r="W77" s="85">
        <v>16</v>
      </c>
      <c r="X77" s="81">
        <v>145960215</v>
      </c>
      <c r="Y77" s="69" t="s">
        <v>77</v>
      </c>
      <c r="Z77" s="87" t="s">
        <v>12</v>
      </c>
      <c r="AA77" s="54" t="s">
        <v>12</v>
      </c>
      <c r="AB77" s="54" t="s">
        <v>12</v>
      </c>
      <c r="AC77" s="54" t="s">
        <v>12</v>
      </c>
      <c r="AD77" s="54" t="s">
        <v>12</v>
      </c>
      <c r="AE77" s="56">
        <v>145960215</v>
      </c>
      <c r="AF77" s="54" t="s">
        <v>12</v>
      </c>
      <c r="AG77" s="54" t="s">
        <v>12</v>
      </c>
      <c r="AH77" s="54" t="s">
        <v>12</v>
      </c>
      <c r="AI77" s="54" t="s">
        <v>12</v>
      </c>
      <c r="AJ77" s="54" t="s">
        <v>12</v>
      </c>
      <c r="AK77" s="54" t="s">
        <v>12</v>
      </c>
      <c r="AL77" s="54" t="s">
        <v>12</v>
      </c>
      <c r="AM77" s="54" t="s">
        <v>12</v>
      </c>
      <c r="AN77" s="54" t="s">
        <v>12</v>
      </c>
      <c r="AO77" s="54" t="s">
        <v>12</v>
      </c>
      <c r="AP77" s="54" t="s">
        <v>12</v>
      </c>
      <c r="AQ77" s="54" t="s">
        <v>12</v>
      </c>
      <c r="AR77" s="54" t="s">
        <v>12</v>
      </c>
      <c r="AS77" s="54" t="s">
        <v>12</v>
      </c>
      <c r="AT77" s="54" t="s">
        <v>12</v>
      </c>
      <c r="AU77" s="54" t="s">
        <v>12</v>
      </c>
      <c r="AV77" s="54" t="s">
        <v>12</v>
      </c>
      <c r="AW77" s="54" t="s">
        <v>12</v>
      </c>
      <c r="AX77" s="54" t="s">
        <v>12</v>
      </c>
      <c r="AY77" s="54" t="s">
        <v>12</v>
      </c>
      <c r="AZ77" s="54" t="s">
        <v>12</v>
      </c>
      <c r="BA77" s="54" t="s">
        <v>12</v>
      </c>
      <c r="BB77" s="54" t="s">
        <v>12</v>
      </c>
      <c r="BC77" s="54" t="s">
        <v>12</v>
      </c>
      <c r="BD77" s="54" t="s">
        <v>12</v>
      </c>
      <c r="BE77" s="54" t="s">
        <v>12</v>
      </c>
      <c r="BF77" s="89" t="s">
        <v>12</v>
      </c>
    </row>
    <row r="78" spans="1:58" x14ac:dyDescent="0.4">
      <c r="A78" s="63">
        <v>44805</v>
      </c>
      <c r="B78" s="53">
        <v>44805.458708969905</v>
      </c>
      <c r="C78" s="54" t="s">
        <v>89</v>
      </c>
      <c r="D78" s="55" t="s">
        <v>74</v>
      </c>
      <c r="E78" s="69" t="s">
        <v>90</v>
      </c>
      <c r="F78" s="73">
        <v>77.010000000000005</v>
      </c>
      <c r="G78" s="57">
        <v>63.41</v>
      </c>
      <c r="H78" s="57">
        <v>80</v>
      </c>
      <c r="I78" s="57">
        <v>77.099999999999994</v>
      </c>
      <c r="J78" s="77">
        <v>77.05</v>
      </c>
      <c r="K78" s="81">
        <v>2510500</v>
      </c>
      <c r="L78" s="56">
        <v>4576500</v>
      </c>
      <c r="M78" s="56">
        <v>69</v>
      </c>
      <c r="N78" s="56">
        <v>43</v>
      </c>
      <c r="O78" s="57">
        <v>4.3099999999999996</v>
      </c>
      <c r="P78" s="56">
        <v>66326</v>
      </c>
      <c r="Q78" s="56">
        <v>286031</v>
      </c>
      <c r="R78" s="56">
        <v>463455</v>
      </c>
      <c r="S78" s="56">
        <v>156906</v>
      </c>
      <c r="T78" s="56">
        <v>240601</v>
      </c>
      <c r="U78" s="77">
        <v>1.82</v>
      </c>
      <c r="V78" s="81">
        <v>16</v>
      </c>
      <c r="W78" s="85">
        <v>16</v>
      </c>
      <c r="X78" s="81">
        <v>193333605</v>
      </c>
      <c r="Y78" s="69" t="s">
        <v>75</v>
      </c>
      <c r="Z78" s="81">
        <v>2849370</v>
      </c>
      <c r="AA78" s="56">
        <v>4890135</v>
      </c>
      <c r="AB78" s="56">
        <v>7855020</v>
      </c>
      <c r="AC78" s="56">
        <v>731595</v>
      </c>
      <c r="AD78" s="56">
        <v>5198175</v>
      </c>
      <c r="AE78" s="54" t="s">
        <v>12</v>
      </c>
      <c r="AF78" s="56">
        <v>2656845</v>
      </c>
      <c r="AG78" s="56">
        <v>2425815</v>
      </c>
      <c r="AH78" s="56">
        <v>9626250</v>
      </c>
      <c r="AI78" s="56">
        <v>23334030</v>
      </c>
      <c r="AJ78" s="56">
        <v>3773490</v>
      </c>
      <c r="AK78" s="56">
        <v>13630770</v>
      </c>
      <c r="AL78" s="56">
        <v>1039635</v>
      </c>
      <c r="AM78" s="56">
        <v>4428075</v>
      </c>
      <c r="AN78" s="56">
        <v>0</v>
      </c>
      <c r="AO78" s="56">
        <v>22640940</v>
      </c>
      <c r="AP78" s="56">
        <v>0</v>
      </c>
      <c r="AQ78" s="56">
        <v>23488050</v>
      </c>
      <c r="AR78" s="56">
        <v>0</v>
      </c>
      <c r="AS78" s="56">
        <v>770100</v>
      </c>
      <c r="AT78" s="56">
        <v>0</v>
      </c>
      <c r="AU78" s="56">
        <v>577575</v>
      </c>
      <c r="AV78" s="56">
        <v>38697525</v>
      </c>
      <c r="AW78" s="56">
        <v>269535</v>
      </c>
      <c r="AX78" s="56">
        <v>8355585</v>
      </c>
      <c r="AY78" s="56">
        <v>1617210</v>
      </c>
      <c r="AZ78" s="54" t="s">
        <v>12</v>
      </c>
      <c r="BA78" s="56">
        <v>4851630</v>
      </c>
      <c r="BB78" s="56">
        <v>3811995</v>
      </c>
      <c r="BC78" s="56">
        <v>2040765</v>
      </c>
      <c r="BD78" s="56">
        <v>1232160</v>
      </c>
      <c r="BE78" s="56">
        <v>2541330</v>
      </c>
      <c r="BF78" s="89" t="s">
        <v>12</v>
      </c>
    </row>
    <row r="79" spans="1:58" x14ac:dyDescent="0.4">
      <c r="A79" s="63">
        <v>44804</v>
      </c>
      <c r="B79" s="53">
        <v>44804.458750659724</v>
      </c>
      <c r="C79" s="54" t="s">
        <v>92</v>
      </c>
      <c r="D79" s="55" t="s">
        <v>74</v>
      </c>
      <c r="E79" s="69" t="s">
        <v>90</v>
      </c>
      <c r="F79" s="73">
        <v>78.959999999999994</v>
      </c>
      <c r="G79" s="57">
        <v>45</v>
      </c>
      <c r="H79" s="57">
        <v>84</v>
      </c>
      <c r="I79" s="57">
        <v>78.430000000000007</v>
      </c>
      <c r="J79" s="77">
        <v>79.02</v>
      </c>
      <c r="K79" s="81">
        <v>1334500</v>
      </c>
      <c r="L79" s="56">
        <v>3447000</v>
      </c>
      <c r="M79" s="56">
        <v>59</v>
      </c>
      <c r="N79" s="56">
        <v>33</v>
      </c>
      <c r="O79" s="57">
        <v>3.47</v>
      </c>
      <c r="P79" s="56">
        <v>58424</v>
      </c>
      <c r="Q79" s="56">
        <v>202765</v>
      </c>
      <c r="R79" s="56">
        <v>413321</v>
      </c>
      <c r="S79" s="56">
        <v>83406</v>
      </c>
      <c r="T79" s="56">
        <v>107636</v>
      </c>
      <c r="U79" s="77">
        <v>2.58</v>
      </c>
      <c r="V79" s="81">
        <v>17</v>
      </c>
      <c r="W79" s="85">
        <v>16</v>
      </c>
      <c r="X79" s="81">
        <v>105372120</v>
      </c>
      <c r="Y79" s="69" t="s">
        <v>79</v>
      </c>
      <c r="Z79" s="87" t="s">
        <v>12</v>
      </c>
      <c r="AA79" s="54" t="s">
        <v>12</v>
      </c>
      <c r="AB79" s="54" t="s">
        <v>12</v>
      </c>
      <c r="AC79" s="54" t="s">
        <v>12</v>
      </c>
      <c r="AD79" s="54" t="s">
        <v>12</v>
      </c>
      <c r="AE79" s="54" t="s">
        <v>12</v>
      </c>
      <c r="AF79" s="54" t="s">
        <v>12</v>
      </c>
      <c r="AG79" s="54" t="s">
        <v>12</v>
      </c>
      <c r="AH79" s="54" t="s">
        <v>12</v>
      </c>
      <c r="AI79" s="54" t="s">
        <v>12</v>
      </c>
      <c r="AJ79" s="54" t="s">
        <v>12</v>
      </c>
      <c r="AK79" s="54" t="s">
        <v>12</v>
      </c>
      <c r="AL79" s="54" t="s">
        <v>12</v>
      </c>
      <c r="AM79" s="54" t="s">
        <v>12</v>
      </c>
      <c r="AN79" s="54" t="s">
        <v>12</v>
      </c>
      <c r="AO79" s="54" t="s">
        <v>12</v>
      </c>
      <c r="AP79" s="54" t="s">
        <v>12</v>
      </c>
      <c r="AQ79" s="54" t="s">
        <v>12</v>
      </c>
      <c r="AR79" s="54" t="s">
        <v>12</v>
      </c>
      <c r="AS79" s="54" t="s">
        <v>12</v>
      </c>
      <c r="AT79" s="54" t="s">
        <v>12</v>
      </c>
      <c r="AU79" s="54" t="s">
        <v>12</v>
      </c>
      <c r="AV79" s="54" t="s">
        <v>12</v>
      </c>
      <c r="AW79" s="54" t="s">
        <v>12</v>
      </c>
      <c r="AX79" s="54" t="s">
        <v>12</v>
      </c>
      <c r="AY79" s="54" t="s">
        <v>12</v>
      </c>
      <c r="AZ79" s="56">
        <v>105372120</v>
      </c>
      <c r="BA79" s="54" t="s">
        <v>12</v>
      </c>
      <c r="BB79" s="54" t="s">
        <v>12</v>
      </c>
      <c r="BC79" s="54" t="s">
        <v>12</v>
      </c>
      <c r="BD79" s="54" t="s">
        <v>12</v>
      </c>
      <c r="BE79" s="54" t="s">
        <v>12</v>
      </c>
      <c r="BF79" s="89" t="s">
        <v>12</v>
      </c>
    </row>
    <row r="80" spans="1:58" x14ac:dyDescent="0.4">
      <c r="A80" s="63">
        <v>44803</v>
      </c>
      <c r="B80" s="53">
        <v>44803.458989074075</v>
      </c>
      <c r="C80" s="54" t="s">
        <v>89</v>
      </c>
      <c r="D80" s="55" t="s">
        <v>74</v>
      </c>
      <c r="E80" s="69" t="s">
        <v>90</v>
      </c>
      <c r="F80" s="73">
        <v>85.13</v>
      </c>
      <c r="G80" s="57">
        <v>70</v>
      </c>
      <c r="H80" s="57">
        <v>90</v>
      </c>
      <c r="I80" s="57">
        <v>85</v>
      </c>
      <c r="J80" s="77">
        <v>85.42</v>
      </c>
      <c r="K80" s="81">
        <v>1295500</v>
      </c>
      <c r="L80" s="56">
        <v>3140000</v>
      </c>
      <c r="M80" s="56">
        <v>47</v>
      </c>
      <c r="N80" s="56">
        <v>34</v>
      </c>
      <c r="O80" s="57">
        <v>3.92</v>
      </c>
      <c r="P80" s="56">
        <v>66809</v>
      </c>
      <c r="Q80" s="56">
        <v>261667</v>
      </c>
      <c r="R80" s="56">
        <v>480175</v>
      </c>
      <c r="S80" s="56">
        <v>117773</v>
      </c>
      <c r="T80" s="56">
        <v>145091</v>
      </c>
      <c r="U80" s="77">
        <v>2.42</v>
      </c>
      <c r="V80" s="81">
        <v>12</v>
      </c>
      <c r="W80" s="85">
        <v>11</v>
      </c>
      <c r="X80" s="81">
        <v>110285915</v>
      </c>
      <c r="Y80" s="69" t="s">
        <v>75</v>
      </c>
      <c r="Z80" s="81">
        <v>2511335</v>
      </c>
      <c r="AA80" s="56">
        <v>553345</v>
      </c>
      <c r="AB80" s="56">
        <v>4682150</v>
      </c>
      <c r="AC80" s="56">
        <v>978995</v>
      </c>
      <c r="AD80" s="56">
        <v>3234940</v>
      </c>
      <c r="AE80" s="54" t="s">
        <v>12</v>
      </c>
      <c r="AF80" s="56">
        <v>723605</v>
      </c>
      <c r="AG80" s="56">
        <v>1660035</v>
      </c>
      <c r="AH80" s="56">
        <v>4299065</v>
      </c>
      <c r="AI80" s="56">
        <v>11790505</v>
      </c>
      <c r="AJ80" s="56">
        <v>1617470</v>
      </c>
      <c r="AK80" s="56">
        <v>7023225</v>
      </c>
      <c r="AL80" s="56">
        <v>1021560</v>
      </c>
      <c r="AM80" s="56">
        <v>2596465</v>
      </c>
      <c r="AN80" s="56">
        <v>0</v>
      </c>
      <c r="AO80" s="56">
        <v>12514110</v>
      </c>
      <c r="AP80" s="56">
        <v>0</v>
      </c>
      <c r="AQ80" s="56">
        <v>13195150</v>
      </c>
      <c r="AR80" s="56">
        <v>0</v>
      </c>
      <c r="AS80" s="56">
        <v>1191820</v>
      </c>
      <c r="AT80" s="56">
        <v>0</v>
      </c>
      <c r="AU80" s="56">
        <v>425650</v>
      </c>
      <c r="AV80" s="56">
        <v>21325065</v>
      </c>
      <c r="AW80" s="56">
        <v>681040</v>
      </c>
      <c r="AX80" s="56">
        <v>6129360</v>
      </c>
      <c r="AY80" s="56">
        <v>42565</v>
      </c>
      <c r="AZ80" s="54" t="s">
        <v>12</v>
      </c>
      <c r="BA80" s="56">
        <v>2894420</v>
      </c>
      <c r="BB80" s="56">
        <v>3277505</v>
      </c>
      <c r="BC80" s="56">
        <v>1574905</v>
      </c>
      <c r="BD80" s="56">
        <v>808735</v>
      </c>
      <c r="BE80" s="56">
        <v>3532895</v>
      </c>
      <c r="BF80" s="89" t="s">
        <v>12</v>
      </c>
    </row>
    <row r="81" spans="1:58" x14ac:dyDescent="0.4">
      <c r="A81" s="63">
        <v>44802</v>
      </c>
      <c r="B81" s="53">
        <v>44802.458617951386</v>
      </c>
      <c r="C81" s="54" t="s">
        <v>89</v>
      </c>
      <c r="D81" s="55" t="s">
        <v>74</v>
      </c>
      <c r="E81" s="69" t="s">
        <v>90</v>
      </c>
      <c r="F81" s="73">
        <v>88.81</v>
      </c>
      <c r="G81" s="57">
        <v>45</v>
      </c>
      <c r="H81" s="57">
        <v>91</v>
      </c>
      <c r="I81" s="57">
        <v>87.63</v>
      </c>
      <c r="J81" s="77">
        <v>88.79</v>
      </c>
      <c r="K81" s="81">
        <v>1146500</v>
      </c>
      <c r="L81" s="56">
        <v>3253000</v>
      </c>
      <c r="M81" s="56">
        <v>56</v>
      </c>
      <c r="N81" s="56">
        <v>28</v>
      </c>
      <c r="O81" s="57">
        <v>4.3099999999999996</v>
      </c>
      <c r="P81" s="56">
        <v>58089</v>
      </c>
      <c r="Q81" s="56">
        <v>250231</v>
      </c>
      <c r="R81" s="56">
        <v>477082</v>
      </c>
      <c r="S81" s="56">
        <v>114650</v>
      </c>
      <c r="T81" s="56">
        <v>183911</v>
      </c>
      <c r="U81" s="77">
        <v>2.84</v>
      </c>
      <c r="V81" s="81">
        <v>13</v>
      </c>
      <c r="W81" s="85">
        <v>10</v>
      </c>
      <c r="X81" s="81">
        <v>101820665</v>
      </c>
      <c r="Y81" s="69" t="s">
        <v>75</v>
      </c>
      <c r="Z81" s="81">
        <v>1465365</v>
      </c>
      <c r="AA81" s="56">
        <v>577265</v>
      </c>
      <c r="AB81" s="56">
        <v>5284195</v>
      </c>
      <c r="AC81" s="56">
        <v>444050</v>
      </c>
      <c r="AD81" s="56">
        <v>2619895</v>
      </c>
      <c r="AE81" s="54" t="s">
        <v>12</v>
      </c>
      <c r="AF81" s="56">
        <v>310835</v>
      </c>
      <c r="AG81" s="56">
        <v>1287745</v>
      </c>
      <c r="AH81" s="56">
        <v>5239790</v>
      </c>
      <c r="AI81" s="56">
        <v>12788640</v>
      </c>
      <c r="AJ81" s="56">
        <v>1110125</v>
      </c>
      <c r="AK81" s="56">
        <v>7282420</v>
      </c>
      <c r="AL81" s="56">
        <v>666075</v>
      </c>
      <c r="AM81" s="56">
        <v>1554175</v>
      </c>
      <c r="AN81" s="56">
        <v>0</v>
      </c>
      <c r="AO81" s="56">
        <v>13055070</v>
      </c>
      <c r="AP81" s="56">
        <v>0</v>
      </c>
      <c r="AQ81" s="56">
        <v>12611020</v>
      </c>
      <c r="AR81" s="56">
        <v>0</v>
      </c>
      <c r="AS81" s="56">
        <v>488455</v>
      </c>
      <c r="AT81" s="56">
        <v>0</v>
      </c>
      <c r="AU81" s="56">
        <v>355240</v>
      </c>
      <c r="AV81" s="56">
        <v>22246905</v>
      </c>
      <c r="AW81" s="56">
        <v>177620</v>
      </c>
      <c r="AX81" s="56">
        <v>4484905</v>
      </c>
      <c r="AY81" s="56">
        <v>133215</v>
      </c>
      <c r="AZ81" s="54" t="s">
        <v>12</v>
      </c>
      <c r="BA81" s="56">
        <v>2664300</v>
      </c>
      <c r="BB81" s="56">
        <v>1865010</v>
      </c>
      <c r="BC81" s="56">
        <v>1065720</v>
      </c>
      <c r="BD81" s="56">
        <v>666075</v>
      </c>
      <c r="BE81" s="56">
        <v>1376555</v>
      </c>
      <c r="BF81" s="89" t="s">
        <v>12</v>
      </c>
    </row>
    <row r="82" spans="1:58" x14ac:dyDescent="0.4">
      <c r="A82" s="63">
        <v>44799</v>
      </c>
      <c r="B82" s="53">
        <v>44799.458751469909</v>
      </c>
      <c r="C82" s="54" t="s">
        <v>91</v>
      </c>
      <c r="D82" s="55" t="s">
        <v>74</v>
      </c>
      <c r="E82" s="69" t="s">
        <v>90</v>
      </c>
      <c r="F82" s="73">
        <v>89.56</v>
      </c>
      <c r="G82" s="57">
        <v>45</v>
      </c>
      <c r="H82" s="57">
        <v>91</v>
      </c>
      <c r="I82" s="57">
        <v>88.2</v>
      </c>
      <c r="J82" s="77">
        <v>88.86</v>
      </c>
      <c r="K82" s="81">
        <v>982000</v>
      </c>
      <c r="L82" s="56">
        <v>1940000</v>
      </c>
      <c r="M82" s="56">
        <v>60</v>
      </c>
      <c r="N82" s="56">
        <v>12</v>
      </c>
      <c r="O82" s="57">
        <v>4</v>
      </c>
      <c r="P82" s="56">
        <v>32333</v>
      </c>
      <c r="Q82" s="56">
        <v>129333</v>
      </c>
      <c r="R82" s="56">
        <v>132663</v>
      </c>
      <c r="S82" s="56">
        <v>109111</v>
      </c>
      <c r="T82" s="56">
        <v>144310</v>
      </c>
      <c r="U82" s="77">
        <v>1.98</v>
      </c>
      <c r="V82" s="81">
        <v>15</v>
      </c>
      <c r="W82" s="85">
        <v>9</v>
      </c>
      <c r="X82" s="81">
        <v>87947920</v>
      </c>
      <c r="Y82" s="69" t="s">
        <v>77</v>
      </c>
      <c r="Z82" s="87" t="s">
        <v>12</v>
      </c>
      <c r="AA82" s="54" t="s">
        <v>12</v>
      </c>
      <c r="AB82" s="54" t="s">
        <v>12</v>
      </c>
      <c r="AC82" s="54" t="s">
        <v>12</v>
      </c>
      <c r="AD82" s="54" t="s">
        <v>12</v>
      </c>
      <c r="AE82" s="56">
        <v>87947920</v>
      </c>
      <c r="AF82" s="54" t="s">
        <v>12</v>
      </c>
      <c r="AG82" s="54" t="s">
        <v>12</v>
      </c>
      <c r="AH82" s="54" t="s">
        <v>12</v>
      </c>
      <c r="AI82" s="54" t="s">
        <v>12</v>
      </c>
      <c r="AJ82" s="54" t="s">
        <v>12</v>
      </c>
      <c r="AK82" s="54" t="s">
        <v>12</v>
      </c>
      <c r="AL82" s="54" t="s">
        <v>12</v>
      </c>
      <c r="AM82" s="54" t="s">
        <v>12</v>
      </c>
      <c r="AN82" s="54" t="s">
        <v>12</v>
      </c>
      <c r="AO82" s="54" t="s">
        <v>12</v>
      </c>
      <c r="AP82" s="54" t="s">
        <v>12</v>
      </c>
      <c r="AQ82" s="54" t="s">
        <v>12</v>
      </c>
      <c r="AR82" s="54" t="s">
        <v>12</v>
      </c>
      <c r="AS82" s="54" t="s">
        <v>12</v>
      </c>
      <c r="AT82" s="54" t="s">
        <v>12</v>
      </c>
      <c r="AU82" s="54" t="s">
        <v>12</v>
      </c>
      <c r="AV82" s="54" t="s">
        <v>12</v>
      </c>
      <c r="AW82" s="54" t="s">
        <v>12</v>
      </c>
      <c r="AX82" s="54" t="s">
        <v>12</v>
      </c>
      <c r="AY82" s="54" t="s">
        <v>12</v>
      </c>
      <c r="AZ82" s="54" t="s">
        <v>12</v>
      </c>
      <c r="BA82" s="54" t="s">
        <v>12</v>
      </c>
      <c r="BB82" s="54" t="s">
        <v>12</v>
      </c>
      <c r="BC82" s="54" t="s">
        <v>12</v>
      </c>
      <c r="BD82" s="54" t="s">
        <v>12</v>
      </c>
      <c r="BE82" s="54" t="s">
        <v>12</v>
      </c>
      <c r="BF82" s="89" t="s">
        <v>12</v>
      </c>
    </row>
    <row r="83" spans="1:58" x14ac:dyDescent="0.4">
      <c r="A83" s="63">
        <v>44798</v>
      </c>
      <c r="B83" s="53">
        <v>44798.45881783565</v>
      </c>
      <c r="C83" s="54" t="s">
        <v>89</v>
      </c>
      <c r="D83" s="55" t="s">
        <v>74</v>
      </c>
      <c r="E83" s="69" t="s">
        <v>90</v>
      </c>
      <c r="F83" s="73">
        <v>89.3</v>
      </c>
      <c r="G83" s="57">
        <v>45</v>
      </c>
      <c r="H83" s="57">
        <v>99</v>
      </c>
      <c r="I83" s="57">
        <v>86.68</v>
      </c>
      <c r="J83" s="77">
        <v>88.11</v>
      </c>
      <c r="K83" s="81">
        <v>1146500</v>
      </c>
      <c r="L83" s="56">
        <v>3756000</v>
      </c>
      <c r="M83" s="56">
        <v>61</v>
      </c>
      <c r="N83" s="56">
        <v>9</v>
      </c>
      <c r="O83" s="57">
        <v>3.59</v>
      </c>
      <c r="P83" s="56">
        <v>61574</v>
      </c>
      <c r="Q83" s="56">
        <v>220941</v>
      </c>
      <c r="R83" s="56">
        <v>422349</v>
      </c>
      <c r="S83" s="56">
        <v>191083</v>
      </c>
      <c r="T83" s="56">
        <v>171830</v>
      </c>
      <c r="U83" s="77">
        <v>3.28</v>
      </c>
      <c r="V83" s="81">
        <v>17</v>
      </c>
      <c r="W83" s="85">
        <v>6</v>
      </c>
      <c r="X83" s="81">
        <v>102382450</v>
      </c>
      <c r="Y83" s="69" t="s">
        <v>75</v>
      </c>
      <c r="Z83" s="81">
        <v>1473450</v>
      </c>
      <c r="AA83" s="56">
        <v>580450</v>
      </c>
      <c r="AB83" s="56">
        <v>5313350</v>
      </c>
      <c r="AC83" s="56">
        <v>446500</v>
      </c>
      <c r="AD83" s="56">
        <v>2634350</v>
      </c>
      <c r="AE83" s="54" t="s">
        <v>12</v>
      </c>
      <c r="AF83" s="56">
        <v>312550</v>
      </c>
      <c r="AG83" s="56">
        <v>1294850</v>
      </c>
      <c r="AH83" s="56">
        <v>5268700</v>
      </c>
      <c r="AI83" s="56">
        <v>12859200</v>
      </c>
      <c r="AJ83" s="56">
        <v>1116250</v>
      </c>
      <c r="AK83" s="56">
        <v>7322600</v>
      </c>
      <c r="AL83" s="56">
        <v>669750</v>
      </c>
      <c r="AM83" s="56">
        <v>1562750</v>
      </c>
      <c r="AN83" s="56">
        <v>0</v>
      </c>
      <c r="AO83" s="56">
        <v>13127100</v>
      </c>
      <c r="AP83" s="56">
        <v>0</v>
      </c>
      <c r="AQ83" s="56">
        <v>12680600</v>
      </c>
      <c r="AR83" s="56">
        <v>0</v>
      </c>
      <c r="AS83" s="56">
        <v>491150</v>
      </c>
      <c r="AT83" s="56">
        <v>0</v>
      </c>
      <c r="AU83" s="56">
        <v>357200</v>
      </c>
      <c r="AV83" s="56">
        <v>22369650</v>
      </c>
      <c r="AW83" s="56">
        <v>178600</v>
      </c>
      <c r="AX83" s="56">
        <v>4509650</v>
      </c>
      <c r="AY83" s="56">
        <v>133950</v>
      </c>
      <c r="AZ83" s="54" t="s">
        <v>12</v>
      </c>
      <c r="BA83" s="56">
        <v>2679000</v>
      </c>
      <c r="BB83" s="56">
        <v>1875300</v>
      </c>
      <c r="BC83" s="56">
        <v>1071600</v>
      </c>
      <c r="BD83" s="56">
        <v>669750</v>
      </c>
      <c r="BE83" s="56">
        <v>1384150</v>
      </c>
      <c r="BF83" s="89" t="s">
        <v>12</v>
      </c>
    </row>
    <row r="84" spans="1:58" x14ac:dyDescent="0.4">
      <c r="A84" s="63">
        <v>44796</v>
      </c>
      <c r="B84" s="53">
        <v>44796.459605995369</v>
      </c>
      <c r="C84" s="54" t="s">
        <v>89</v>
      </c>
      <c r="D84" s="55" t="s">
        <v>74</v>
      </c>
      <c r="E84" s="69" t="s">
        <v>90</v>
      </c>
      <c r="F84" s="73">
        <v>92.52</v>
      </c>
      <c r="G84" s="57">
        <v>45</v>
      </c>
      <c r="H84" s="57">
        <v>95.5</v>
      </c>
      <c r="I84" s="57">
        <v>91.28</v>
      </c>
      <c r="J84" s="77">
        <v>92.69</v>
      </c>
      <c r="K84" s="81">
        <v>1146500</v>
      </c>
      <c r="L84" s="56">
        <v>3161500</v>
      </c>
      <c r="M84" s="56">
        <v>50</v>
      </c>
      <c r="N84" s="56">
        <v>30</v>
      </c>
      <c r="O84" s="57">
        <v>3.57</v>
      </c>
      <c r="P84" s="56">
        <v>63230</v>
      </c>
      <c r="Q84" s="56">
        <v>225821</v>
      </c>
      <c r="R84" s="56">
        <v>453708</v>
      </c>
      <c r="S84" s="56">
        <v>114650</v>
      </c>
      <c r="T84" s="56">
        <v>136214</v>
      </c>
      <c r="U84" s="77">
        <v>2.76</v>
      </c>
      <c r="V84" s="81">
        <v>14</v>
      </c>
      <c r="W84" s="85">
        <v>10</v>
      </c>
      <c r="X84" s="81">
        <v>106074180</v>
      </c>
      <c r="Y84" s="69" t="s">
        <v>75</v>
      </c>
      <c r="Z84" s="81">
        <v>1526580</v>
      </c>
      <c r="AA84" s="56">
        <v>601380</v>
      </c>
      <c r="AB84" s="56">
        <v>5504940</v>
      </c>
      <c r="AC84" s="56">
        <v>462600</v>
      </c>
      <c r="AD84" s="56">
        <v>2729340</v>
      </c>
      <c r="AE84" s="54" t="s">
        <v>12</v>
      </c>
      <c r="AF84" s="56">
        <v>323820</v>
      </c>
      <c r="AG84" s="56">
        <v>1341540</v>
      </c>
      <c r="AH84" s="56">
        <v>5458680</v>
      </c>
      <c r="AI84" s="56">
        <v>13322880</v>
      </c>
      <c r="AJ84" s="56">
        <v>1156500</v>
      </c>
      <c r="AK84" s="56">
        <v>7586640</v>
      </c>
      <c r="AL84" s="56">
        <v>693900</v>
      </c>
      <c r="AM84" s="56">
        <v>1619100</v>
      </c>
      <c r="AN84" s="56">
        <v>0</v>
      </c>
      <c r="AO84" s="56">
        <v>13600440</v>
      </c>
      <c r="AP84" s="56">
        <v>0</v>
      </c>
      <c r="AQ84" s="56">
        <v>13137840</v>
      </c>
      <c r="AR84" s="56">
        <v>0</v>
      </c>
      <c r="AS84" s="56">
        <v>508860</v>
      </c>
      <c r="AT84" s="56">
        <v>0</v>
      </c>
      <c r="AU84" s="56">
        <v>370080</v>
      </c>
      <c r="AV84" s="56">
        <v>23176260</v>
      </c>
      <c r="AW84" s="56">
        <v>185040</v>
      </c>
      <c r="AX84" s="56">
        <v>4672260</v>
      </c>
      <c r="AY84" s="56">
        <v>138780</v>
      </c>
      <c r="AZ84" s="54" t="s">
        <v>12</v>
      </c>
      <c r="BA84" s="56">
        <v>2775600</v>
      </c>
      <c r="BB84" s="56">
        <v>1942920</v>
      </c>
      <c r="BC84" s="56">
        <v>1110240</v>
      </c>
      <c r="BD84" s="56">
        <v>693900</v>
      </c>
      <c r="BE84" s="56">
        <v>1434060</v>
      </c>
      <c r="BF84" s="89" t="s">
        <v>12</v>
      </c>
    </row>
    <row r="85" spans="1:58" x14ac:dyDescent="0.4">
      <c r="A85" s="63">
        <v>44795</v>
      </c>
      <c r="B85" s="53">
        <v>44795.458684849538</v>
      </c>
      <c r="C85" s="54" t="s">
        <v>89</v>
      </c>
      <c r="D85" s="55" t="s">
        <v>74</v>
      </c>
      <c r="E85" s="69" t="s">
        <v>90</v>
      </c>
      <c r="F85" s="73">
        <v>97.5</v>
      </c>
      <c r="G85" s="57">
        <v>79.930000000000007</v>
      </c>
      <c r="H85" s="57">
        <v>104</v>
      </c>
      <c r="I85" s="57">
        <v>97.42</v>
      </c>
      <c r="J85" s="77">
        <v>97.07</v>
      </c>
      <c r="K85" s="81">
        <v>1146500</v>
      </c>
      <c r="L85" s="56">
        <v>3565500</v>
      </c>
      <c r="M85" s="56">
        <v>67</v>
      </c>
      <c r="N85" s="56">
        <v>21</v>
      </c>
      <c r="O85" s="57">
        <v>4.1900000000000004</v>
      </c>
      <c r="P85" s="56">
        <v>53216</v>
      </c>
      <c r="Q85" s="56">
        <v>222844</v>
      </c>
      <c r="R85" s="56">
        <v>421774</v>
      </c>
      <c r="S85" s="56">
        <v>163786</v>
      </c>
      <c r="T85" s="56">
        <v>140406</v>
      </c>
      <c r="U85" s="77">
        <v>3.11</v>
      </c>
      <c r="V85" s="81">
        <v>16</v>
      </c>
      <c r="W85" s="85">
        <v>7</v>
      </c>
      <c r="X85" s="81">
        <v>111783750</v>
      </c>
      <c r="Y85" s="69" t="s">
        <v>75</v>
      </c>
      <c r="Z85" s="81">
        <v>1608750</v>
      </c>
      <c r="AA85" s="56">
        <v>633750</v>
      </c>
      <c r="AB85" s="56">
        <v>5801250</v>
      </c>
      <c r="AC85" s="56">
        <v>487500</v>
      </c>
      <c r="AD85" s="56">
        <v>2876250</v>
      </c>
      <c r="AE85" s="54" t="s">
        <v>12</v>
      </c>
      <c r="AF85" s="56">
        <v>341250</v>
      </c>
      <c r="AG85" s="56">
        <v>1413750</v>
      </c>
      <c r="AH85" s="56">
        <v>5752500</v>
      </c>
      <c r="AI85" s="56">
        <v>14040000</v>
      </c>
      <c r="AJ85" s="56">
        <v>1218750</v>
      </c>
      <c r="AK85" s="56">
        <v>7995000</v>
      </c>
      <c r="AL85" s="56">
        <v>731250</v>
      </c>
      <c r="AM85" s="56">
        <v>1706250</v>
      </c>
      <c r="AN85" s="56">
        <v>0</v>
      </c>
      <c r="AO85" s="56">
        <v>14332500</v>
      </c>
      <c r="AP85" s="56">
        <v>0</v>
      </c>
      <c r="AQ85" s="56">
        <v>13845000</v>
      </c>
      <c r="AR85" s="56">
        <v>0</v>
      </c>
      <c r="AS85" s="56">
        <v>536250</v>
      </c>
      <c r="AT85" s="56">
        <v>0</v>
      </c>
      <c r="AU85" s="56">
        <v>390000</v>
      </c>
      <c r="AV85" s="56">
        <v>24423750</v>
      </c>
      <c r="AW85" s="56">
        <v>195000</v>
      </c>
      <c r="AX85" s="56">
        <v>4923750</v>
      </c>
      <c r="AY85" s="56">
        <v>146250</v>
      </c>
      <c r="AZ85" s="54" t="s">
        <v>12</v>
      </c>
      <c r="BA85" s="56">
        <v>2925000</v>
      </c>
      <c r="BB85" s="56">
        <v>2047500</v>
      </c>
      <c r="BC85" s="56">
        <v>1170000</v>
      </c>
      <c r="BD85" s="56">
        <v>731250</v>
      </c>
      <c r="BE85" s="56">
        <v>1511250</v>
      </c>
      <c r="BF85" s="89" t="s">
        <v>12</v>
      </c>
    </row>
    <row r="86" spans="1:58" x14ac:dyDescent="0.4">
      <c r="A86" s="63">
        <v>44792</v>
      </c>
      <c r="B86" s="53">
        <v>44792.458772812497</v>
      </c>
      <c r="C86" s="54" t="s">
        <v>91</v>
      </c>
      <c r="D86" s="55" t="s">
        <v>74</v>
      </c>
      <c r="E86" s="69" t="s">
        <v>90</v>
      </c>
      <c r="F86" s="73">
        <v>96.87</v>
      </c>
      <c r="G86" s="57">
        <v>45</v>
      </c>
      <c r="H86" s="57">
        <v>99</v>
      </c>
      <c r="I86" s="57">
        <v>94.69</v>
      </c>
      <c r="J86" s="77">
        <v>95.65</v>
      </c>
      <c r="K86" s="81">
        <v>972000</v>
      </c>
      <c r="L86" s="56">
        <v>2810000</v>
      </c>
      <c r="M86" s="56">
        <v>53</v>
      </c>
      <c r="N86" s="56">
        <v>5</v>
      </c>
      <c r="O86" s="57">
        <v>3.12</v>
      </c>
      <c r="P86" s="56">
        <v>53019</v>
      </c>
      <c r="Q86" s="56">
        <v>165294</v>
      </c>
      <c r="R86" s="56">
        <v>228470</v>
      </c>
      <c r="S86" s="56">
        <v>324000</v>
      </c>
      <c r="T86" s="56">
        <v>301957</v>
      </c>
      <c r="U86" s="77">
        <v>2.89</v>
      </c>
      <c r="V86" s="81">
        <v>17</v>
      </c>
      <c r="W86" s="85">
        <v>3</v>
      </c>
      <c r="X86" s="81">
        <v>94157640</v>
      </c>
      <c r="Y86" s="69" t="s">
        <v>77</v>
      </c>
      <c r="Z86" s="87" t="s">
        <v>12</v>
      </c>
      <c r="AA86" s="54" t="s">
        <v>12</v>
      </c>
      <c r="AB86" s="54" t="s">
        <v>12</v>
      </c>
      <c r="AC86" s="54" t="s">
        <v>12</v>
      </c>
      <c r="AD86" s="54" t="s">
        <v>12</v>
      </c>
      <c r="AE86" s="56">
        <v>94157640</v>
      </c>
      <c r="AF86" s="54" t="s">
        <v>12</v>
      </c>
      <c r="AG86" s="54" t="s">
        <v>12</v>
      </c>
      <c r="AH86" s="54" t="s">
        <v>12</v>
      </c>
      <c r="AI86" s="54" t="s">
        <v>12</v>
      </c>
      <c r="AJ86" s="54" t="s">
        <v>12</v>
      </c>
      <c r="AK86" s="54" t="s">
        <v>12</v>
      </c>
      <c r="AL86" s="54" t="s">
        <v>12</v>
      </c>
      <c r="AM86" s="54" t="s">
        <v>12</v>
      </c>
      <c r="AN86" s="54" t="s">
        <v>12</v>
      </c>
      <c r="AO86" s="54" t="s">
        <v>12</v>
      </c>
      <c r="AP86" s="54" t="s">
        <v>12</v>
      </c>
      <c r="AQ86" s="54" t="s">
        <v>12</v>
      </c>
      <c r="AR86" s="54" t="s">
        <v>12</v>
      </c>
      <c r="AS86" s="54" t="s">
        <v>12</v>
      </c>
      <c r="AT86" s="54" t="s">
        <v>12</v>
      </c>
      <c r="AU86" s="54" t="s">
        <v>12</v>
      </c>
      <c r="AV86" s="54" t="s">
        <v>12</v>
      </c>
      <c r="AW86" s="54" t="s">
        <v>12</v>
      </c>
      <c r="AX86" s="54" t="s">
        <v>12</v>
      </c>
      <c r="AY86" s="54" t="s">
        <v>12</v>
      </c>
      <c r="AZ86" s="54" t="s">
        <v>12</v>
      </c>
      <c r="BA86" s="54" t="s">
        <v>12</v>
      </c>
      <c r="BB86" s="54" t="s">
        <v>12</v>
      </c>
      <c r="BC86" s="54" t="s">
        <v>12</v>
      </c>
      <c r="BD86" s="54" t="s">
        <v>12</v>
      </c>
      <c r="BE86" s="54" t="s">
        <v>12</v>
      </c>
      <c r="BF86" s="89" t="s">
        <v>12</v>
      </c>
    </row>
    <row r="87" spans="1:58" x14ac:dyDescent="0.4">
      <c r="A87" s="63">
        <v>44791</v>
      </c>
      <c r="B87" s="53">
        <v>44791.458657824071</v>
      </c>
      <c r="C87" s="54" t="s">
        <v>89</v>
      </c>
      <c r="D87" s="55" t="s">
        <v>74</v>
      </c>
      <c r="E87" s="69" t="s">
        <v>90</v>
      </c>
      <c r="F87" s="73">
        <v>94</v>
      </c>
      <c r="G87" s="57">
        <v>45</v>
      </c>
      <c r="H87" s="57">
        <v>97</v>
      </c>
      <c r="I87" s="57">
        <v>91.93</v>
      </c>
      <c r="J87" s="77">
        <v>93.4</v>
      </c>
      <c r="K87" s="81">
        <v>1146500</v>
      </c>
      <c r="L87" s="56">
        <v>4051500</v>
      </c>
      <c r="M87" s="56">
        <v>75</v>
      </c>
      <c r="N87" s="56">
        <v>15</v>
      </c>
      <c r="O87" s="57">
        <v>4.17</v>
      </c>
      <c r="P87" s="56">
        <v>54020</v>
      </c>
      <c r="Q87" s="56">
        <v>225083</v>
      </c>
      <c r="R87" s="56">
        <v>400757</v>
      </c>
      <c r="S87" s="56">
        <v>114650</v>
      </c>
      <c r="T87" s="56">
        <v>139254</v>
      </c>
      <c r="U87" s="77">
        <v>3.53</v>
      </c>
      <c r="V87" s="81">
        <v>18</v>
      </c>
      <c r="W87" s="85">
        <v>10</v>
      </c>
      <c r="X87" s="81">
        <v>107771000</v>
      </c>
      <c r="Y87" s="69" t="s">
        <v>75</v>
      </c>
      <c r="Z87" s="81">
        <v>1551000</v>
      </c>
      <c r="AA87" s="56">
        <v>611000</v>
      </c>
      <c r="AB87" s="56">
        <v>5593000</v>
      </c>
      <c r="AC87" s="56">
        <v>470000</v>
      </c>
      <c r="AD87" s="56">
        <v>2773000</v>
      </c>
      <c r="AE87" s="54" t="s">
        <v>12</v>
      </c>
      <c r="AF87" s="56">
        <v>329000</v>
      </c>
      <c r="AG87" s="56">
        <v>1363000</v>
      </c>
      <c r="AH87" s="56">
        <v>5546000</v>
      </c>
      <c r="AI87" s="56">
        <v>13536000</v>
      </c>
      <c r="AJ87" s="56">
        <v>1175000</v>
      </c>
      <c r="AK87" s="56">
        <v>7708000</v>
      </c>
      <c r="AL87" s="56">
        <v>705000</v>
      </c>
      <c r="AM87" s="56">
        <v>1645000</v>
      </c>
      <c r="AN87" s="56">
        <v>0</v>
      </c>
      <c r="AO87" s="56">
        <v>13818000</v>
      </c>
      <c r="AP87" s="56">
        <v>0</v>
      </c>
      <c r="AQ87" s="56">
        <v>13348000</v>
      </c>
      <c r="AR87" s="56">
        <v>0</v>
      </c>
      <c r="AS87" s="56">
        <v>517000</v>
      </c>
      <c r="AT87" s="56">
        <v>0</v>
      </c>
      <c r="AU87" s="56">
        <v>376000</v>
      </c>
      <c r="AV87" s="56">
        <v>23547000</v>
      </c>
      <c r="AW87" s="56">
        <v>188000</v>
      </c>
      <c r="AX87" s="56">
        <v>4747000</v>
      </c>
      <c r="AY87" s="56">
        <v>141000</v>
      </c>
      <c r="AZ87" s="54" t="s">
        <v>12</v>
      </c>
      <c r="BA87" s="56">
        <v>2820000</v>
      </c>
      <c r="BB87" s="56">
        <v>1974000</v>
      </c>
      <c r="BC87" s="56">
        <v>1128000</v>
      </c>
      <c r="BD87" s="56">
        <v>705000</v>
      </c>
      <c r="BE87" s="56">
        <v>1457000</v>
      </c>
      <c r="BF87" s="89" t="s">
        <v>12</v>
      </c>
    </row>
    <row r="88" spans="1:58" x14ac:dyDescent="0.4">
      <c r="A88" s="63">
        <v>44790</v>
      </c>
      <c r="B88" s="53">
        <v>44790.458658993055</v>
      </c>
      <c r="C88" s="54" t="s">
        <v>92</v>
      </c>
      <c r="D88" s="55" t="s">
        <v>74</v>
      </c>
      <c r="E88" s="69" t="s">
        <v>90</v>
      </c>
      <c r="F88" s="73">
        <v>94.07</v>
      </c>
      <c r="G88" s="57">
        <v>45</v>
      </c>
      <c r="H88" s="57">
        <v>97</v>
      </c>
      <c r="I88" s="57">
        <v>92.2</v>
      </c>
      <c r="J88" s="77">
        <v>94.04</v>
      </c>
      <c r="K88" s="81">
        <v>1329000</v>
      </c>
      <c r="L88" s="56">
        <v>3595500</v>
      </c>
      <c r="M88" s="56">
        <v>53</v>
      </c>
      <c r="N88" s="56">
        <v>26</v>
      </c>
      <c r="O88" s="57">
        <v>3.12</v>
      </c>
      <c r="P88" s="56">
        <v>67840</v>
      </c>
      <c r="Q88" s="56">
        <v>211500</v>
      </c>
      <c r="R88" s="56">
        <v>417103</v>
      </c>
      <c r="S88" s="56">
        <v>120818</v>
      </c>
      <c r="T88" s="56">
        <v>146852</v>
      </c>
      <c r="U88" s="77">
        <v>2.71</v>
      </c>
      <c r="V88" s="81">
        <v>17</v>
      </c>
      <c r="W88" s="85">
        <v>11</v>
      </c>
      <c r="X88" s="81">
        <v>125019030</v>
      </c>
      <c r="Y88" s="69" t="s">
        <v>79</v>
      </c>
      <c r="Z88" s="87" t="s">
        <v>12</v>
      </c>
      <c r="AA88" s="54" t="s">
        <v>12</v>
      </c>
      <c r="AB88" s="54" t="s">
        <v>12</v>
      </c>
      <c r="AC88" s="54" t="s">
        <v>12</v>
      </c>
      <c r="AD88" s="54" t="s">
        <v>12</v>
      </c>
      <c r="AE88" s="54" t="s">
        <v>12</v>
      </c>
      <c r="AF88" s="54" t="s">
        <v>12</v>
      </c>
      <c r="AG88" s="54" t="s">
        <v>12</v>
      </c>
      <c r="AH88" s="54" t="s">
        <v>12</v>
      </c>
      <c r="AI88" s="54" t="s">
        <v>12</v>
      </c>
      <c r="AJ88" s="54" t="s">
        <v>12</v>
      </c>
      <c r="AK88" s="54" t="s">
        <v>12</v>
      </c>
      <c r="AL88" s="54" t="s">
        <v>12</v>
      </c>
      <c r="AM88" s="54" t="s">
        <v>12</v>
      </c>
      <c r="AN88" s="54" t="s">
        <v>12</v>
      </c>
      <c r="AO88" s="54" t="s">
        <v>12</v>
      </c>
      <c r="AP88" s="54" t="s">
        <v>12</v>
      </c>
      <c r="AQ88" s="54" t="s">
        <v>12</v>
      </c>
      <c r="AR88" s="54" t="s">
        <v>12</v>
      </c>
      <c r="AS88" s="54" t="s">
        <v>12</v>
      </c>
      <c r="AT88" s="54" t="s">
        <v>12</v>
      </c>
      <c r="AU88" s="54" t="s">
        <v>12</v>
      </c>
      <c r="AV88" s="54" t="s">
        <v>12</v>
      </c>
      <c r="AW88" s="54" t="s">
        <v>12</v>
      </c>
      <c r="AX88" s="54" t="s">
        <v>12</v>
      </c>
      <c r="AY88" s="54" t="s">
        <v>12</v>
      </c>
      <c r="AZ88" s="56">
        <v>125019030</v>
      </c>
      <c r="BA88" s="54" t="s">
        <v>12</v>
      </c>
      <c r="BB88" s="54" t="s">
        <v>12</v>
      </c>
      <c r="BC88" s="54" t="s">
        <v>12</v>
      </c>
      <c r="BD88" s="54" t="s">
        <v>12</v>
      </c>
      <c r="BE88" s="54" t="s">
        <v>12</v>
      </c>
      <c r="BF88" s="89" t="s">
        <v>12</v>
      </c>
    </row>
    <row r="89" spans="1:58" x14ac:dyDescent="0.4">
      <c r="A89" s="63">
        <v>44789</v>
      </c>
      <c r="B89" s="53">
        <v>44789.458868472226</v>
      </c>
      <c r="C89" s="54" t="s">
        <v>89</v>
      </c>
      <c r="D89" s="55" t="s">
        <v>74</v>
      </c>
      <c r="E89" s="69" t="s">
        <v>90</v>
      </c>
      <c r="F89" s="73">
        <v>90.64</v>
      </c>
      <c r="G89" s="57">
        <v>45</v>
      </c>
      <c r="H89" s="57">
        <v>94</v>
      </c>
      <c r="I89" s="57">
        <v>88.96</v>
      </c>
      <c r="J89" s="77">
        <v>90.16</v>
      </c>
      <c r="K89" s="81">
        <v>1146500</v>
      </c>
      <c r="L89" s="56">
        <v>3591500</v>
      </c>
      <c r="M89" s="56">
        <v>52</v>
      </c>
      <c r="N89" s="56">
        <v>12</v>
      </c>
      <c r="O89" s="57">
        <v>3.47</v>
      </c>
      <c r="P89" s="56">
        <v>69067</v>
      </c>
      <c r="Q89" s="56">
        <v>239433</v>
      </c>
      <c r="R89" s="56">
        <v>436141</v>
      </c>
      <c r="S89" s="56">
        <v>143313</v>
      </c>
      <c r="T89" s="56">
        <v>151627</v>
      </c>
      <c r="U89" s="77">
        <v>3.13</v>
      </c>
      <c r="V89" s="81">
        <v>15</v>
      </c>
      <c r="W89" s="85">
        <v>8</v>
      </c>
      <c r="X89" s="81">
        <v>103918760</v>
      </c>
      <c r="Y89" s="69" t="s">
        <v>75</v>
      </c>
      <c r="Z89" s="81">
        <v>1495560</v>
      </c>
      <c r="AA89" s="56">
        <v>589160</v>
      </c>
      <c r="AB89" s="56">
        <v>5393080</v>
      </c>
      <c r="AC89" s="56">
        <v>453200</v>
      </c>
      <c r="AD89" s="56">
        <v>2673880</v>
      </c>
      <c r="AE89" s="54" t="s">
        <v>12</v>
      </c>
      <c r="AF89" s="56">
        <v>317240</v>
      </c>
      <c r="AG89" s="56">
        <v>1314280</v>
      </c>
      <c r="AH89" s="56">
        <v>5347760</v>
      </c>
      <c r="AI89" s="56">
        <v>13052160</v>
      </c>
      <c r="AJ89" s="56">
        <v>1133000</v>
      </c>
      <c r="AK89" s="56">
        <v>7432480</v>
      </c>
      <c r="AL89" s="56">
        <v>679800</v>
      </c>
      <c r="AM89" s="56">
        <v>1586200</v>
      </c>
      <c r="AN89" s="56">
        <v>0</v>
      </c>
      <c r="AO89" s="56">
        <v>13324080</v>
      </c>
      <c r="AP89" s="56">
        <v>0</v>
      </c>
      <c r="AQ89" s="56">
        <v>12870880</v>
      </c>
      <c r="AR89" s="56">
        <v>0</v>
      </c>
      <c r="AS89" s="56">
        <v>498520</v>
      </c>
      <c r="AT89" s="56">
        <v>0</v>
      </c>
      <c r="AU89" s="56">
        <v>362560</v>
      </c>
      <c r="AV89" s="56">
        <v>22705320</v>
      </c>
      <c r="AW89" s="56">
        <v>181280</v>
      </c>
      <c r="AX89" s="56">
        <v>4577320</v>
      </c>
      <c r="AY89" s="56">
        <v>135960</v>
      </c>
      <c r="AZ89" s="54" t="s">
        <v>12</v>
      </c>
      <c r="BA89" s="56">
        <v>2719200</v>
      </c>
      <c r="BB89" s="56">
        <v>1903440</v>
      </c>
      <c r="BC89" s="56">
        <v>1087680</v>
      </c>
      <c r="BD89" s="56">
        <v>679800</v>
      </c>
      <c r="BE89" s="56">
        <v>1404920</v>
      </c>
      <c r="BF89" s="89" t="s">
        <v>12</v>
      </c>
    </row>
    <row r="90" spans="1:58" x14ac:dyDescent="0.4">
      <c r="A90" s="63">
        <v>44788</v>
      </c>
      <c r="B90" s="53">
        <v>44788.45887490741</v>
      </c>
      <c r="C90" s="54" t="s">
        <v>89</v>
      </c>
      <c r="D90" s="55" t="s">
        <v>74</v>
      </c>
      <c r="E90" s="69" t="s">
        <v>90</v>
      </c>
      <c r="F90" s="73">
        <v>89.5</v>
      </c>
      <c r="G90" s="57">
        <v>45</v>
      </c>
      <c r="H90" s="57">
        <v>92.3</v>
      </c>
      <c r="I90" s="57">
        <v>88.08</v>
      </c>
      <c r="J90" s="77">
        <v>89.01</v>
      </c>
      <c r="K90" s="81">
        <v>1146500</v>
      </c>
      <c r="L90" s="56">
        <v>3180000</v>
      </c>
      <c r="M90" s="56">
        <v>60</v>
      </c>
      <c r="N90" s="56">
        <v>12</v>
      </c>
      <c r="O90" s="57">
        <v>3.53</v>
      </c>
      <c r="P90" s="56">
        <v>53000</v>
      </c>
      <c r="Q90" s="56">
        <v>187059</v>
      </c>
      <c r="R90" s="56">
        <v>255535</v>
      </c>
      <c r="S90" s="56">
        <v>163786</v>
      </c>
      <c r="T90" s="56">
        <v>87284</v>
      </c>
      <c r="U90" s="77">
        <v>2.77</v>
      </c>
      <c r="V90" s="81">
        <v>17</v>
      </c>
      <c r="W90" s="85">
        <v>7</v>
      </c>
      <c r="X90" s="81">
        <v>102611750</v>
      </c>
      <c r="Y90" s="69" t="s">
        <v>75</v>
      </c>
      <c r="Z90" s="81">
        <v>1476750</v>
      </c>
      <c r="AA90" s="56">
        <v>581750</v>
      </c>
      <c r="AB90" s="56">
        <v>5325250</v>
      </c>
      <c r="AC90" s="56">
        <v>447500</v>
      </c>
      <c r="AD90" s="56">
        <v>2640250</v>
      </c>
      <c r="AE90" s="54" t="s">
        <v>12</v>
      </c>
      <c r="AF90" s="56">
        <v>313250</v>
      </c>
      <c r="AG90" s="56">
        <v>1297750</v>
      </c>
      <c r="AH90" s="56">
        <v>5280500</v>
      </c>
      <c r="AI90" s="56">
        <v>12888000</v>
      </c>
      <c r="AJ90" s="56">
        <v>1118750</v>
      </c>
      <c r="AK90" s="56">
        <v>7339000</v>
      </c>
      <c r="AL90" s="56">
        <v>671250</v>
      </c>
      <c r="AM90" s="56">
        <v>1566250</v>
      </c>
      <c r="AN90" s="56">
        <v>0</v>
      </c>
      <c r="AO90" s="56">
        <v>13156500</v>
      </c>
      <c r="AP90" s="56">
        <v>0</v>
      </c>
      <c r="AQ90" s="56">
        <v>12709000</v>
      </c>
      <c r="AR90" s="56">
        <v>0</v>
      </c>
      <c r="AS90" s="56">
        <v>492250</v>
      </c>
      <c r="AT90" s="56">
        <v>0</v>
      </c>
      <c r="AU90" s="56">
        <v>358000</v>
      </c>
      <c r="AV90" s="56">
        <v>22419750</v>
      </c>
      <c r="AW90" s="56">
        <v>179000</v>
      </c>
      <c r="AX90" s="56">
        <v>4519750</v>
      </c>
      <c r="AY90" s="56">
        <v>134250</v>
      </c>
      <c r="AZ90" s="54" t="s">
        <v>12</v>
      </c>
      <c r="BA90" s="56">
        <v>2685000</v>
      </c>
      <c r="BB90" s="56">
        <v>1879500</v>
      </c>
      <c r="BC90" s="56">
        <v>1074000</v>
      </c>
      <c r="BD90" s="56">
        <v>671250</v>
      </c>
      <c r="BE90" s="56">
        <v>1387250</v>
      </c>
      <c r="BF90" s="89" t="s">
        <v>12</v>
      </c>
    </row>
    <row r="91" spans="1:58" x14ac:dyDescent="0.4">
      <c r="A91" s="63">
        <v>44785</v>
      </c>
      <c r="B91" s="53">
        <v>44785.45878552083</v>
      </c>
      <c r="C91" s="54" t="s">
        <v>91</v>
      </c>
      <c r="D91" s="55" t="s">
        <v>74</v>
      </c>
      <c r="E91" s="69" t="s">
        <v>90</v>
      </c>
      <c r="F91" s="73">
        <v>87.3</v>
      </c>
      <c r="G91" s="57">
        <v>45</v>
      </c>
      <c r="H91" s="57">
        <v>90</v>
      </c>
      <c r="I91" s="57">
        <v>85.79</v>
      </c>
      <c r="J91" s="77">
        <v>86.84</v>
      </c>
      <c r="K91" s="81">
        <v>972000</v>
      </c>
      <c r="L91" s="56">
        <v>3204000</v>
      </c>
      <c r="M91" s="56">
        <v>70</v>
      </c>
      <c r="N91" s="56">
        <v>18</v>
      </c>
      <c r="O91" s="57">
        <v>3.89</v>
      </c>
      <c r="P91" s="56">
        <v>45771</v>
      </c>
      <c r="Q91" s="56">
        <v>178000</v>
      </c>
      <c r="R91" s="56">
        <v>195315</v>
      </c>
      <c r="S91" s="56">
        <v>121500</v>
      </c>
      <c r="T91" s="56">
        <v>79289</v>
      </c>
      <c r="U91" s="77">
        <v>3.3</v>
      </c>
      <c r="V91" s="81">
        <v>18</v>
      </c>
      <c r="W91" s="85">
        <v>8</v>
      </c>
      <c r="X91" s="81">
        <v>84855600</v>
      </c>
      <c r="Y91" s="69" t="s">
        <v>77</v>
      </c>
      <c r="Z91" s="87" t="s">
        <v>12</v>
      </c>
      <c r="AA91" s="54" t="s">
        <v>12</v>
      </c>
      <c r="AB91" s="54" t="s">
        <v>12</v>
      </c>
      <c r="AC91" s="54" t="s">
        <v>12</v>
      </c>
      <c r="AD91" s="54" t="s">
        <v>12</v>
      </c>
      <c r="AE91" s="56">
        <v>84855600</v>
      </c>
      <c r="AF91" s="54" t="s">
        <v>12</v>
      </c>
      <c r="AG91" s="54" t="s">
        <v>12</v>
      </c>
      <c r="AH91" s="54" t="s">
        <v>12</v>
      </c>
      <c r="AI91" s="54" t="s">
        <v>12</v>
      </c>
      <c r="AJ91" s="54" t="s">
        <v>12</v>
      </c>
      <c r="AK91" s="54" t="s">
        <v>12</v>
      </c>
      <c r="AL91" s="54" t="s">
        <v>12</v>
      </c>
      <c r="AM91" s="54" t="s">
        <v>12</v>
      </c>
      <c r="AN91" s="54" t="s">
        <v>12</v>
      </c>
      <c r="AO91" s="54" t="s">
        <v>12</v>
      </c>
      <c r="AP91" s="54" t="s">
        <v>12</v>
      </c>
      <c r="AQ91" s="54" t="s">
        <v>12</v>
      </c>
      <c r="AR91" s="54" t="s">
        <v>12</v>
      </c>
      <c r="AS91" s="54" t="s">
        <v>12</v>
      </c>
      <c r="AT91" s="54" t="s">
        <v>12</v>
      </c>
      <c r="AU91" s="54" t="s">
        <v>12</v>
      </c>
      <c r="AV91" s="54" t="s">
        <v>12</v>
      </c>
      <c r="AW91" s="54" t="s">
        <v>12</v>
      </c>
      <c r="AX91" s="54" t="s">
        <v>12</v>
      </c>
      <c r="AY91" s="54" t="s">
        <v>12</v>
      </c>
      <c r="AZ91" s="54" t="s">
        <v>12</v>
      </c>
      <c r="BA91" s="54" t="s">
        <v>12</v>
      </c>
      <c r="BB91" s="54" t="s">
        <v>12</v>
      </c>
      <c r="BC91" s="54" t="s">
        <v>12</v>
      </c>
      <c r="BD91" s="54" t="s">
        <v>12</v>
      </c>
      <c r="BE91" s="54" t="s">
        <v>12</v>
      </c>
      <c r="BF91" s="89" t="s">
        <v>12</v>
      </c>
    </row>
    <row r="92" spans="1:58" x14ac:dyDescent="0.4">
      <c r="A92" s="63">
        <v>44784</v>
      </c>
      <c r="B92" s="53">
        <v>44784.458721493058</v>
      </c>
      <c r="C92" s="54" t="s">
        <v>89</v>
      </c>
      <c r="D92" s="55" t="s">
        <v>74</v>
      </c>
      <c r="E92" s="69" t="s">
        <v>90</v>
      </c>
      <c r="F92" s="73">
        <v>86.35</v>
      </c>
      <c r="G92" s="57">
        <v>45</v>
      </c>
      <c r="H92" s="57">
        <v>89.75</v>
      </c>
      <c r="I92" s="57">
        <v>84.6</v>
      </c>
      <c r="J92" s="77">
        <v>86.05</v>
      </c>
      <c r="K92" s="81">
        <v>1146500</v>
      </c>
      <c r="L92" s="56">
        <v>3863000</v>
      </c>
      <c r="M92" s="56">
        <v>65</v>
      </c>
      <c r="N92" s="56">
        <v>18</v>
      </c>
      <c r="O92" s="57">
        <v>2.95</v>
      </c>
      <c r="P92" s="56">
        <v>59431</v>
      </c>
      <c r="Q92" s="56">
        <v>175591</v>
      </c>
      <c r="R92" s="56">
        <v>370905</v>
      </c>
      <c r="S92" s="56">
        <v>95542</v>
      </c>
      <c r="T92" s="56">
        <v>148307</v>
      </c>
      <c r="U92" s="77">
        <v>3.37</v>
      </c>
      <c r="V92" s="81">
        <v>22</v>
      </c>
      <c r="W92" s="85">
        <v>12</v>
      </c>
      <c r="X92" s="81">
        <v>99000275</v>
      </c>
      <c r="Y92" s="69" t="s">
        <v>75</v>
      </c>
      <c r="Z92" s="81">
        <v>1424775</v>
      </c>
      <c r="AA92" s="56">
        <v>561275</v>
      </c>
      <c r="AB92" s="56">
        <v>5137825</v>
      </c>
      <c r="AC92" s="56">
        <v>431750</v>
      </c>
      <c r="AD92" s="56">
        <v>2547325</v>
      </c>
      <c r="AE92" s="54" t="s">
        <v>12</v>
      </c>
      <c r="AF92" s="56">
        <v>302225</v>
      </c>
      <c r="AG92" s="56">
        <v>1252075</v>
      </c>
      <c r="AH92" s="56">
        <v>5094650</v>
      </c>
      <c r="AI92" s="56">
        <v>12434400</v>
      </c>
      <c r="AJ92" s="56">
        <v>1079375</v>
      </c>
      <c r="AK92" s="56">
        <v>7080700</v>
      </c>
      <c r="AL92" s="56">
        <v>647625</v>
      </c>
      <c r="AM92" s="56">
        <v>1511125</v>
      </c>
      <c r="AN92" s="56">
        <v>0</v>
      </c>
      <c r="AO92" s="56">
        <v>12693450</v>
      </c>
      <c r="AP92" s="56">
        <v>0</v>
      </c>
      <c r="AQ92" s="56">
        <v>12261700</v>
      </c>
      <c r="AR92" s="56">
        <v>0</v>
      </c>
      <c r="AS92" s="56">
        <v>474925</v>
      </c>
      <c r="AT92" s="56">
        <v>0</v>
      </c>
      <c r="AU92" s="56">
        <v>345400</v>
      </c>
      <c r="AV92" s="56">
        <v>21630675</v>
      </c>
      <c r="AW92" s="56">
        <v>172700</v>
      </c>
      <c r="AX92" s="56">
        <v>4360675</v>
      </c>
      <c r="AY92" s="56">
        <v>129525</v>
      </c>
      <c r="AZ92" s="54" t="s">
        <v>12</v>
      </c>
      <c r="BA92" s="56">
        <v>2590500</v>
      </c>
      <c r="BB92" s="56">
        <v>1813350</v>
      </c>
      <c r="BC92" s="56">
        <v>1036200</v>
      </c>
      <c r="BD92" s="56">
        <v>647625</v>
      </c>
      <c r="BE92" s="56">
        <v>1338425</v>
      </c>
      <c r="BF92" s="89" t="s">
        <v>12</v>
      </c>
    </row>
    <row r="93" spans="1:58" x14ac:dyDescent="0.4">
      <c r="A93" s="63">
        <v>44782</v>
      </c>
      <c r="B93" s="53">
        <v>44782.459196400465</v>
      </c>
      <c r="C93" s="54" t="s">
        <v>89</v>
      </c>
      <c r="D93" s="55" t="s">
        <v>74</v>
      </c>
      <c r="E93" s="69" t="s">
        <v>90</v>
      </c>
      <c r="F93" s="73">
        <v>84.06</v>
      </c>
      <c r="G93" s="57">
        <v>68.569999999999993</v>
      </c>
      <c r="H93" s="57">
        <v>88</v>
      </c>
      <c r="I93" s="57">
        <v>83.52</v>
      </c>
      <c r="J93" s="77">
        <v>83.38</v>
      </c>
      <c r="K93" s="81">
        <v>1146500</v>
      </c>
      <c r="L93" s="56">
        <v>4066000</v>
      </c>
      <c r="M93" s="56">
        <v>70</v>
      </c>
      <c r="N93" s="56">
        <v>15</v>
      </c>
      <c r="O93" s="57">
        <v>3.89</v>
      </c>
      <c r="P93" s="56">
        <v>58086</v>
      </c>
      <c r="Q93" s="56">
        <v>225889</v>
      </c>
      <c r="R93" s="56">
        <v>465483</v>
      </c>
      <c r="S93" s="56">
        <v>229300</v>
      </c>
      <c r="T93" s="56">
        <v>101667</v>
      </c>
      <c r="U93" s="77">
        <v>3.55</v>
      </c>
      <c r="V93" s="81">
        <v>18</v>
      </c>
      <c r="W93" s="85">
        <v>5</v>
      </c>
      <c r="X93" s="81">
        <v>96374790</v>
      </c>
      <c r="Y93" s="69" t="s">
        <v>75</v>
      </c>
      <c r="Z93" s="81">
        <v>1386990</v>
      </c>
      <c r="AA93" s="56">
        <v>546390</v>
      </c>
      <c r="AB93" s="56">
        <v>5001570</v>
      </c>
      <c r="AC93" s="56">
        <v>420300</v>
      </c>
      <c r="AD93" s="56">
        <v>2479770</v>
      </c>
      <c r="AE93" s="54" t="s">
        <v>12</v>
      </c>
      <c r="AF93" s="56">
        <v>294210</v>
      </c>
      <c r="AG93" s="56">
        <v>1218870</v>
      </c>
      <c r="AH93" s="56">
        <v>4959540</v>
      </c>
      <c r="AI93" s="56">
        <v>12104640</v>
      </c>
      <c r="AJ93" s="56">
        <v>1050750</v>
      </c>
      <c r="AK93" s="56">
        <v>6892920</v>
      </c>
      <c r="AL93" s="56">
        <v>630450</v>
      </c>
      <c r="AM93" s="56">
        <v>1471050</v>
      </c>
      <c r="AN93" s="56">
        <v>0</v>
      </c>
      <c r="AO93" s="56">
        <v>12356820</v>
      </c>
      <c r="AP93" s="56">
        <v>0</v>
      </c>
      <c r="AQ93" s="56">
        <v>11936520</v>
      </c>
      <c r="AR93" s="56">
        <v>0</v>
      </c>
      <c r="AS93" s="56">
        <v>462330</v>
      </c>
      <c r="AT93" s="56">
        <v>0</v>
      </c>
      <c r="AU93" s="56">
        <v>336240</v>
      </c>
      <c r="AV93" s="56">
        <v>21057030</v>
      </c>
      <c r="AW93" s="56">
        <v>168120</v>
      </c>
      <c r="AX93" s="56">
        <v>4245030</v>
      </c>
      <c r="AY93" s="56">
        <v>126090</v>
      </c>
      <c r="AZ93" s="54" t="s">
        <v>12</v>
      </c>
      <c r="BA93" s="56">
        <v>2521800</v>
      </c>
      <c r="BB93" s="56">
        <v>1765260</v>
      </c>
      <c r="BC93" s="56">
        <v>1008720</v>
      </c>
      <c r="BD93" s="56">
        <v>630450</v>
      </c>
      <c r="BE93" s="56">
        <v>1302930</v>
      </c>
      <c r="BF93" s="89" t="s">
        <v>12</v>
      </c>
    </row>
    <row r="94" spans="1:58" x14ac:dyDescent="0.4">
      <c r="A94" s="63">
        <v>44781</v>
      </c>
      <c r="B94" s="53">
        <v>44781.458736909721</v>
      </c>
      <c r="C94" s="54" t="s">
        <v>89</v>
      </c>
      <c r="D94" s="55" t="s">
        <v>74</v>
      </c>
      <c r="E94" s="69" t="s">
        <v>90</v>
      </c>
      <c r="F94" s="73">
        <v>84.6</v>
      </c>
      <c r="G94" s="57">
        <v>45</v>
      </c>
      <c r="H94" s="57">
        <v>88.6</v>
      </c>
      <c r="I94" s="57">
        <v>83.7</v>
      </c>
      <c r="J94" s="77">
        <v>84.4</v>
      </c>
      <c r="K94" s="81">
        <v>1146500</v>
      </c>
      <c r="L94" s="56">
        <v>4141000</v>
      </c>
      <c r="M94" s="56">
        <v>72</v>
      </c>
      <c r="N94" s="56">
        <v>25</v>
      </c>
      <c r="O94" s="57">
        <v>4</v>
      </c>
      <c r="P94" s="56">
        <v>57514</v>
      </c>
      <c r="Q94" s="56">
        <v>230056</v>
      </c>
      <c r="R94" s="56">
        <v>468257</v>
      </c>
      <c r="S94" s="56">
        <v>114650</v>
      </c>
      <c r="T94" s="56">
        <v>149911</v>
      </c>
      <c r="U94" s="77">
        <v>3.61</v>
      </c>
      <c r="V94" s="81">
        <v>18</v>
      </c>
      <c r="W94" s="85">
        <v>10</v>
      </c>
      <c r="X94" s="81">
        <v>96993900</v>
      </c>
      <c r="Y94" s="69" t="s">
        <v>75</v>
      </c>
      <c r="Z94" s="81">
        <v>1395900</v>
      </c>
      <c r="AA94" s="56">
        <v>549900</v>
      </c>
      <c r="AB94" s="56">
        <v>5033700</v>
      </c>
      <c r="AC94" s="56">
        <v>423000</v>
      </c>
      <c r="AD94" s="56">
        <v>2495700</v>
      </c>
      <c r="AE94" s="54" t="s">
        <v>12</v>
      </c>
      <c r="AF94" s="56">
        <v>296100</v>
      </c>
      <c r="AG94" s="56">
        <v>1226700</v>
      </c>
      <c r="AH94" s="56">
        <v>4991400</v>
      </c>
      <c r="AI94" s="56">
        <v>12182400</v>
      </c>
      <c r="AJ94" s="56">
        <v>1057500</v>
      </c>
      <c r="AK94" s="56">
        <v>6937200</v>
      </c>
      <c r="AL94" s="56">
        <v>634500</v>
      </c>
      <c r="AM94" s="56">
        <v>1480500</v>
      </c>
      <c r="AN94" s="56">
        <v>0</v>
      </c>
      <c r="AO94" s="56">
        <v>12436200</v>
      </c>
      <c r="AP94" s="56">
        <v>0</v>
      </c>
      <c r="AQ94" s="56">
        <v>12013200</v>
      </c>
      <c r="AR94" s="56">
        <v>0</v>
      </c>
      <c r="AS94" s="56">
        <v>465300</v>
      </c>
      <c r="AT94" s="56">
        <v>0</v>
      </c>
      <c r="AU94" s="56">
        <v>338400</v>
      </c>
      <c r="AV94" s="56">
        <v>21192300</v>
      </c>
      <c r="AW94" s="56">
        <v>169200</v>
      </c>
      <c r="AX94" s="56">
        <v>4272300</v>
      </c>
      <c r="AY94" s="56">
        <v>126900</v>
      </c>
      <c r="AZ94" s="54" t="s">
        <v>12</v>
      </c>
      <c r="BA94" s="56">
        <v>2538000</v>
      </c>
      <c r="BB94" s="56">
        <v>1776600</v>
      </c>
      <c r="BC94" s="56">
        <v>1015200</v>
      </c>
      <c r="BD94" s="56">
        <v>634500</v>
      </c>
      <c r="BE94" s="56">
        <v>1311300</v>
      </c>
      <c r="BF94" s="89" t="s">
        <v>12</v>
      </c>
    </row>
    <row r="95" spans="1:58" x14ac:dyDescent="0.4">
      <c r="A95" s="63">
        <v>44778</v>
      </c>
      <c r="B95" s="53">
        <v>44778.458580844905</v>
      </c>
      <c r="C95" s="54" t="s">
        <v>91</v>
      </c>
      <c r="D95" s="55" t="s">
        <v>74</v>
      </c>
      <c r="E95" s="69" t="s">
        <v>90</v>
      </c>
      <c r="F95" s="73">
        <v>84.5</v>
      </c>
      <c r="G95" s="57">
        <v>45</v>
      </c>
      <c r="H95" s="57">
        <v>86.82</v>
      </c>
      <c r="I95" s="57">
        <v>83.03</v>
      </c>
      <c r="J95" s="77">
        <v>84.28</v>
      </c>
      <c r="K95" s="81">
        <v>972000</v>
      </c>
      <c r="L95" s="56">
        <v>2383000</v>
      </c>
      <c r="M95" s="56">
        <v>40</v>
      </c>
      <c r="N95" s="56">
        <v>16</v>
      </c>
      <c r="O95" s="57">
        <v>3.08</v>
      </c>
      <c r="P95" s="56">
        <v>59575</v>
      </c>
      <c r="Q95" s="56">
        <v>183308</v>
      </c>
      <c r="R95" s="56">
        <v>300017</v>
      </c>
      <c r="S95" s="56">
        <v>97200</v>
      </c>
      <c r="T95" s="56">
        <v>175069</v>
      </c>
      <c r="U95" s="77">
        <v>2.4500000000000002</v>
      </c>
      <c r="V95" s="81">
        <v>13</v>
      </c>
      <c r="W95" s="85">
        <v>10</v>
      </c>
      <c r="X95" s="81">
        <v>82134000</v>
      </c>
      <c r="Y95" s="69" t="s">
        <v>77</v>
      </c>
      <c r="Z95" s="87" t="s">
        <v>12</v>
      </c>
      <c r="AA95" s="54" t="s">
        <v>12</v>
      </c>
      <c r="AB95" s="54" t="s">
        <v>12</v>
      </c>
      <c r="AC95" s="54" t="s">
        <v>12</v>
      </c>
      <c r="AD95" s="54" t="s">
        <v>12</v>
      </c>
      <c r="AE95" s="56">
        <v>82134000</v>
      </c>
      <c r="AF95" s="54" t="s">
        <v>12</v>
      </c>
      <c r="AG95" s="54" t="s">
        <v>12</v>
      </c>
      <c r="AH95" s="54" t="s">
        <v>12</v>
      </c>
      <c r="AI95" s="54" t="s">
        <v>12</v>
      </c>
      <c r="AJ95" s="54" t="s">
        <v>12</v>
      </c>
      <c r="AK95" s="54" t="s">
        <v>12</v>
      </c>
      <c r="AL95" s="54" t="s">
        <v>12</v>
      </c>
      <c r="AM95" s="54" t="s">
        <v>12</v>
      </c>
      <c r="AN95" s="54" t="s">
        <v>12</v>
      </c>
      <c r="AO95" s="54" t="s">
        <v>12</v>
      </c>
      <c r="AP95" s="54" t="s">
        <v>12</v>
      </c>
      <c r="AQ95" s="54" t="s">
        <v>12</v>
      </c>
      <c r="AR95" s="54" t="s">
        <v>12</v>
      </c>
      <c r="AS95" s="54" t="s">
        <v>12</v>
      </c>
      <c r="AT95" s="54" t="s">
        <v>12</v>
      </c>
      <c r="AU95" s="54" t="s">
        <v>12</v>
      </c>
      <c r="AV95" s="54" t="s">
        <v>12</v>
      </c>
      <c r="AW95" s="54" t="s">
        <v>12</v>
      </c>
      <c r="AX95" s="54" t="s">
        <v>12</v>
      </c>
      <c r="AY95" s="54" t="s">
        <v>12</v>
      </c>
      <c r="AZ95" s="54" t="s">
        <v>12</v>
      </c>
      <c r="BA95" s="54" t="s">
        <v>12</v>
      </c>
      <c r="BB95" s="54" t="s">
        <v>12</v>
      </c>
      <c r="BC95" s="54" t="s">
        <v>12</v>
      </c>
      <c r="BD95" s="54" t="s">
        <v>12</v>
      </c>
      <c r="BE95" s="54" t="s">
        <v>12</v>
      </c>
      <c r="BF95" s="89" t="s">
        <v>12</v>
      </c>
    </row>
    <row r="96" spans="1:58" x14ac:dyDescent="0.4">
      <c r="A96" s="63">
        <v>44777</v>
      </c>
      <c r="B96" s="53">
        <v>44777.458611550923</v>
      </c>
      <c r="C96" s="54" t="s">
        <v>89</v>
      </c>
      <c r="D96" s="55" t="s">
        <v>74</v>
      </c>
      <c r="E96" s="69" t="s">
        <v>90</v>
      </c>
      <c r="F96" s="73">
        <v>83.81</v>
      </c>
      <c r="G96" s="57">
        <v>45</v>
      </c>
      <c r="H96" s="57">
        <v>90</v>
      </c>
      <c r="I96" s="57">
        <v>82.71</v>
      </c>
      <c r="J96" s="77">
        <v>83.84</v>
      </c>
      <c r="K96" s="81">
        <v>1146500</v>
      </c>
      <c r="L96" s="56">
        <v>3642000</v>
      </c>
      <c r="M96" s="56">
        <v>47</v>
      </c>
      <c r="N96" s="56">
        <v>25</v>
      </c>
      <c r="O96" s="57">
        <v>3.36</v>
      </c>
      <c r="P96" s="56">
        <v>77489</v>
      </c>
      <c r="Q96" s="56">
        <v>260143</v>
      </c>
      <c r="R96" s="56">
        <v>517300</v>
      </c>
      <c r="S96" s="56">
        <v>104227</v>
      </c>
      <c r="T96" s="56">
        <v>128630</v>
      </c>
      <c r="U96" s="77">
        <v>3.18</v>
      </c>
      <c r="V96" s="81">
        <v>14</v>
      </c>
      <c r="W96" s="85">
        <v>11</v>
      </c>
      <c r="X96" s="81">
        <v>96088165</v>
      </c>
      <c r="Y96" s="69" t="s">
        <v>75</v>
      </c>
      <c r="Z96" s="81">
        <v>1382865</v>
      </c>
      <c r="AA96" s="56">
        <v>544765</v>
      </c>
      <c r="AB96" s="56">
        <v>4986695</v>
      </c>
      <c r="AC96" s="56">
        <v>419050</v>
      </c>
      <c r="AD96" s="56">
        <v>2472395</v>
      </c>
      <c r="AE96" s="54" t="s">
        <v>12</v>
      </c>
      <c r="AF96" s="56">
        <v>293335</v>
      </c>
      <c r="AG96" s="56">
        <v>1215245</v>
      </c>
      <c r="AH96" s="56">
        <v>4944790</v>
      </c>
      <c r="AI96" s="56">
        <v>12068640</v>
      </c>
      <c r="AJ96" s="56">
        <v>1047625</v>
      </c>
      <c r="AK96" s="56">
        <v>6872420</v>
      </c>
      <c r="AL96" s="56">
        <v>628575</v>
      </c>
      <c r="AM96" s="56">
        <v>1466675</v>
      </c>
      <c r="AN96" s="56">
        <v>0</v>
      </c>
      <c r="AO96" s="56">
        <v>12320070</v>
      </c>
      <c r="AP96" s="56">
        <v>0</v>
      </c>
      <c r="AQ96" s="56">
        <v>11901020</v>
      </c>
      <c r="AR96" s="56">
        <v>0</v>
      </c>
      <c r="AS96" s="56">
        <v>460955</v>
      </c>
      <c r="AT96" s="56">
        <v>0</v>
      </c>
      <c r="AU96" s="56">
        <v>335240</v>
      </c>
      <c r="AV96" s="56">
        <v>20994405</v>
      </c>
      <c r="AW96" s="56">
        <v>167620</v>
      </c>
      <c r="AX96" s="56">
        <v>4232405</v>
      </c>
      <c r="AY96" s="56">
        <v>125715</v>
      </c>
      <c r="AZ96" s="54" t="s">
        <v>12</v>
      </c>
      <c r="BA96" s="56">
        <v>2514300</v>
      </c>
      <c r="BB96" s="56">
        <v>1760010</v>
      </c>
      <c r="BC96" s="56">
        <v>1005720</v>
      </c>
      <c r="BD96" s="56">
        <v>628575</v>
      </c>
      <c r="BE96" s="56">
        <v>1299055</v>
      </c>
      <c r="BF96" s="89" t="s">
        <v>12</v>
      </c>
    </row>
    <row r="97" spans="1:58" x14ac:dyDescent="0.4">
      <c r="A97" s="63">
        <v>44776</v>
      </c>
      <c r="B97" s="53">
        <v>44776.458939016207</v>
      </c>
      <c r="C97" s="54" t="s">
        <v>92</v>
      </c>
      <c r="D97" s="55" t="s">
        <v>74</v>
      </c>
      <c r="E97" s="69" t="s">
        <v>90</v>
      </c>
      <c r="F97" s="73">
        <v>83.45</v>
      </c>
      <c r="G97" s="57">
        <v>45</v>
      </c>
      <c r="H97" s="57">
        <v>87.5</v>
      </c>
      <c r="I97" s="57">
        <v>81.760000000000005</v>
      </c>
      <c r="J97" s="77">
        <v>82.7</v>
      </c>
      <c r="K97" s="81">
        <v>1329000</v>
      </c>
      <c r="L97" s="56">
        <v>4807500</v>
      </c>
      <c r="M97" s="56">
        <v>67</v>
      </c>
      <c r="N97" s="56">
        <v>14</v>
      </c>
      <c r="O97" s="57">
        <v>4.1900000000000004</v>
      </c>
      <c r="P97" s="56">
        <v>71754</v>
      </c>
      <c r="Q97" s="56">
        <v>300469</v>
      </c>
      <c r="R97" s="56">
        <v>489364</v>
      </c>
      <c r="S97" s="56">
        <v>166125</v>
      </c>
      <c r="T97" s="56">
        <v>164714</v>
      </c>
      <c r="U97" s="77">
        <v>3.62</v>
      </c>
      <c r="V97" s="81">
        <v>16</v>
      </c>
      <c r="W97" s="85">
        <v>8</v>
      </c>
      <c r="X97" s="81">
        <v>110905050</v>
      </c>
      <c r="Y97" s="69" t="s">
        <v>79</v>
      </c>
      <c r="Z97" s="87" t="s">
        <v>12</v>
      </c>
      <c r="AA97" s="54" t="s">
        <v>12</v>
      </c>
      <c r="AB97" s="54" t="s">
        <v>12</v>
      </c>
      <c r="AC97" s="54" t="s">
        <v>12</v>
      </c>
      <c r="AD97" s="54" t="s">
        <v>12</v>
      </c>
      <c r="AE97" s="54" t="s">
        <v>12</v>
      </c>
      <c r="AF97" s="54" t="s">
        <v>12</v>
      </c>
      <c r="AG97" s="54" t="s">
        <v>12</v>
      </c>
      <c r="AH97" s="54" t="s">
        <v>12</v>
      </c>
      <c r="AI97" s="54" t="s">
        <v>12</v>
      </c>
      <c r="AJ97" s="54" t="s">
        <v>12</v>
      </c>
      <c r="AK97" s="54" t="s">
        <v>12</v>
      </c>
      <c r="AL97" s="54" t="s">
        <v>12</v>
      </c>
      <c r="AM97" s="54" t="s">
        <v>12</v>
      </c>
      <c r="AN97" s="54" t="s">
        <v>12</v>
      </c>
      <c r="AO97" s="54" t="s">
        <v>12</v>
      </c>
      <c r="AP97" s="54" t="s">
        <v>12</v>
      </c>
      <c r="AQ97" s="54" t="s">
        <v>12</v>
      </c>
      <c r="AR97" s="54" t="s">
        <v>12</v>
      </c>
      <c r="AS97" s="54" t="s">
        <v>12</v>
      </c>
      <c r="AT97" s="54" t="s">
        <v>12</v>
      </c>
      <c r="AU97" s="54" t="s">
        <v>12</v>
      </c>
      <c r="AV97" s="54" t="s">
        <v>12</v>
      </c>
      <c r="AW97" s="54" t="s">
        <v>12</v>
      </c>
      <c r="AX97" s="54" t="s">
        <v>12</v>
      </c>
      <c r="AY97" s="54" t="s">
        <v>12</v>
      </c>
      <c r="AZ97" s="56">
        <v>110905050</v>
      </c>
      <c r="BA97" s="54" t="s">
        <v>12</v>
      </c>
      <c r="BB97" s="54" t="s">
        <v>12</v>
      </c>
      <c r="BC97" s="54" t="s">
        <v>12</v>
      </c>
      <c r="BD97" s="54" t="s">
        <v>12</v>
      </c>
      <c r="BE97" s="54" t="s">
        <v>12</v>
      </c>
      <c r="BF97" s="89" t="s">
        <v>12</v>
      </c>
    </row>
    <row r="98" spans="1:58" x14ac:dyDescent="0.4">
      <c r="A98" s="63">
        <v>44775</v>
      </c>
      <c r="B98" s="53">
        <v>44775.458790254626</v>
      </c>
      <c r="C98" s="54" t="s">
        <v>89</v>
      </c>
      <c r="D98" s="55" t="s">
        <v>74</v>
      </c>
      <c r="E98" s="69" t="s">
        <v>90</v>
      </c>
      <c r="F98" s="73">
        <v>80.510000000000005</v>
      </c>
      <c r="G98" s="57">
        <v>45</v>
      </c>
      <c r="H98" s="57">
        <v>82.8</v>
      </c>
      <c r="I98" s="57">
        <v>79.45</v>
      </c>
      <c r="J98" s="77">
        <v>80.08</v>
      </c>
      <c r="K98" s="81">
        <v>1146500</v>
      </c>
      <c r="L98" s="56">
        <v>3964500</v>
      </c>
      <c r="M98" s="56">
        <v>76</v>
      </c>
      <c r="N98" s="56">
        <v>23</v>
      </c>
      <c r="O98" s="57">
        <v>4</v>
      </c>
      <c r="P98" s="56">
        <v>52164</v>
      </c>
      <c r="Q98" s="56">
        <v>208658</v>
      </c>
      <c r="R98" s="56">
        <v>458141</v>
      </c>
      <c r="S98" s="56">
        <v>114650</v>
      </c>
      <c r="T98" s="56">
        <v>157806</v>
      </c>
      <c r="U98" s="77">
        <v>3.46</v>
      </c>
      <c r="V98" s="81">
        <v>19</v>
      </c>
      <c r="W98" s="85">
        <v>10</v>
      </c>
      <c r="X98" s="81">
        <v>92304715</v>
      </c>
      <c r="Y98" s="69" t="s">
        <v>75</v>
      </c>
      <c r="Z98" s="81">
        <v>1328415</v>
      </c>
      <c r="AA98" s="56">
        <v>523315</v>
      </c>
      <c r="AB98" s="56">
        <v>4790345</v>
      </c>
      <c r="AC98" s="56">
        <v>402550</v>
      </c>
      <c r="AD98" s="56">
        <v>2375045</v>
      </c>
      <c r="AE98" s="54" t="s">
        <v>12</v>
      </c>
      <c r="AF98" s="56">
        <v>281785</v>
      </c>
      <c r="AG98" s="56">
        <v>1167395</v>
      </c>
      <c r="AH98" s="56">
        <v>4750090</v>
      </c>
      <c r="AI98" s="56">
        <v>11593440</v>
      </c>
      <c r="AJ98" s="56">
        <v>1006375</v>
      </c>
      <c r="AK98" s="56">
        <v>6601820</v>
      </c>
      <c r="AL98" s="56">
        <v>603825</v>
      </c>
      <c r="AM98" s="56">
        <v>1408925</v>
      </c>
      <c r="AN98" s="56">
        <v>0</v>
      </c>
      <c r="AO98" s="56">
        <v>11834970</v>
      </c>
      <c r="AP98" s="56">
        <v>0</v>
      </c>
      <c r="AQ98" s="56">
        <v>11432420</v>
      </c>
      <c r="AR98" s="56">
        <v>0</v>
      </c>
      <c r="AS98" s="56">
        <v>442805</v>
      </c>
      <c r="AT98" s="56">
        <v>0</v>
      </c>
      <c r="AU98" s="56">
        <v>322040</v>
      </c>
      <c r="AV98" s="56">
        <v>20167755</v>
      </c>
      <c r="AW98" s="56">
        <v>161020</v>
      </c>
      <c r="AX98" s="56">
        <v>4065755</v>
      </c>
      <c r="AY98" s="56">
        <v>120765</v>
      </c>
      <c r="AZ98" s="54" t="s">
        <v>12</v>
      </c>
      <c r="BA98" s="56">
        <v>2415300</v>
      </c>
      <c r="BB98" s="56">
        <v>1690710</v>
      </c>
      <c r="BC98" s="56">
        <v>966120</v>
      </c>
      <c r="BD98" s="56">
        <v>603825</v>
      </c>
      <c r="BE98" s="56">
        <v>1247905</v>
      </c>
      <c r="BF98" s="89" t="s">
        <v>12</v>
      </c>
    </row>
    <row r="99" spans="1:58" x14ac:dyDescent="0.4">
      <c r="A99" s="63">
        <v>44774</v>
      </c>
      <c r="B99" s="53">
        <v>44774.458688923609</v>
      </c>
      <c r="C99" s="54" t="s">
        <v>89</v>
      </c>
      <c r="D99" s="55" t="s">
        <v>74</v>
      </c>
      <c r="E99" s="69" t="s">
        <v>90</v>
      </c>
      <c r="F99" s="73">
        <v>79.5</v>
      </c>
      <c r="G99" s="57">
        <v>45</v>
      </c>
      <c r="H99" s="57">
        <v>82</v>
      </c>
      <c r="I99" s="57">
        <v>78.02</v>
      </c>
      <c r="J99" s="77">
        <v>78.64</v>
      </c>
      <c r="K99" s="81">
        <v>1146500</v>
      </c>
      <c r="L99" s="56">
        <v>4318500</v>
      </c>
      <c r="M99" s="56">
        <v>66</v>
      </c>
      <c r="N99" s="56">
        <v>11</v>
      </c>
      <c r="O99" s="57">
        <v>4.13</v>
      </c>
      <c r="P99" s="56">
        <v>65432</v>
      </c>
      <c r="Q99" s="56">
        <v>269906</v>
      </c>
      <c r="R99" s="56">
        <v>500405</v>
      </c>
      <c r="S99" s="56">
        <v>191083</v>
      </c>
      <c r="T99" s="56">
        <v>195856</v>
      </c>
      <c r="U99" s="77">
        <v>3.77</v>
      </c>
      <c r="V99" s="81">
        <v>16</v>
      </c>
      <c r="W99" s="85">
        <v>6</v>
      </c>
      <c r="X99" s="81">
        <v>91146750</v>
      </c>
      <c r="Y99" s="69" t="s">
        <v>75</v>
      </c>
      <c r="Z99" s="81">
        <v>1311750</v>
      </c>
      <c r="AA99" s="56">
        <v>516750</v>
      </c>
      <c r="AB99" s="56">
        <v>4730250</v>
      </c>
      <c r="AC99" s="56">
        <v>397500</v>
      </c>
      <c r="AD99" s="56">
        <v>2345250</v>
      </c>
      <c r="AE99" s="54" t="s">
        <v>12</v>
      </c>
      <c r="AF99" s="56">
        <v>278250</v>
      </c>
      <c r="AG99" s="56">
        <v>1152750</v>
      </c>
      <c r="AH99" s="56">
        <v>4690500</v>
      </c>
      <c r="AI99" s="56">
        <v>11448000</v>
      </c>
      <c r="AJ99" s="56">
        <v>993750</v>
      </c>
      <c r="AK99" s="56">
        <v>6519000</v>
      </c>
      <c r="AL99" s="56">
        <v>596250</v>
      </c>
      <c r="AM99" s="56">
        <v>1391250</v>
      </c>
      <c r="AN99" s="56">
        <v>0</v>
      </c>
      <c r="AO99" s="56">
        <v>11686500</v>
      </c>
      <c r="AP99" s="56">
        <v>0</v>
      </c>
      <c r="AQ99" s="56">
        <v>11289000</v>
      </c>
      <c r="AR99" s="56">
        <v>0</v>
      </c>
      <c r="AS99" s="56">
        <v>437250</v>
      </c>
      <c r="AT99" s="56">
        <v>0</v>
      </c>
      <c r="AU99" s="56">
        <v>318000</v>
      </c>
      <c r="AV99" s="56">
        <v>19914750</v>
      </c>
      <c r="AW99" s="56">
        <v>159000</v>
      </c>
      <c r="AX99" s="56">
        <v>4014750</v>
      </c>
      <c r="AY99" s="56">
        <v>119250</v>
      </c>
      <c r="AZ99" s="54" t="s">
        <v>12</v>
      </c>
      <c r="BA99" s="56">
        <v>2385000</v>
      </c>
      <c r="BB99" s="56">
        <v>1669500</v>
      </c>
      <c r="BC99" s="56">
        <v>954000</v>
      </c>
      <c r="BD99" s="56">
        <v>596250</v>
      </c>
      <c r="BE99" s="56">
        <v>1232250</v>
      </c>
      <c r="BF99" s="89" t="s">
        <v>12</v>
      </c>
    </row>
    <row r="100" spans="1:58" x14ac:dyDescent="0.4">
      <c r="A100" s="63">
        <v>44771</v>
      </c>
      <c r="B100" s="53">
        <v>44771.458779583336</v>
      </c>
      <c r="C100" s="54" t="s">
        <v>91</v>
      </c>
      <c r="D100" s="55" t="s">
        <v>74</v>
      </c>
      <c r="E100" s="69" t="s">
        <v>90</v>
      </c>
      <c r="F100" s="73">
        <v>77.959999999999994</v>
      </c>
      <c r="G100" s="57">
        <v>45</v>
      </c>
      <c r="H100" s="57">
        <v>89.75</v>
      </c>
      <c r="I100" s="57">
        <v>77.78</v>
      </c>
      <c r="J100" s="77">
        <v>78.03</v>
      </c>
      <c r="K100" s="81">
        <v>1944000</v>
      </c>
      <c r="L100" s="56">
        <v>4570000</v>
      </c>
      <c r="M100" s="56">
        <v>78</v>
      </c>
      <c r="N100" s="56">
        <v>41</v>
      </c>
      <c r="O100" s="57">
        <v>3.9</v>
      </c>
      <c r="P100" s="56">
        <v>58590</v>
      </c>
      <c r="Q100" s="56">
        <v>228500</v>
      </c>
      <c r="R100" s="56">
        <v>448614</v>
      </c>
      <c r="S100" s="56">
        <v>129600</v>
      </c>
      <c r="T100" s="56">
        <v>169663</v>
      </c>
      <c r="U100" s="77">
        <v>2.35</v>
      </c>
      <c r="V100" s="81">
        <v>20</v>
      </c>
      <c r="W100" s="85">
        <v>15</v>
      </c>
      <c r="X100" s="81">
        <v>151554240</v>
      </c>
      <c r="Y100" s="69" t="s">
        <v>77</v>
      </c>
      <c r="Z100" s="87" t="s">
        <v>12</v>
      </c>
      <c r="AA100" s="54" t="s">
        <v>12</v>
      </c>
      <c r="AB100" s="54" t="s">
        <v>12</v>
      </c>
      <c r="AC100" s="54" t="s">
        <v>12</v>
      </c>
      <c r="AD100" s="54" t="s">
        <v>12</v>
      </c>
      <c r="AE100" s="56">
        <v>151554240</v>
      </c>
      <c r="AF100" s="54" t="s">
        <v>12</v>
      </c>
      <c r="AG100" s="54" t="s">
        <v>12</v>
      </c>
      <c r="AH100" s="54" t="s">
        <v>12</v>
      </c>
      <c r="AI100" s="54" t="s">
        <v>12</v>
      </c>
      <c r="AJ100" s="54" t="s">
        <v>12</v>
      </c>
      <c r="AK100" s="54" t="s">
        <v>12</v>
      </c>
      <c r="AL100" s="54" t="s">
        <v>12</v>
      </c>
      <c r="AM100" s="54" t="s">
        <v>12</v>
      </c>
      <c r="AN100" s="54" t="s">
        <v>12</v>
      </c>
      <c r="AO100" s="54" t="s">
        <v>12</v>
      </c>
      <c r="AP100" s="54" t="s">
        <v>12</v>
      </c>
      <c r="AQ100" s="54" t="s">
        <v>12</v>
      </c>
      <c r="AR100" s="54" t="s">
        <v>12</v>
      </c>
      <c r="AS100" s="54" t="s">
        <v>12</v>
      </c>
      <c r="AT100" s="54" t="s">
        <v>12</v>
      </c>
      <c r="AU100" s="54" t="s">
        <v>12</v>
      </c>
      <c r="AV100" s="54" t="s">
        <v>12</v>
      </c>
      <c r="AW100" s="54" t="s">
        <v>12</v>
      </c>
      <c r="AX100" s="54" t="s">
        <v>12</v>
      </c>
      <c r="AY100" s="54" t="s">
        <v>12</v>
      </c>
      <c r="AZ100" s="54" t="s">
        <v>12</v>
      </c>
      <c r="BA100" s="54" t="s">
        <v>12</v>
      </c>
      <c r="BB100" s="54" t="s">
        <v>12</v>
      </c>
      <c r="BC100" s="54" t="s">
        <v>12</v>
      </c>
      <c r="BD100" s="54" t="s">
        <v>12</v>
      </c>
      <c r="BE100" s="54" t="s">
        <v>12</v>
      </c>
      <c r="BF100" s="89" t="s">
        <v>12</v>
      </c>
    </row>
    <row r="101" spans="1:58" x14ac:dyDescent="0.4">
      <c r="A101" s="63">
        <v>44770</v>
      </c>
      <c r="B101" s="53">
        <v>44770.459146006942</v>
      </c>
      <c r="C101" s="54" t="s">
        <v>89</v>
      </c>
      <c r="D101" s="55" t="s">
        <v>74</v>
      </c>
      <c r="E101" s="69" t="s">
        <v>90</v>
      </c>
      <c r="F101" s="73">
        <v>77.08</v>
      </c>
      <c r="G101" s="57">
        <v>45</v>
      </c>
      <c r="H101" s="57">
        <v>80</v>
      </c>
      <c r="I101" s="57">
        <v>76.25</v>
      </c>
      <c r="J101" s="77">
        <v>76.63</v>
      </c>
      <c r="K101" s="81">
        <v>2295500</v>
      </c>
      <c r="L101" s="56">
        <v>5492000</v>
      </c>
      <c r="M101" s="56">
        <v>86</v>
      </c>
      <c r="N101" s="56">
        <v>26</v>
      </c>
      <c r="O101" s="57">
        <v>4.53</v>
      </c>
      <c r="P101" s="56">
        <v>63860</v>
      </c>
      <c r="Q101" s="56">
        <v>289053</v>
      </c>
      <c r="R101" s="56">
        <v>468687</v>
      </c>
      <c r="S101" s="56">
        <v>176577</v>
      </c>
      <c r="T101" s="56">
        <v>217498</v>
      </c>
      <c r="U101" s="77">
        <v>2.39</v>
      </c>
      <c r="V101" s="81">
        <v>19</v>
      </c>
      <c r="W101" s="85">
        <v>13</v>
      </c>
      <c r="X101" s="81">
        <v>176937140</v>
      </c>
      <c r="Y101" s="69" t="s">
        <v>75</v>
      </c>
      <c r="Z101" s="81">
        <v>2582180</v>
      </c>
      <c r="AA101" s="56">
        <v>1002040</v>
      </c>
      <c r="AB101" s="56">
        <v>9172520</v>
      </c>
      <c r="AC101" s="56">
        <v>693720</v>
      </c>
      <c r="AD101" s="56">
        <v>4547720</v>
      </c>
      <c r="AE101" s="54" t="s">
        <v>12</v>
      </c>
      <c r="AF101" s="56">
        <v>578100</v>
      </c>
      <c r="AG101" s="56">
        <v>2350940</v>
      </c>
      <c r="AH101" s="56">
        <v>9211060</v>
      </c>
      <c r="AI101" s="56">
        <v>22314660</v>
      </c>
      <c r="AJ101" s="56">
        <v>1927000</v>
      </c>
      <c r="AK101" s="56">
        <v>12756740</v>
      </c>
      <c r="AL101" s="56">
        <v>963500</v>
      </c>
      <c r="AM101" s="56">
        <v>2736340</v>
      </c>
      <c r="AN101" s="56">
        <v>0</v>
      </c>
      <c r="AO101" s="56">
        <v>22661520</v>
      </c>
      <c r="AP101" s="56">
        <v>0</v>
      </c>
      <c r="AQ101" s="56">
        <v>22006340</v>
      </c>
      <c r="AR101" s="56">
        <v>0</v>
      </c>
      <c r="AS101" s="56">
        <v>693720</v>
      </c>
      <c r="AT101" s="56">
        <v>0</v>
      </c>
      <c r="AU101" s="56">
        <v>578100</v>
      </c>
      <c r="AV101" s="56">
        <v>38655620</v>
      </c>
      <c r="AW101" s="56">
        <v>231240</v>
      </c>
      <c r="AX101" s="56">
        <v>7785080</v>
      </c>
      <c r="AY101" s="56">
        <v>192700</v>
      </c>
      <c r="AZ101" s="54" t="s">
        <v>12</v>
      </c>
      <c r="BA101" s="56">
        <v>4624800</v>
      </c>
      <c r="BB101" s="56">
        <v>3237360</v>
      </c>
      <c r="BC101" s="56">
        <v>1888460</v>
      </c>
      <c r="BD101" s="56">
        <v>1194740</v>
      </c>
      <c r="BE101" s="56">
        <v>2350940</v>
      </c>
      <c r="BF101" s="89" t="s">
        <v>12</v>
      </c>
    </row>
    <row r="102" spans="1:58" x14ac:dyDescent="0.4">
      <c r="A102" s="63">
        <v>44768</v>
      </c>
      <c r="B102" s="53">
        <v>44768.458943958336</v>
      </c>
      <c r="C102" s="54" t="s">
        <v>89</v>
      </c>
      <c r="D102" s="55" t="s">
        <v>74</v>
      </c>
      <c r="E102" s="69" t="s">
        <v>90</v>
      </c>
      <c r="F102" s="73">
        <v>76.510000000000005</v>
      </c>
      <c r="G102" s="57">
        <v>45</v>
      </c>
      <c r="H102" s="57">
        <v>79</v>
      </c>
      <c r="I102" s="57">
        <v>75.5</v>
      </c>
      <c r="J102" s="77">
        <v>76.22</v>
      </c>
      <c r="K102" s="81">
        <v>2295500</v>
      </c>
      <c r="L102" s="56">
        <v>5784500</v>
      </c>
      <c r="M102" s="56">
        <v>87</v>
      </c>
      <c r="N102" s="56">
        <v>32</v>
      </c>
      <c r="O102" s="57">
        <v>3.95</v>
      </c>
      <c r="P102" s="56">
        <v>66489</v>
      </c>
      <c r="Q102" s="56">
        <v>262932</v>
      </c>
      <c r="R102" s="56">
        <v>459930</v>
      </c>
      <c r="S102" s="56">
        <v>163964</v>
      </c>
      <c r="T102" s="56">
        <v>219928</v>
      </c>
      <c r="U102" s="77">
        <v>2.52</v>
      </c>
      <c r="V102" s="81">
        <v>22</v>
      </c>
      <c r="W102" s="85">
        <v>14</v>
      </c>
      <c r="X102" s="81">
        <v>175628705</v>
      </c>
      <c r="Y102" s="69" t="s">
        <v>75</v>
      </c>
      <c r="Z102" s="81">
        <v>2563085</v>
      </c>
      <c r="AA102" s="56">
        <v>994630</v>
      </c>
      <c r="AB102" s="56">
        <v>9104690</v>
      </c>
      <c r="AC102" s="56">
        <v>688590</v>
      </c>
      <c r="AD102" s="56">
        <v>4514090</v>
      </c>
      <c r="AE102" s="54" t="s">
        <v>12</v>
      </c>
      <c r="AF102" s="56">
        <v>573825</v>
      </c>
      <c r="AG102" s="56">
        <v>2333555</v>
      </c>
      <c r="AH102" s="56">
        <v>9142945</v>
      </c>
      <c r="AI102" s="56">
        <v>22149645</v>
      </c>
      <c r="AJ102" s="56">
        <v>1912750</v>
      </c>
      <c r="AK102" s="56">
        <v>12662405</v>
      </c>
      <c r="AL102" s="56">
        <v>956375</v>
      </c>
      <c r="AM102" s="56">
        <v>2716105</v>
      </c>
      <c r="AN102" s="56">
        <v>0</v>
      </c>
      <c r="AO102" s="56">
        <v>22493940</v>
      </c>
      <c r="AP102" s="56">
        <v>0</v>
      </c>
      <c r="AQ102" s="56">
        <v>21843605</v>
      </c>
      <c r="AR102" s="56">
        <v>0</v>
      </c>
      <c r="AS102" s="56">
        <v>688590</v>
      </c>
      <c r="AT102" s="56">
        <v>0</v>
      </c>
      <c r="AU102" s="56">
        <v>573825</v>
      </c>
      <c r="AV102" s="56">
        <v>38369765</v>
      </c>
      <c r="AW102" s="56">
        <v>229530</v>
      </c>
      <c r="AX102" s="56">
        <v>7727510</v>
      </c>
      <c r="AY102" s="56">
        <v>191275</v>
      </c>
      <c r="AZ102" s="54" t="s">
        <v>12</v>
      </c>
      <c r="BA102" s="56">
        <v>4590600</v>
      </c>
      <c r="BB102" s="56">
        <v>3213420</v>
      </c>
      <c r="BC102" s="56">
        <v>1874495</v>
      </c>
      <c r="BD102" s="56">
        <v>1185905</v>
      </c>
      <c r="BE102" s="56">
        <v>2333555</v>
      </c>
      <c r="BF102" s="89" t="s">
        <v>12</v>
      </c>
    </row>
    <row r="103" spans="1:58" x14ac:dyDescent="0.4">
      <c r="A103" s="63">
        <v>44767</v>
      </c>
      <c r="B103" s="53">
        <v>44767.458767708333</v>
      </c>
      <c r="C103" s="54" t="s">
        <v>89</v>
      </c>
      <c r="D103" s="55" t="s">
        <v>74</v>
      </c>
      <c r="E103" s="69" t="s">
        <v>90</v>
      </c>
      <c r="F103" s="73">
        <v>76.09</v>
      </c>
      <c r="G103" s="57">
        <v>45</v>
      </c>
      <c r="H103" s="57">
        <v>78.2</v>
      </c>
      <c r="I103" s="57">
        <v>74.95</v>
      </c>
      <c r="J103" s="77">
        <v>75.430000000000007</v>
      </c>
      <c r="K103" s="81">
        <v>2295500</v>
      </c>
      <c r="L103" s="56">
        <v>6461000</v>
      </c>
      <c r="M103" s="56">
        <v>90</v>
      </c>
      <c r="N103" s="56">
        <v>17</v>
      </c>
      <c r="O103" s="57">
        <v>3.6</v>
      </c>
      <c r="P103" s="56">
        <v>71789</v>
      </c>
      <c r="Q103" s="56">
        <v>258440</v>
      </c>
      <c r="R103" s="56">
        <v>452826</v>
      </c>
      <c r="S103" s="56">
        <v>208682</v>
      </c>
      <c r="T103" s="56">
        <v>279016</v>
      </c>
      <c r="U103" s="77">
        <v>2.81</v>
      </c>
      <c r="V103" s="81">
        <v>25</v>
      </c>
      <c r="W103" s="85">
        <v>11</v>
      </c>
      <c r="X103" s="81">
        <v>174664595</v>
      </c>
      <c r="Y103" s="69" t="s">
        <v>75</v>
      </c>
      <c r="Z103" s="81">
        <v>2549015</v>
      </c>
      <c r="AA103" s="56">
        <v>989170</v>
      </c>
      <c r="AB103" s="56">
        <v>9054710</v>
      </c>
      <c r="AC103" s="56">
        <v>684810</v>
      </c>
      <c r="AD103" s="56">
        <v>4489310</v>
      </c>
      <c r="AE103" s="54" t="s">
        <v>12</v>
      </c>
      <c r="AF103" s="56">
        <v>570675</v>
      </c>
      <c r="AG103" s="56">
        <v>2320745</v>
      </c>
      <c r="AH103" s="56">
        <v>9092755</v>
      </c>
      <c r="AI103" s="56">
        <v>22028055</v>
      </c>
      <c r="AJ103" s="56">
        <v>1902250</v>
      </c>
      <c r="AK103" s="56">
        <v>12592895</v>
      </c>
      <c r="AL103" s="56">
        <v>951125</v>
      </c>
      <c r="AM103" s="56">
        <v>2701195</v>
      </c>
      <c r="AN103" s="56">
        <v>0</v>
      </c>
      <c r="AO103" s="56">
        <v>22370460</v>
      </c>
      <c r="AP103" s="56">
        <v>0</v>
      </c>
      <c r="AQ103" s="56">
        <v>21723695</v>
      </c>
      <c r="AR103" s="56">
        <v>0</v>
      </c>
      <c r="AS103" s="56">
        <v>684810</v>
      </c>
      <c r="AT103" s="56">
        <v>0</v>
      </c>
      <c r="AU103" s="56">
        <v>570675</v>
      </c>
      <c r="AV103" s="56">
        <v>38159135</v>
      </c>
      <c r="AW103" s="56">
        <v>228270</v>
      </c>
      <c r="AX103" s="56">
        <v>7685090</v>
      </c>
      <c r="AY103" s="56">
        <v>190225</v>
      </c>
      <c r="AZ103" s="54" t="s">
        <v>12</v>
      </c>
      <c r="BA103" s="56">
        <v>4565400</v>
      </c>
      <c r="BB103" s="56">
        <v>3195780</v>
      </c>
      <c r="BC103" s="56">
        <v>1864205</v>
      </c>
      <c r="BD103" s="56">
        <v>1179395</v>
      </c>
      <c r="BE103" s="56">
        <v>2320745</v>
      </c>
      <c r="BF103" s="89" t="s">
        <v>12</v>
      </c>
    </row>
    <row r="104" spans="1:58" x14ac:dyDescent="0.4">
      <c r="A104" s="63">
        <v>44764</v>
      </c>
      <c r="B104" s="53">
        <v>44764.458767962962</v>
      </c>
      <c r="C104" s="54" t="s">
        <v>91</v>
      </c>
      <c r="D104" s="55" t="s">
        <v>74</v>
      </c>
      <c r="E104" s="69" t="s">
        <v>90</v>
      </c>
      <c r="F104" s="73">
        <v>78.06</v>
      </c>
      <c r="G104" s="57">
        <v>45</v>
      </c>
      <c r="H104" s="57">
        <v>80.55</v>
      </c>
      <c r="I104" s="57">
        <v>77.47</v>
      </c>
      <c r="J104" s="77">
        <v>78.13</v>
      </c>
      <c r="K104" s="81">
        <v>1944000</v>
      </c>
      <c r="L104" s="56">
        <v>4379000</v>
      </c>
      <c r="M104" s="56">
        <v>66</v>
      </c>
      <c r="N104" s="56">
        <v>37</v>
      </c>
      <c r="O104" s="57">
        <v>3.47</v>
      </c>
      <c r="P104" s="56">
        <v>66348</v>
      </c>
      <c r="Q104" s="56">
        <v>230474</v>
      </c>
      <c r="R104" s="56">
        <v>471826</v>
      </c>
      <c r="S104" s="56">
        <v>121500</v>
      </c>
      <c r="T104" s="56">
        <v>187536</v>
      </c>
      <c r="U104" s="77">
        <v>2.25</v>
      </c>
      <c r="V104" s="81">
        <v>19</v>
      </c>
      <c r="W104" s="85">
        <v>16</v>
      </c>
      <c r="X104" s="81">
        <v>151748640</v>
      </c>
      <c r="Y104" s="69" t="s">
        <v>77</v>
      </c>
      <c r="Z104" s="87" t="s">
        <v>12</v>
      </c>
      <c r="AA104" s="54" t="s">
        <v>12</v>
      </c>
      <c r="AB104" s="54" t="s">
        <v>12</v>
      </c>
      <c r="AC104" s="54" t="s">
        <v>12</v>
      </c>
      <c r="AD104" s="54" t="s">
        <v>12</v>
      </c>
      <c r="AE104" s="56">
        <v>151748640</v>
      </c>
      <c r="AF104" s="54" t="s">
        <v>12</v>
      </c>
      <c r="AG104" s="54" t="s">
        <v>12</v>
      </c>
      <c r="AH104" s="54" t="s">
        <v>12</v>
      </c>
      <c r="AI104" s="54" t="s">
        <v>12</v>
      </c>
      <c r="AJ104" s="54" t="s">
        <v>12</v>
      </c>
      <c r="AK104" s="54" t="s">
        <v>12</v>
      </c>
      <c r="AL104" s="54" t="s">
        <v>12</v>
      </c>
      <c r="AM104" s="54" t="s">
        <v>12</v>
      </c>
      <c r="AN104" s="54" t="s">
        <v>12</v>
      </c>
      <c r="AO104" s="54" t="s">
        <v>12</v>
      </c>
      <c r="AP104" s="54" t="s">
        <v>12</v>
      </c>
      <c r="AQ104" s="54" t="s">
        <v>12</v>
      </c>
      <c r="AR104" s="54" t="s">
        <v>12</v>
      </c>
      <c r="AS104" s="54" t="s">
        <v>12</v>
      </c>
      <c r="AT104" s="54" t="s">
        <v>12</v>
      </c>
      <c r="AU104" s="54" t="s">
        <v>12</v>
      </c>
      <c r="AV104" s="54" t="s">
        <v>12</v>
      </c>
      <c r="AW104" s="54" t="s">
        <v>12</v>
      </c>
      <c r="AX104" s="54" t="s">
        <v>12</v>
      </c>
      <c r="AY104" s="54" t="s">
        <v>12</v>
      </c>
      <c r="AZ104" s="54" t="s">
        <v>12</v>
      </c>
      <c r="BA104" s="54" t="s">
        <v>12</v>
      </c>
      <c r="BB104" s="54" t="s">
        <v>12</v>
      </c>
      <c r="BC104" s="54" t="s">
        <v>12</v>
      </c>
      <c r="BD104" s="54" t="s">
        <v>12</v>
      </c>
      <c r="BE104" s="54" t="s">
        <v>12</v>
      </c>
      <c r="BF104" s="89" t="s">
        <v>12</v>
      </c>
    </row>
    <row r="105" spans="1:58" x14ac:dyDescent="0.4">
      <c r="A105" s="63">
        <v>44763</v>
      </c>
      <c r="B105" s="53">
        <v>44763.458695821762</v>
      </c>
      <c r="C105" s="54" t="s">
        <v>89</v>
      </c>
      <c r="D105" s="55" t="s">
        <v>74</v>
      </c>
      <c r="E105" s="69" t="s">
        <v>90</v>
      </c>
      <c r="F105" s="73">
        <v>77.599999999999994</v>
      </c>
      <c r="G105" s="57">
        <v>45</v>
      </c>
      <c r="H105" s="57">
        <v>100</v>
      </c>
      <c r="I105" s="57">
        <v>77.069999999999993</v>
      </c>
      <c r="J105" s="77">
        <v>77.430000000000007</v>
      </c>
      <c r="K105" s="81">
        <v>2295500</v>
      </c>
      <c r="L105" s="56">
        <v>3735000</v>
      </c>
      <c r="M105" s="56">
        <v>70</v>
      </c>
      <c r="N105" s="56">
        <v>27</v>
      </c>
      <c r="O105" s="57">
        <v>3.5</v>
      </c>
      <c r="P105" s="56">
        <v>53357</v>
      </c>
      <c r="Q105" s="56">
        <v>186750</v>
      </c>
      <c r="R105" s="56">
        <v>268725</v>
      </c>
      <c r="S105" s="56">
        <v>176577</v>
      </c>
      <c r="T105" s="56">
        <v>275391</v>
      </c>
      <c r="U105" s="77">
        <v>1.63</v>
      </c>
      <c r="V105" s="81">
        <v>20</v>
      </c>
      <c r="W105" s="85">
        <v>13</v>
      </c>
      <c r="X105" s="81">
        <v>178130800</v>
      </c>
      <c r="Y105" s="69" t="s">
        <v>75</v>
      </c>
      <c r="Z105" s="81">
        <v>2599600</v>
      </c>
      <c r="AA105" s="56">
        <v>1008800</v>
      </c>
      <c r="AB105" s="56">
        <v>9234400</v>
      </c>
      <c r="AC105" s="56">
        <v>698400</v>
      </c>
      <c r="AD105" s="56">
        <v>4578400</v>
      </c>
      <c r="AE105" s="54" t="s">
        <v>12</v>
      </c>
      <c r="AF105" s="56">
        <v>582000</v>
      </c>
      <c r="AG105" s="56">
        <v>2366800</v>
      </c>
      <c r="AH105" s="56">
        <v>9273200</v>
      </c>
      <c r="AI105" s="56">
        <v>22465200</v>
      </c>
      <c r="AJ105" s="56">
        <v>1940000</v>
      </c>
      <c r="AK105" s="56">
        <v>12842800</v>
      </c>
      <c r="AL105" s="56">
        <v>970000</v>
      </c>
      <c r="AM105" s="56">
        <v>2754800</v>
      </c>
      <c r="AN105" s="56">
        <v>0</v>
      </c>
      <c r="AO105" s="56">
        <v>22814400</v>
      </c>
      <c r="AP105" s="56">
        <v>0</v>
      </c>
      <c r="AQ105" s="56">
        <v>22154800</v>
      </c>
      <c r="AR105" s="56">
        <v>0</v>
      </c>
      <c r="AS105" s="56">
        <v>698400</v>
      </c>
      <c r="AT105" s="56">
        <v>0</v>
      </c>
      <c r="AU105" s="56">
        <v>582000</v>
      </c>
      <c r="AV105" s="56">
        <v>38916400</v>
      </c>
      <c r="AW105" s="56">
        <v>232800</v>
      </c>
      <c r="AX105" s="56">
        <v>7837600</v>
      </c>
      <c r="AY105" s="56">
        <v>194000</v>
      </c>
      <c r="AZ105" s="54" t="s">
        <v>12</v>
      </c>
      <c r="BA105" s="56">
        <v>4656000</v>
      </c>
      <c r="BB105" s="56">
        <v>3259200</v>
      </c>
      <c r="BC105" s="56">
        <v>1901200</v>
      </c>
      <c r="BD105" s="56">
        <v>1202800</v>
      </c>
      <c r="BE105" s="56">
        <v>2366800</v>
      </c>
      <c r="BF105" s="89" t="s">
        <v>12</v>
      </c>
    </row>
    <row r="106" spans="1:58" x14ac:dyDescent="0.4">
      <c r="A106" s="63">
        <v>44762</v>
      </c>
      <c r="B106" s="53">
        <v>44762.459347766206</v>
      </c>
      <c r="C106" s="54" t="s">
        <v>92</v>
      </c>
      <c r="D106" s="55" t="s">
        <v>74</v>
      </c>
      <c r="E106" s="69" t="s">
        <v>90</v>
      </c>
      <c r="F106" s="73">
        <v>81.22</v>
      </c>
      <c r="G106" s="57">
        <v>66.7</v>
      </c>
      <c r="H106" s="57">
        <v>84</v>
      </c>
      <c r="I106" s="57">
        <v>81.260000000000005</v>
      </c>
      <c r="J106" s="77">
        <v>81.47</v>
      </c>
      <c r="K106" s="81">
        <v>2658000</v>
      </c>
      <c r="L106" s="56">
        <v>4902000</v>
      </c>
      <c r="M106" s="56">
        <v>72</v>
      </c>
      <c r="N106" s="56">
        <v>48</v>
      </c>
      <c r="O106" s="57">
        <v>4</v>
      </c>
      <c r="P106" s="56">
        <v>68083</v>
      </c>
      <c r="Q106" s="56">
        <v>272333</v>
      </c>
      <c r="R106" s="56">
        <v>503373</v>
      </c>
      <c r="S106" s="56">
        <v>156353</v>
      </c>
      <c r="T106" s="56">
        <v>247926</v>
      </c>
      <c r="U106" s="77">
        <v>1.84</v>
      </c>
      <c r="V106" s="81">
        <v>18</v>
      </c>
      <c r="W106" s="85">
        <v>17</v>
      </c>
      <c r="X106" s="81">
        <v>215882760</v>
      </c>
      <c r="Y106" s="69" t="s">
        <v>79</v>
      </c>
      <c r="Z106" s="87" t="s">
        <v>12</v>
      </c>
      <c r="AA106" s="54" t="s">
        <v>12</v>
      </c>
      <c r="AB106" s="54" t="s">
        <v>12</v>
      </c>
      <c r="AC106" s="54" t="s">
        <v>12</v>
      </c>
      <c r="AD106" s="54" t="s">
        <v>12</v>
      </c>
      <c r="AE106" s="54" t="s">
        <v>12</v>
      </c>
      <c r="AF106" s="54" t="s">
        <v>12</v>
      </c>
      <c r="AG106" s="54" t="s">
        <v>12</v>
      </c>
      <c r="AH106" s="54" t="s">
        <v>12</v>
      </c>
      <c r="AI106" s="54" t="s">
        <v>12</v>
      </c>
      <c r="AJ106" s="54" t="s">
        <v>12</v>
      </c>
      <c r="AK106" s="54" t="s">
        <v>12</v>
      </c>
      <c r="AL106" s="54" t="s">
        <v>12</v>
      </c>
      <c r="AM106" s="54" t="s">
        <v>12</v>
      </c>
      <c r="AN106" s="54" t="s">
        <v>12</v>
      </c>
      <c r="AO106" s="54" t="s">
        <v>12</v>
      </c>
      <c r="AP106" s="54" t="s">
        <v>12</v>
      </c>
      <c r="AQ106" s="54" t="s">
        <v>12</v>
      </c>
      <c r="AR106" s="54" t="s">
        <v>12</v>
      </c>
      <c r="AS106" s="54" t="s">
        <v>12</v>
      </c>
      <c r="AT106" s="54" t="s">
        <v>12</v>
      </c>
      <c r="AU106" s="54" t="s">
        <v>12</v>
      </c>
      <c r="AV106" s="54" t="s">
        <v>12</v>
      </c>
      <c r="AW106" s="54" t="s">
        <v>12</v>
      </c>
      <c r="AX106" s="54" t="s">
        <v>12</v>
      </c>
      <c r="AY106" s="54" t="s">
        <v>12</v>
      </c>
      <c r="AZ106" s="56">
        <v>215882760</v>
      </c>
      <c r="BA106" s="54" t="s">
        <v>12</v>
      </c>
      <c r="BB106" s="54" t="s">
        <v>12</v>
      </c>
      <c r="BC106" s="54" t="s">
        <v>12</v>
      </c>
      <c r="BD106" s="54" t="s">
        <v>12</v>
      </c>
      <c r="BE106" s="54" t="s">
        <v>12</v>
      </c>
      <c r="BF106" s="89" t="s">
        <v>12</v>
      </c>
    </row>
    <row r="107" spans="1:58" x14ac:dyDescent="0.4">
      <c r="A107" s="63">
        <v>44761</v>
      </c>
      <c r="B107" s="53">
        <v>44761.458843576387</v>
      </c>
      <c r="C107" s="54" t="s">
        <v>89</v>
      </c>
      <c r="D107" s="55" t="s">
        <v>74</v>
      </c>
      <c r="E107" s="69" t="s">
        <v>90</v>
      </c>
      <c r="F107" s="73">
        <v>83.61</v>
      </c>
      <c r="G107" s="57">
        <v>45</v>
      </c>
      <c r="H107" s="57">
        <v>86</v>
      </c>
      <c r="I107" s="57">
        <v>82.74</v>
      </c>
      <c r="J107" s="77">
        <v>83.51</v>
      </c>
      <c r="K107" s="81">
        <v>2295500</v>
      </c>
      <c r="L107" s="56">
        <v>5050500</v>
      </c>
      <c r="M107" s="56">
        <v>77</v>
      </c>
      <c r="N107" s="56">
        <v>32</v>
      </c>
      <c r="O107" s="57">
        <v>4.05</v>
      </c>
      <c r="P107" s="56">
        <v>65591</v>
      </c>
      <c r="Q107" s="56">
        <v>265816</v>
      </c>
      <c r="R107" s="56">
        <v>505201</v>
      </c>
      <c r="S107" s="56">
        <v>143469</v>
      </c>
      <c r="T107" s="56">
        <v>276877</v>
      </c>
      <c r="U107" s="77">
        <v>2.2000000000000002</v>
      </c>
      <c r="V107" s="81">
        <v>19</v>
      </c>
      <c r="W107" s="85">
        <v>16</v>
      </c>
      <c r="X107" s="81">
        <v>191926755</v>
      </c>
      <c r="Y107" s="69" t="s">
        <v>75</v>
      </c>
      <c r="Z107" s="81">
        <v>2800935</v>
      </c>
      <c r="AA107" s="56">
        <v>1086930</v>
      </c>
      <c r="AB107" s="56">
        <v>9949590</v>
      </c>
      <c r="AC107" s="56">
        <v>752490</v>
      </c>
      <c r="AD107" s="56">
        <v>4932990</v>
      </c>
      <c r="AE107" s="54" t="s">
        <v>12</v>
      </c>
      <c r="AF107" s="56">
        <v>627075</v>
      </c>
      <c r="AG107" s="56">
        <v>2550105</v>
      </c>
      <c r="AH107" s="56">
        <v>9991395</v>
      </c>
      <c r="AI107" s="56">
        <v>24205095</v>
      </c>
      <c r="AJ107" s="56">
        <v>2090250</v>
      </c>
      <c r="AK107" s="56">
        <v>13837455</v>
      </c>
      <c r="AL107" s="56">
        <v>1045125</v>
      </c>
      <c r="AM107" s="56">
        <v>2968155</v>
      </c>
      <c r="AN107" s="56">
        <v>0</v>
      </c>
      <c r="AO107" s="56">
        <v>24581340</v>
      </c>
      <c r="AP107" s="56">
        <v>0</v>
      </c>
      <c r="AQ107" s="56">
        <v>23870655</v>
      </c>
      <c r="AR107" s="56">
        <v>0</v>
      </c>
      <c r="AS107" s="56">
        <v>752490</v>
      </c>
      <c r="AT107" s="56">
        <v>0</v>
      </c>
      <c r="AU107" s="56">
        <v>627075</v>
      </c>
      <c r="AV107" s="56">
        <v>41930415</v>
      </c>
      <c r="AW107" s="56">
        <v>250830</v>
      </c>
      <c r="AX107" s="56">
        <v>8444610</v>
      </c>
      <c r="AY107" s="56">
        <v>209025</v>
      </c>
      <c r="AZ107" s="54" t="s">
        <v>12</v>
      </c>
      <c r="BA107" s="56">
        <v>5016600</v>
      </c>
      <c r="BB107" s="56">
        <v>3511620</v>
      </c>
      <c r="BC107" s="56">
        <v>2048445</v>
      </c>
      <c r="BD107" s="56">
        <v>1295955</v>
      </c>
      <c r="BE107" s="56">
        <v>2550105</v>
      </c>
      <c r="BF107" s="89" t="s">
        <v>12</v>
      </c>
    </row>
    <row r="108" spans="1:58" x14ac:dyDescent="0.4">
      <c r="A108" s="63">
        <v>44760</v>
      </c>
      <c r="B108" s="53">
        <v>44760.45874199074</v>
      </c>
      <c r="C108" s="54" t="s">
        <v>89</v>
      </c>
      <c r="D108" s="55" t="s">
        <v>74</v>
      </c>
      <c r="E108" s="69" t="s">
        <v>90</v>
      </c>
      <c r="F108" s="73">
        <v>83.33</v>
      </c>
      <c r="G108" s="57">
        <v>45</v>
      </c>
      <c r="H108" s="57">
        <v>86.05</v>
      </c>
      <c r="I108" s="57">
        <v>82.25</v>
      </c>
      <c r="J108" s="77">
        <v>83.4</v>
      </c>
      <c r="K108" s="81">
        <v>2295500</v>
      </c>
      <c r="L108" s="56">
        <v>4714500</v>
      </c>
      <c r="M108" s="56">
        <v>71</v>
      </c>
      <c r="N108" s="56">
        <v>41</v>
      </c>
      <c r="O108" s="57">
        <v>3.74</v>
      </c>
      <c r="P108" s="56">
        <v>66401</v>
      </c>
      <c r="Q108" s="56">
        <v>248132</v>
      </c>
      <c r="R108" s="56">
        <v>488261</v>
      </c>
      <c r="S108" s="56">
        <v>127528</v>
      </c>
      <c r="T108" s="56">
        <v>224453</v>
      </c>
      <c r="U108" s="77">
        <v>2.0499999999999998</v>
      </c>
      <c r="V108" s="81">
        <v>19</v>
      </c>
      <c r="W108" s="85">
        <v>18</v>
      </c>
      <c r="X108" s="81">
        <v>191284015</v>
      </c>
      <c r="Y108" s="69" t="s">
        <v>75</v>
      </c>
      <c r="Z108" s="81">
        <v>2791555</v>
      </c>
      <c r="AA108" s="56">
        <v>1083290</v>
      </c>
      <c r="AB108" s="56">
        <v>9916270</v>
      </c>
      <c r="AC108" s="56">
        <v>749970</v>
      </c>
      <c r="AD108" s="56">
        <v>4916470</v>
      </c>
      <c r="AE108" s="54" t="s">
        <v>12</v>
      </c>
      <c r="AF108" s="56">
        <v>624975</v>
      </c>
      <c r="AG108" s="56">
        <v>2541565</v>
      </c>
      <c r="AH108" s="56">
        <v>9957935</v>
      </c>
      <c r="AI108" s="56">
        <v>24124035</v>
      </c>
      <c r="AJ108" s="56">
        <v>2083250</v>
      </c>
      <c r="AK108" s="56">
        <v>13791115</v>
      </c>
      <c r="AL108" s="56">
        <v>1041625</v>
      </c>
      <c r="AM108" s="56">
        <v>2958215</v>
      </c>
      <c r="AN108" s="56">
        <v>0</v>
      </c>
      <c r="AO108" s="56">
        <v>24499020</v>
      </c>
      <c r="AP108" s="56">
        <v>0</v>
      </c>
      <c r="AQ108" s="56">
        <v>23790715</v>
      </c>
      <c r="AR108" s="56">
        <v>0</v>
      </c>
      <c r="AS108" s="56">
        <v>749970</v>
      </c>
      <c r="AT108" s="56">
        <v>0</v>
      </c>
      <c r="AU108" s="56">
        <v>624975</v>
      </c>
      <c r="AV108" s="56">
        <v>41789995</v>
      </c>
      <c r="AW108" s="56">
        <v>249990</v>
      </c>
      <c r="AX108" s="56">
        <v>8416330</v>
      </c>
      <c r="AY108" s="56">
        <v>208325</v>
      </c>
      <c r="AZ108" s="54" t="s">
        <v>12</v>
      </c>
      <c r="BA108" s="56">
        <v>4999800</v>
      </c>
      <c r="BB108" s="56">
        <v>3499860</v>
      </c>
      <c r="BC108" s="56">
        <v>2041585</v>
      </c>
      <c r="BD108" s="56">
        <v>1291615</v>
      </c>
      <c r="BE108" s="56">
        <v>2541565</v>
      </c>
      <c r="BF108" s="89" t="s">
        <v>12</v>
      </c>
    </row>
    <row r="109" spans="1:58" x14ac:dyDescent="0.4">
      <c r="A109" s="63">
        <v>44757</v>
      </c>
      <c r="B109" s="53">
        <v>44757.458664039354</v>
      </c>
      <c r="C109" s="54" t="s">
        <v>91</v>
      </c>
      <c r="D109" s="55" t="s">
        <v>74</v>
      </c>
      <c r="E109" s="69" t="s">
        <v>90</v>
      </c>
      <c r="F109" s="73">
        <v>83.71</v>
      </c>
      <c r="G109" s="57">
        <v>45</v>
      </c>
      <c r="H109" s="57">
        <v>90</v>
      </c>
      <c r="I109" s="57">
        <v>83.21</v>
      </c>
      <c r="J109" s="77">
        <v>83.51</v>
      </c>
      <c r="K109" s="81">
        <v>1944000</v>
      </c>
      <c r="L109" s="56">
        <v>2736000</v>
      </c>
      <c r="M109" s="56">
        <v>79</v>
      </c>
      <c r="N109" s="56">
        <v>35</v>
      </c>
      <c r="O109" s="57">
        <v>3.95</v>
      </c>
      <c r="P109" s="56">
        <v>34633</v>
      </c>
      <c r="Q109" s="56">
        <v>136800</v>
      </c>
      <c r="R109" s="56">
        <v>213506</v>
      </c>
      <c r="S109" s="56">
        <v>162000</v>
      </c>
      <c r="T109" s="56">
        <v>236817</v>
      </c>
      <c r="U109" s="77">
        <v>1.41</v>
      </c>
      <c r="V109" s="81">
        <v>20</v>
      </c>
      <c r="W109" s="85">
        <v>12</v>
      </c>
      <c r="X109" s="81">
        <v>162732240</v>
      </c>
      <c r="Y109" s="69" t="s">
        <v>77</v>
      </c>
      <c r="Z109" s="87" t="s">
        <v>12</v>
      </c>
      <c r="AA109" s="54" t="s">
        <v>12</v>
      </c>
      <c r="AB109" s="54" t="s">
        <v>12</v>
      </c>
      <c r="AC109" s="54" t="s">
        <v>12</v>
      </c>
      <c r="AD109" s="54" t="s">
        <v>12</v>
      </c>
      <c r="AE109" s="56">
        <v>162732240</v>
      </c>
      <c r="AF109" s="54" t="s">
        <v>12</v>
      </c>
      <c r="AG109" s="54" t="s">
        <v>12</v>
      </c>
      <c r="AH109" s="54" t="s">
        <v>12</v>
      </c>
      <c r="AI109" s="54" t="s">
        <v>12</v>
      </c>
      <c r="AJ109" s="54" t="s">
        <v>12</v>
      </c>
      <c r="AK109" s="54" t="s">
        <v>12</v>
      </c>
      <c r="AL109" s="54" t="s">
        <v>12</v>
      </c>
      <c r="AM109" s="54" t="s">
        <v>12</v>
      </c>
      <c r="AN109" s="54" t="s">
        <v>12</v>
      </c>
      <c r="AO109" s="54" t="s">
        <v>12</v>
      </c>
      <c r="AP109" s="54" t="s">
        <v>12</v>
      </c>
      <c r="AQ109" s="54" t="s">
        <v>12</v>
      </c>
      <c r="AR109" s="54" t="s">
        <v>12</v>
      </c>
      <c r="AS109" s="54" t="s">
        <v>12</v>
      </c>
      <c r="AT109" s="54" t="s">
        <v>12</v>
      </c>
      <c r="AU109" s="54" t="s">
        <v>12</v>
      </c>
      <c r="AV109" s="54" t="s">
        <v>12</v>
      </c>
      <c r="AW109" s="54" t="s">
        <v>12</v>
      </c>
      <c r="AX109" s="54" t="s">
        <v>12</v>
      </c>
      <c r="AY109" s="54" t="s">
        <v>12</v>
      </c>
      <c r="AZ109" s="54" t="s">
        <v>12</v>
      </c>
      <c r="BA109" s="54" t="s">
        <v>12</v>
      </c>
      <c r="BB109" s="54" t="s">
        <v>12</v>
      </c>
      <c r="BC109" s="54" t="s">
        <v>12</v>
      </c>
      <c r="BD109" s="54" t="s">
        <v>12</v>
      </c>
      <c r="BE109" s="54" t="s">
        <v>12</v>
      </c>
      <c r="BF109" s="89" t="s">
        <v>12</v>
      </c>
    </row>
    <row r="110" spans="1:58" x14ac:dyDescent="0.4">
      <c r="A110" s="63">
        <v>44756</v>
      </c>
      <c r="B110" s="53">
        <v>44756.458916655094</v>
      </c>
      <c r="C110" s="54" t="s">
        <v>89</v>
      </c>
      <c r="D110" s="55" t="s">
        <v>74</v>
      </c>
      <c r="E110" s="69" t="s">
        <v>90</v>
      </c>
      <c r="F110" s="73">
        <v>83</v>
      </c>
      <c r="G110" s="57">
        <v>45</v>
      </c>
      <c r="H110" s="57">
        <v>86.25</v>
      </c>
      <c r="I110" s="57">
        <v>82.36</v>
      </c>
      <c r="J110" s="77">
        <v>83.25</v>
      </c>
      <c r="K110" s="81">
        <v>2295500</v>
      </c>
      <c r="L110" s="56">
        <v>5102500</v>
      </c>
      <c r="M110" s="56">
        <v>73</v>
      </c>
      <c r="N110" s="56">
        <v>49</v>
      </c>
      <c r="O110" s="57">
        <v>3.48</v>
      </c>
      <c r="P110" s="56">
        <v>69897</v>
      </c>
      <c r="Q110" s="56">
        <v>242976</v>
      </c>
      <c r="R110" s="56">
        <v>470403</v>
      </c>
      <c r="S110" s="56">
        <v>127528</v>
      </c>
      <c r="T110" s="56">
        <v>232841</v>
      </c>
      <c r="U110" s="77">
        <v>2.2200000000000002</v>
      </c>
      <c r="V110" s="81">
        <v>21</v>
      </c>
      <c r="W110" s="85">
        <v>18</v>
      </c>
      <c r="X110" s="81">
        <v>190526500</v>
      </c>
      <c r="Y110" s="69" t="s">
        <v>75</v>
      </c>
      <c r="Z110" s="81">
        <v>2780500</v>
      </c>
      <c r="AA110" s="56">
        <v>1079000</v>
      </c>
      <c r="AB110" s="56">
        <v>9877000</v>
      </c>
      <c r="AC110" s="56">
        <v>747000</v>
      </c>
      <c r="AD110" s="56">
        <v>4897000</v>
      </c>
      <c r="AE110" s="54" t="s">
        <v>12</v>
      </c>
      <c r="AF110" s="56">
        <v>622500</v>
      </c>
      <c r="AG110" s="56">
        <v>2531500</v>
      </c>
      <c r="AH110" s="56">
        <v>9918500</v>
      </c>
      <c r="AI110" s="56">
        <v>24028500</v>
      </c>
      <c r="AJ110" s="56">
        <v>2075000</v>
      </c>
      <c r="AK110" s="56">
        <v>13736500</v>
      </c>
      <c r="AL110" s="56">
        <v>1037500</v>
      </c>
      <c r="AM110" s="56">
        <v>2946500</v>
      </c>
      <c r="AN110" s="56">
        <v>0</v>
      </c>
      <c r="AO110" s="56">
        <v>24402000</v>
      </c>
      <c r="AP110" s="56">
        <v>0</v>
      </c>
      <c r="AQ110" s="56">
        <v>23696500</v>
      </c>
      <c r="AR110" s="56">
        <v>0</v>
      </c>
      <c r="AS110" s="56">
        <v>747000</v>
      </c>
      <c r="AT110" s="56">
        <v>0</v>
      </c>
      <c r="AU110" s="56">
        <v>622500</v>
      </c>
      <c r="AV110" s="56">
        <v>41624500</v>
      </c>
      <c r="AW110" s="56">
        <v>249000</v>
      </c>
      <c r="AX110" s="56">
        <v>8383000</v>
      </c>
      <c r="AY110" s="56">
        <v>207500</v>
      </c>
      <c r="AZ110" s="54" t="s">
        <v>12</v>
      </c>
      <c r="BA110" s="56">
        <v>4980000</v>
      </c>
      <c r="BB110" s="56">
        <v>3486000</v>
      </c>
      <c r="BC110" s="56">
        <v>2033500</v>
      </c>
      <c r="BD110" s="56">
        <v>1286500</v>
      </c>
      <c r="BE110" s="56">
        <v>2531500</v>
      </c>
      <c r="BF110" s="89" t="s">
        <v>12</v>
      </c>
    </row>
    <row r="111" spans="1:58" x14ac:dyDescent="0.4">
      <c r="A111" s="63">
        <v>44754</v>
      </c>
      <c r="B111" s="53">
        <v>44754.45888298611</v>
      </c>
      <c r="C111" s="54" t="s">
        <v>89</v>
      </c>
      <c r="D111" s="55" t="s">
        <v>74</v>
      </c>
      <c r="E111" s="69" t="s">
        <v>90</v>
      </c>
      <c r="F111" s="73">
        <v>83.89</v>
      </c>
      <c r="G111" s="57">
        <v>45</v>
      </c>
      <c r="H111" s="57">
        <v>86</v>
      </c>
      <c r="I111" s="57">
        <v>83.05</v>
      </c>
      <c r="J111" s="77">
        <v>83.8</v>
      </c>
      <c r="K111" s="81">
        <v>2295500</v>
      </c>
      <c r="L111" s="56">
        <v>4977500</v>
      </c>
      <c r="M111" s="56">
        <v>73</v>
      </c>
      <c r="N111" s="56">
        <v>34</v>
      </c>
      <c r="O111" s="57">
        <v>3.32</v>
      </c>
      <c r="P111" s="56">
        <v>68185</v>
      </c>
      <c r="Q111" s="56">
        <v>226250</v>
      </c>
      <c r="R111" s="56">
        <v>472900</v>
      </c>
      <c r="S111" s="56">
        <v>153033</v>
      </c>
      <c r="T111" s="56">
        <v>264885</v>
      </c>
      <c r="U111" s="77">
        <v>2.17</v>
      </c>
      <c r="V111" s="81">
        <v>22</v>
      </c>
      <c r="W111" s="85">
        <v>15</v>
      </c>
      <c r="X111" s="81">
        <v>192569495</v>
      </c>
      <c r="Y111" s="69" t="s">
        <v>75</v>
      </c>
      <c r="Z111" s="81">
        <v>2810315</v>
      </c>
      <c r="AA111" s="56">
        <v>1090570</v>
      </c>
      <c r="AB111" s="56">
        <v>9982910</v>
      </c>
      <c r="AC111" s="56">
        <v>755010</v>
      </c>
      <c r="AD111" s="56">
        <v>4949510</v>
      </c>
      <c r="AE111" s="54" t="s">
        <v>12</v>
      </c>
      <c r="AF111" s="56">
        <v>629175</v>
      </c>
      <c r="AG111" s="56">
        <v>2558645</v>
      </c>
      <c r="AH111" s="56">
        <v>10024855</v>
      </c>
      <c r="AI111" s="56">
        <v>24286155</v>
      </c>
      <c r="AJ111" s="56">
        <v>2097250</v>
      </c>
      <c r="AK111" s="56">
        <v>13883795</v>
      </c>
      <c r="AL111" s="56">
        <v>1048625</v>
      </c>
      <c r="AM111" s="56">
        <v>2978095</v>
      </c>
      <c r="AN111" s="56">
        <v>0</v>
      </c>
      <c r="AO111" s="56">
        <v>24663660</v>
      </c>
      <c r="AP111" s="56">
        <v>0</v>
      </c>
      <c r="AQ111" s="56">
        <v>23950595</v>
      </c>
      <c r="AR111" s="56">
        <v>0</v>
      </c>
      <c r="AS111" s="56">
        <v>755010</v>
      </c>
      <c r="AT111" s="56">
        <v>0</v>
      </c>
      <c r="AU111" s="56">
        <v>629175</v>
      </c>
      <c r="AV111" s="56">
        <v>42070835</v>
      </c>
      <c r="AW111" s="56">
        <v>251670</v>
      </c>
      <c r="AX111" s="56">
        <v>8472890</v>
      </c>
      <c r="AY111" s="56">
        <v>209725</v>
      </c>
      <c r="AZ111" s="54" t="s">
        <v>12</v>
      </c>
      <c r="BA111" s="56">
        <v>5033400</v>
      </c>
      <c r="BB111" s="56">
        <v>3523380</v>
      </c>
      <c r="BC111" s="56">
        <v>2055305</v>
      </c>
      <c r="BD111" s="56">
        <v>1300295</v>
      </c>
      <c r="BE111" s="56">
        <v>2558645</v>
      </c>
      <c r="BF111" s="89" t="s">
        <v>12</v>
      </c>
    </row>
    <row r="112" spans="1:58" x14ac:dyDescent="0.4">
      <c r="A112" s="63">
        <v>44753</v>
      </c>
      <c r="B112" s="53">
        <v>44753.458792534722</v>
      </c>
      <c r="C112" s="54" t="s">
        <v>89</v>
      </c>
      <c r="D112" s="55" t="s">
        <v>74</v>
      </c>
      <c r="E112" s="69" t="s">
        <v>90</v>
      </c>
      <c r="F112" s="73">
        <v>83.4</v>
      </c>
      <c r="G112" s="57">
        <v>45</v>
      </c>
      <c r="H112" s="57">
        <v>85</v>
      </c>
      <c r="I112" s="57">
        <v>81.91</v>
      </c>
      <c r="J112" s="77">
        <v>82.88</v>
      </c>
      <c r="K112" s="81">
        <v>2295500</v>
      </c>
      <c r="L112" s="56">
        <v>5351000</v>
      </c>
      <c r="M112" s="56">
        <v>84</v>
      </c>
      <c r="N112" s="56">
        <v>24</v>
      </c>
      <c r="O112" s="57">
        <v>4</v>
      </c>
      <c r="P112" s="56">
        <v>63702</v>
      </c>
      <c r="Q112" s="56">
        <v>254810</v>
      </c>
      <c r="R112" s="56">
        <v>452229</v>
      </c>
      <c r="S112" s="56">
        <v>176577</v>
      </c>
      <c r="T112" s="56">
        <v>218072</v>
      </c>
      <c r="U112" s="77">
        <v>2.33</v>
      </c>
      <c r="V112" s="81">
        <v>21</v>
      </c>
      <c r="W112" s="85">
        <v>13</v>
      </c>
      <c r="X112" s="81">
        <v>191444700</v>
      </c>
      <c r="Y112" s="69" t="s">
        <v>75</v>
      </c>
      <c r="Z112" s="81">
        <v>2793900</v>
      </c>
      <c r="AA112" s="56">
        <v>1084200</v>
      </c>
      <c r="AB112" s="56">
        <v>9924600</v>
      </c>
      <c r="AC112" s="56">
        <v>750600</v>
      </c>
      <c r="AD112" s="56">
        <v>4920600</v>
      </c>
      <c r="AE112" s="54" t="s">
        <v>12</v>
      </c>
      <c r="AF112" s="56">
        <v>625500</v>
      </c>
      <c r="AG112" s="56">
        <v>2543700</v>
      </c>
      <c r="AH112" s="56">
        <v>9966300</v>
      </c>
      <c r="AI112" s="56">
        <v>24144300</v>
      </c>
      <c r="AJ112" s="56">
        <v>2085000</v>
      </c>
      <c r="AK112" s="56">
        <v>13802700</v>
      </c>
      <c r="AL112" s="56">
        <v>1042500</v>
      </c>
      <c r="AM112" s="56">
        <v>2960700</v>
      </c>
      <c r="AN112" s="56">
        <v>0</v>
      </c>
      <c r="AO112" s="56">
        <v>24519600</v>
      </c>
      <c r="AP112" s="56">
        <v>0</v>
      </c>
      <c r="AQ112" s="56">
        <v>23810700</v>
      </c>
      <c r="AR112" s="56">
        <v>0</v>
      </c>
      <c r="AS112" s="56">
        <v>750600</v>
      </c>
      <c r="AT112" s="56">
        <v>0</v>
      </c>
      <c r="AU112" s="56">
        <v>625500</v>
      </c>
      <c r="AV112" s="56">
        <v>41825100</v>
      </c>
      <c r="AW112" s="56">
        <v>250200</v>
      </c>
      <c r="AX112" s="56">
        <v>8423400</v>
      </c>
      <c r="AY112" s="56">
        <v>208500</v>
      </c>
      <c r="AZ112" s="54" t="s">
        <v>12</v>
      </c>
      <c r="BA112" s="56">
        <v>5004000</v>
      </c>
      <c r="BB112" s="56">
        <v>3502800</v>
      </c>
      <c r="BC112" s="56">
        <v>2043300</v>
      </c>
      <c r="BD112" s="56">
        <v>1292700</v>
      </c>
      <c r="BE112" s="56">
        <v>2543700</v>
      </c>
      <c r="BF112" s="89" t="s">
        <v>12</v>
      </c>
    </row>
    <row r="113" spans="1:58" x14ac:dyDescent="0.4">
      <c r="A113" s="63">
        <v>44750</v>
      </c>
      <c r="B113" s="53">
        <v>44750.458829247684</v>
      </c>
      <c r="C113" s="54" t="s">
        <v>91</v>
      </c>
      <c r="D113" s="55" t="s">
        <v>74</v>
      </c>
      <c r="E113" s="69" t="s">
        <v>90</v>
      </c>
      <c r="F113" s="73">
        <v>82.63</v>
      </c>
      <c r="G113" s="57">
        <v>45</v>
      </c>
      <c r="H113" s="57">
        <v>92</v>
      </c>
      <c r="I113" s="57">
        <v>82.25</v>
      </c>
      <c r="J113" s="77">
        <v>82.89</v>
      </c>
      <c r="K113" s="81">
        <v>1944000</v>
      </c>
      <c r="L113" s="56">
        <v>4718000</v>
      </c>
      <c r="M113" s="56">
        <v>81</v>
      </c>
      <c r="N113" s="56">
        <v>52</v>
      </c>
      <c r="O113" s="57">
        <v>4.05</v>
      </c>
      <c r="P113" s="56">
        <v>58247</v>
      </c>
      <c r="Q113" s="56">
        <v>235900</v>
      </c>
      <c r="R113" s="56">
        <v>454327</v>
      </c>
      <c r="S113" s="56">
        <v>108000</v>
      </c>
      <c r="T113" s="56">
        <v>157539</v>
      </c>
      <c r="U113" s="77">
        <v>2.4300000000000002</v>
      </c>
      <c r="V113" s="81">
        <v>20</v>
      </c>
      <c r="W113" s="85">
        <v>18</v>
      </c>
      <c r="X113" s="81">
        <v>160632720</v>
      </c>
      <c r="Y113" s="69" t="s">
        <v>77</v>
      </c>
      <c r="Z113" s="87" t="s">
        <v>12</v>
      </c>
      <c r="AA113" s="54" t="s">
        <v>12</v>
      </c>
      <c r="AB113" s="54" t="s">
        <v>12</v>
      </c>
      <c r="AC113" s="54" t="s">
        <v>12</v>
      </c>
      <c r="AD113" s="54" t="s">
        <v>12</v>
      </c>
      <c r="AE113" s="56">
        <v>160632720</v>
      </c>
      <c r="AF113" s="54" t="s">
        <v>12</v>
      </c>
      <c r="AG113" s="54" t="s">
        <v>12</v>
      </c>
      <c r="AH113" s="54" t="s">
        <v>12</v>
      </c>
      <c r="AI113" s="54" t="s">
        <v>12</v>
      </c>
      <c r="AJ113" s="54" t="s">
        <v>12</v>
      </c>
      <c r="AK113" s="54" t="s">
        <v>12</v>
      </c>
      <c r="AL113" s="54" t="s">
        <v>12</v>
      </c>
      <c r="AM113" s="54" t="s">
        <v>12</v>
      </c>
      <c r="AN113" s="54" t="s">
        <v>12</v>
      </c>
      <c r="AO113" s="54" t="s">
        <v>12</v>
      </c>
      <c r="AP113" s="54" t="s">
        <v>12</v>
      </c>
      <c r="AQ113" s="54" t="s">
        <v>12</v>
      </c>
      <c r="AR113" s="54" t="s">
        <v>12</v>
      </c>
      <c r="AS113" s="54" t="s">
        <v>12</v>
      </c>
      <c r="AT113" s="54" t="s">
        <v>12</v>
      </c>
      <c r="AU113" s="54" t="s">
        <v>12</v>
      </c>
      <c r="AV113" s="54" t="s">
        <v>12</v>
      </c>
      <c r="AW113" s="54" t="s">
        <v>12</v>
      </c>
      <c r="AX113" s="54" t="s">
        <v>12</v>
      </c>
      <c r="AY113" s="54" t="s">
        <v>12</v>
      </c>
      <c r="AZ113" s="54" t="s">
        <v>12</v>
      </c>
      <c r="BA113" s="54" t="s">
        <v>12</v>
      </c>
      <c r="BB113" s="54" t="s">
        <v>12</v>
      </c>
      <c r="BC113" s="54" t="s">
        <v>12</v>
      </c>
      <c r="BD113" s="54" t="s">
        <v>12</v>
      </c>
      <c r="BE113" s="54" t="s">
        <v>12</v>
      </c>
      <c r="BF113" s="89" t="s">
        <v>12</v>
      </c>
    </row>
    <row r="114" spans="1:58" x14ac:dyDescent="0.4">
      <c r="A114" s="63">
        <v>44749</v>
      </c>
      <c r="B114" s="53">
        <v>44749.458718148147</v>
      </c>
      <c r="C114" s="54" t="s">
        <v>89</v>
      </c>
      <c r="D114" s="55" t="s">
        <v>74</v>
      </c>
      <c r="E114" s="69" t="s">
        <v>90</v>
      </c>
      <c r="F114" s="73">
        <v>83.36</v>
      </c>
      <c r="G114" s="57">
        <v>45</v>
      </c>
      <c r="H114" s="57">
        <v>92</v>
      </c>
      <c r="I114" s="57">
        <v>82.67</v>
      </c>
      <c r="J114" s="77">
        <v>82.91</v>
      </c>
      <c r="K114" s="81">
        <v>2295500</v>
      </c>
      <c r="L114" s="56">
        <v>5486500</v>
      </c>
      <c r="M114" s="56">
        <v>82</v>
      </c>
      <c r="N114" s="56">
        <v>29</v>
      </c>
      <c r="O114" s="57">
        <v>4.0999999999999996</v>
      </c>
      <c r="P114" s="56">
        <v>66909</v>
      </c>
      <c r="Q114" s="56">
        <v>274325</v>
      </c>
      <c r="R114" s="56">
        <v>458470</v>
      </c>
      <c r="S114" s="56">
        <v>176577</v>
      </c>
      <c r="T114" s="56">
        <v>177141</v>
      </c>
      <c r="U114" s="77">
        <v>2.39</v>
      </c>
      <c r="V114" s="81">
        <v>20</v>
      </c>
      <c r="W114" s="85">
        <v>13</v>
      </c>
      <c r="X114" s="81">
        <v>191352880</v>
      </c>
      <c r="Y114" s="69" t="s">
        <v>75</v>
      </c>
      <c r="Z114" s="81">
        <v>2792560</v>
      </c>
      <c r="AA114" s="56">
        <v>1083680</v>
      </c>
      <c r="AB114" s="56">
        <v>9919840</v>
      </c>
      <c r="AC114" s="56">
        <v>750240</v>
      </c>
      <c r="AD114" s="56">
        <v>4918240</v>
      </c>
      <c r="AE114" s="54" t="s">
        <v>12</v>
      </c>
      <c r="AF114" s="56">
        <v>625200</v>
      </c>
      <c r="AG114" s="56">
        <v>2542480</v>
      </c>
      <c r="AH114" s="56">
        <v>9961520</v>
      </c>
      <c r="AI114" s="56">
        <v>24132720</v>
      </c>
      <c r="AJ114" s="56">
        <v>2084000</v>
      </c>
      <c r="AK114" s="56">
        <v>13796080</v>
      </c>
      <c r="AL114" s="56">
        <v>1042000</v>
      </c>
      <c r="AM114" s="56">
        <v>2959280</v>
      </c>
      <c r="AN114" s="56">
        <v>0</v>
      </c>
      <c r="AO114" s="56">
        <v>24507840</v>
      </c>
      <c r="AP114" s="56">
        <v>0</v>
      </c>
      <c r="AQ114" s="56">
        <v>23799280</v>
      </c>
      <c r="AR114" s="56">
        <v>0</v>
      </c>
      <c r="AS114" s="56">
        <v>750240</v>
      </c>
      <c r="AT114" s="56">
        <v>0</v>
      </c>
      <c r="AU114" s="56">
        <v>625200</v>
      </c>
      <c r="AV114" s="56">
        <v>41805040</v>
      </c>
      <c r="AW114" s="56">
        <v>250080</v>
      </c>
      <c r="AX114" s="56">
        <v>8419360</v>
      </c>
      <c r="AY114" s="56">
        <v>208400</v>
      </c>
      <c r="AZ114" s="54" t="s">
        <v>12</v>
      </c>
      <c r="BA114" s="56">
        <v>5001600</v>
      </c>
      <c r="BB114" s="56">
        <v>3501120</v>
      </c>
      <c r="BC114" s="56">
        <v>2042320</v>
      </c>
      <c r="BD114" s="56">
        <v>1292080</v>
      </c>
      <c r="BE114" s="56">
        <v>2542480</v>
      </c>
      <c r="BF114" s="89" t="s">
        <v>12</v>
      </c>
    </row>
    <row r="115" spans="1:58" x14ac:dyDescent="0.4">
      <c r="A115" s="63">
        <v>44748</v>
      </c>
      <c r="B115" s="53">
        <v>44748.458728784724</v>
      </c>
      <c r="C115" s="54" t="s">
        <v>92</v>
      </c>
      <c r="D115" s="55" t="s">
        <v>74</v>
      </c>
      <c r="E115" s="69" t="s">
        <v>90</v>
      </c>
      <c r="F115" s="73">
        <v>82.63</v>
      </c>
      <c r="G115" s="57">
        <v>45</v>
      </c>
      <c r="H115" s="57">
        <v>100</v>
      </c>
      <c r="I115" s="57">
        <v>82.14</v>
      </c>
      <c r="J115" s="77">
        <v>82.48</v>
      </c>
      <c r="K115" s="81">
        <v>2658000</v>
      </c>
      <c r="L115" s="56">
        <v>5634500</v>
      </c>
      <c r="M115" s="56">
        <v>100</v>
      </c>
      <c r="N115" s="56">
        <v>42</v>
      </c>
      <c r="O115" s="57">
        <v>4.55</v>
      </c>
      <c r="P115" s="56">
        <v>56345</v>
      </c>
      <c r="Q115" s="56">
        <v>256114</v>
      </c>
      <c r="R115" s="56">
        <v>472929</v>
      </c>
      <c r="S115" s="56">
        <v>156353</v>
      </c>
      <c r="T115" s="56">
        <v>258346</v>
      </c>
      <c r="U115" s="77">
        <v>2.12</v>
      </c>
      <c r="V115" s="81">
        <v>22</v>
      </c>
      <c r="W115" s="85">
        <v>17</v>
      </c>
      <c r="X115" s="81">
        <v>219630540</v>
      </c>
      <c r="Y115" s="69" t="s">
        <v>79</v>
      </c>
      <c r="Z115" s="87" t="s">
        <v>12</v>
      </c>
      <c r="AA115" s="54" t="s">
        <v>12</v>
      </c>
      <c r="AB115" s="54" t="s">
        <v>12</v>
      </c>
      <c r="AC115" s="54" t="s">
        <v>12</v>
      </c>
      <c r="AD115" s="54" t="s">
        <v>12</v>
      </c>
      <c r="AE115" s="54" t="s">
        <v>12</v>
      </c>
      <c r="AF115" s="54" t="s">
        <v>12</v>
      </c>
      <c r="AG115" s="54" t="s">
        <v>12</v>
      </c>
      <c r="AH115" s="54" t="s">
        <v>12</v>
      </c>
      <c r="AI115" s="54" t="s">
        <v>12</v>
      </c>
      <c r="AJ115" s="54" t="s">
        <v>12</v>
      </c>
      <c r="AK115" s="54" t="s">
        <v>12</v>
      </c>
      <c r="AL115" s="54" t="s">
        <v>12</v>
      </c>
      <c r="AM115" s="54" t="s">
        <v>12</v>
      </c>
      <c r="AN115" s="54" t="s">
        <v>12</v>
      </c>
      <c r="AO115" s="54" t="s">
        <v>12</v>
      </c>
      <c r="AP115" s="54" t="s">
        <v>12</v>
      </c>
      <c r="AQ115" s="54" t="s">
        <v>12</v>
      </c>
      <c r="AR115" s="54" t="s">
        <v>12</v>
      </c>
      <c r="AS115" s="54" t="s">
        <v>12</v>
      </c>
      <c r="AT115" s="54" t="s">
        <v>12</v>
      </c>
      <c r="AU115" s="54" t="s">
        <v>12</v>
      </c>
      <c r="AV115" s="54" t="s">
        <v>12</v>
      </c>
      <c r="AW115" s="54" t="s">
        <v>12</v>
      </c>
      <c r="AX115" s="54" t="s">
        <v>12</v>
      </c>
      <c r="AY115" s="54" t="s">
        <v>12</v>
      </c>
      <c r="AZ115" s="56">
        <v>219630540</v>
      </c>
      <c r="BA115" s="54" t="s">
        <v>12</v>
      </c>
      <c r="BB115" s="54" t="s">
        <v>12</v>
      </c>
      <c r="BC115" s="54" t="s">
        <v>12</v>
      </c>
      <c r="BD115" s="54" t="s">
        <v>12</v>
      </c>
      <c r="BE115" s="54" t="s">
        <v>12</v>
      </c>
      <c r="BF115" s="89" t="s">
        <v>12</v>
      </c>
    </row>
    <row r="116" spans="1:58" x14ac:dyDescent="0.4">
      <c r="A116" s="63">
        <v>44747</v>
      </c>
      <c r="B116" s="53">
        <v>44747.458717372683</v>
      </c>
      <c r="C116" s="54" t="s">
        <v>89</v>
      </c>
      <c r="D116" s="55" t="s">
        <v>74</v>
      </c>
      <c r="E116" s="69" t="s">
        <v>90</v>
      </c>
      <c r="F116" s="73">
        <v>83.38</v>
      </c>
      <c r="G116" s="57">
        <v>45</v>
      </c>
      <c r="H116" s="57">
        <v>92</v>
      </c>
      <c r="I116" s="57">
        <v>82.61</v>
      </c>
      <c r="J116" s="77">
        <v>82.78</v>
      </c>
      <c r="K116" s="81">
        <v>2295500</v>
      </c>
      <c r="L116" s="56">
        <v>5578000</v>
      </c>
      <c r="M116" s="56">
        <v>102</v>
      </c>
      <c r="N116" s="56">
        <v>26</v>
      </c>
      <c r="O116" s="57">
        <v>4.6399999999999997</v>
      </c>
      <c r="P116" s="56">
        <v>54686</v>
      </c>
      <c r="Q116" s="56">
        <v>253545</v>
      </c>
      <c r="R116" s="56">
        <v>484174</v>
      </c>
      <c r="S116" s="56">
        <v>208682</v>
      </c>
      <c r="T116" s="56">
        <v>298445</v>
      </c>
      <c r="U116" s="77">
        <v>2.4300000000000002</v>
      </c>
      <c r="V116" s="81">
        <v>22</v>
      </c>
      <c r="W116" s="85">
        <v>11</v>
      </c>
      <c r="X116" s="81">
        <v>191398790</v>
      </c>
      <c r="Y116" s="69" t="s">
        <v>75</v>
      </c>
      <c r="Z116" s="81">
        <v>2793230</v>
      </c>
      <c r="AA116" s="56">
        <v>1083940</v>
      </c>
      <c r="AB116" s="56">
        <v>9922220</v>
      </c>
      <c r="AC116" s="56">
        <v>750420</v>
      </c>
      <c r="AD116" s="56">
        <v>4919420</v>
      </c>
      <c r="AE116" s="54" t="s">
        <v>12</v>
      </c>
      <c r="AF116" s="56">
        <v>625350</v>
      </c>
      <c r="AG116" s="56">
        <v>2543090</v>
      </c>
      <c r="AH116" s="56">
        <v>9963910</v>
      </c>
      <c r="AI116" s="56">
        <v>24138510</v>
      </c>
      <c r="AJ116" s="56">
        <v>2084500</v>
      </c>
      <c r="AK116" s="56">
        <v>13799390</v>
      </c>
      <c r="AL116" s="56">
        <v>1042250</v>
      </c>
      <c r="AM116" s="56">
        <v>2959990</v>
      </c>
      <c r="AN116" s="56">
        <v>0</v>
      </c>
      <c r="AO116" s="56">
        <v>24513720</v>
      </c>
      <c r="AP116" s="56">
        <v>0</v>
      </c>
      <c r="AQ116" s="56">
        <v>23804990</v>
      </c>
      <c r="AR116" s="56">
        <v>0</v>
      </c>
      <c r="AS116" s="56">
        <v>750420</v>
      </c>
      <c r="AT116" s="56">
        <v>0</v>
      </c>
      <c r="AU116" s="56">
        <v>625350</v>
      </c>
      <c r="AV116" s="56">
        <v>41815070</v>
      </c>
      <c r="AW116" s="56">
        <v>250140</v>
      </c>
      <c r="AX116" s="56">
        <v>8421380</v>
      </c>
      <c r="AY116" s="56">
        <v>208450</v>
      </c>
      <c r="AZ116" s="54" t="s">
        <v>12</v>
      </c>
      <c r="BA116" s="56">
        <v>5002800</v>
      </c>
      <c r="BB116" s="56">
        <v>3501960</v>
      </c>
      <c r="BC116" s="56">
        <v>2042810</v>
      </c>
      <c r="BD116" s="56">
        <v>1292390</v>
      </c>
      <c r="BE116" s="56">
        <v>2543090</v>
      </c>
      <c r="BF116" s="89" t="s">
        <v>12</v>
      </c>
    </row>
    <row r="117" spans="1:58" x14ac:dyDescent="0.4">
      <c r="A117" s="63">
        <v>44746</v>
      </c>
      <c r="B117" s="53">
        <v>44746.459177812503</v>
      </c>
      <c r="C117" s="54" t="s">
        <v>89</v>
      </c>
      <c r="D117" s="55" t="s">
        <v>74</v>
      </c>
      <c r="E117" s="69" t="s">
        <v>90</v>
      </c>
      <c r="F117" s="73">
        <v>84.34</v>
      </c>
      <c r="G117" s="57">
        <v>45</v>
      </c>
      <c r="H117" s="57">
        <v>92</v>
      </c>
      <c r="I117" s="57">
        <v>83.64</v>
      </c>
      <c r="J117" s="77">
        <v>84.39</v>
      </c>
      <c r="K117" s="81">
        <v>2295500</v>
      </c>
      <c r="L117" s="56">
        <v>4946000</v>
      </c>
      <c r="M117" s="56">
        <v>94</v>
      </c>
      <c r="N117" s="56">
        <v>51</v>
      </c>
      <c r="O117" s="57">
        <v>4.2699999999999996</v>
      </c>
      <c r="P117" s="56">
        <v>52617</v>
      </c>
      <c r="Q117" s="56">
        <v>224818</v>
      </c>
      <c r="R117" s="56">
        <v>433500</v>
      </c>
      <c r="S117" s="56">
        <v>127528</v>
      </c>
      <c r="T117" s="56">
        <v>165971</v>
      </c>
      <c r="U117" s="77">
        <v>2.15</v>
      </c>
      <c r="V117" s="81">
        <v>22</v>
      </c>
      <c r="W117" s="85">
        <v>18</v>
      </c>
      <c r="X117" s="81">
        <v>193602470</v>
      </c>
      <c r="Y117" s="69" t="s">
        <v>75</v>
      </c>
      <c r="Z117" s="81">
        <v>2825390</v>
      </c>
      <c r="AA117" s="56">
        <v>1096420</v>
      </c>
      <c r="AB117" s="56">
        <v>10036460</v>
      </c>
      <c r="AC117" s="56">
        <v>759060</v>
      </c>
      <c r="AD117" s="56">
        <v>4976060</v>
      </c>
      <c r="AE117" s="54" t="s">
        <v>12</v>
      </c>
      <c r="AF117" s="56">
        <v>632550</v>
      </c>
      <c r="AG117" s="56">
        <v>2572370</v>
      </c>
      <c r="AH117" s="56">
        <v>10078630</v>
      </c>
      <c r="AI117" s="56">
        <v>24416430</v>
      </c>
      <c r="AJ117" s="56">
        <v>2108500</v>
      </c>
      <c r="AK117" s="56">
        <v>13958270</v>
      </c>
      <c r="AL117" s="56">
        <v>1054250</v>
      </c>
      <c r="AM117" s="56">
        <v>2994070</v>
      </c>
      <c r="AN117" s="56">
        <v>0</v>
      </c>
      <c r="AO117" s="56">
        <v>24795960</v>
      </c>
      <c r="AP117" s="56">
        <v>0</v>
      </c>
      <c r="AQ117" s="56">
        <v>24079070</v>
      </c>
      <c r="AR117" s="56">
        <v>0</v>
      </c>
      <c r="AS117" s="56">
        <v>759060</v>
      </c>
      <c r="AT117" s="56">
        <v>0</v>
      </c>
      <c r="AU117" s="56">
        <v>632550</v>
      </c>
      <c r="AV117" s="56">
        <v>42296510</v>
      </c>
      <c r="AW117" s="56">
        <v>253020</v>
      </c>
      <c r="AX117" s="56">
        <v>8518340</v>
      </c>
      <c r="AY117" s="56">
        <v>210850</v>
      </c>
      <c r="AZ117" s="54" t="s">
        <v>12</v>
      </c>
      <c r="BA117" s="56">
        <v>5060400</v>
      </c>
      <c r="BB117" s="56">
        <v>3542280</v>
      </c>
      <c r="BC117" s="56">
        <v>2066330</v>
      </c>
      <c r="BD117" s="56">
        <v>1307270</v>
      </c>
      <c r="BE117" s="56">
        <v>2572370</v>
      </c>
      <c r="BF117" s="89" t="s">
        <v>12</v>
      </c>
    </row>
    <row r="118" spans="1:58" x14ac:dyDescent="0.4">
      <c r="A118" s="63">
        <v>44743</v>
      </c>
      <c r="B118" s="53">
        <v>44743.458771712962</v>
      </c>
      <c r="C118" s="54" t="s">
        <v>91</v>
      </c>
      <c r="D118" s="55" t="s">
        <v>74</v>
      </c>
      <c r="E118" s="69" t="s">
        <v>90</v>
      </c>
      <c r="F118" s="73">
        <v>88.22</v>
      </c>
      <c r="G118" s="57">
        <v>45</v>
      </c>
      <c r="H118" s="57">
        <v>98</v>
      </c>
      <c r="I118" s="57">
        <v>88.09</v>
      </c>
      <c r="J118" s="77">
        <v>88.81</v>
      </c>
      <c r="K118" s="81">
        <v>1944000</v>
      </c>
      <c r="L118" s="56">
        <v>4056500</v>
      </c>
      <c r="M118" s="56">
        <v>75</v>
      </c>
      <c r="N118" s="56">
        <v>62</v>
      </c>
      <c r="O118" s="57">
        <v>4.17</v>
      </c>
      <c r="P118" s="56">
        <v>54087</v>
      </c>
      <c r="Q118" s="56">
        <v>225361</v>
      </c>
      <c r="R118" s="56">
        <v>468297</v>
      </c>
      <c r="S118" s="56">
        <v>114353</v>
      </c>
      <c r="T118" s="56">
        <v>140589</v>
      </c>
      <c r="U118" s="77">
        <v>2.09</v>
      </c>
      <c r="V118" s="81">
        <v>18</v>
      </c>
      <c r="W118" s="85">
        <v>17</v>
      </c>
      <c r="X118" s="81">
        <v>171499680</v>
      </c>
      <c r="Y118" s="69" t="s">
        <v>77</v>
      </c>
      <c r="Z118" s="87" t="s">
        <v>12</v>
      </c>
      <c r="AA118" s="54" t="s">
        <v>12</v>
      </c>
      <c r="AB118" s="54" t="s">
        <v>12</v>
      </c>
      <c r="AC118" s="54" t="s">
        <v>12</v>
      </c>
      <c r="AD118" s="54" t="s">
        <v>12</v>
      </c>
      <c r="AE118" s="56">
        <v>171499680</v>
      </c>
      <c r="AF118" s="54" t="s">
        <v>12</v>
      </c>
      <c r="AG118" s="54" t="s">
        <v>12</v>
      </c>
      <c r="AH118" s="54" t="s">
        <v>12</v>
      </c>
      <c r="AI118" s="54" t="s">
        <v>12</v>
      </c>
      <c r="AJ118" s="54" t="s">
        <v>12</v>
      </c>
      <c r="AK118" s="54" t="s">
        <v>12</v>
      </c>
      <c r="AL118" s="54" t="s">
        <v>12</v>
      </c>
      <c r="AM118" s="54" t="s">
        <v>12</v>
      </c>
      <c r="AN118" s="54" t="s">
        <v>12</v>
      </c>
      <c r="AO118" s="54" t="s">
        <v>12</v>
      </c>
      <c r="AP118" s="54" t="s">
        <v>12</v>
      </c>
      <c r="AQ118" s="54" t="s">
        <v>12</v>
      </c>
      <c r="AR118" s="54" t="s">
        <v>12</v>
      </c>
      <c r="AS118" s="54" t="s">
        <v>12</v>
      </c>
      <c r="AT118" s="54" t="s">
        <v>12</v>
      </c>
      <c r="AU118" s="54" t="s">
        <v>12</v>
      </c>
      <c r="AV118" s="54" t="s">
        <v>12</v>
      </c>
      <c r="AW118" s="54" t="s">
        <v>12</v>
      </c>
      <c r="AX118" s="54" t="s">
        <v>12</v>
      </c>
      <c r="AY118" s="54" t="s">
        <v>12</v>
      </c>
      <c r="AZ118" s="54" t="s">
        <v>12</v>
      </c>
      <c r="BA118" s="54" t="s">
        <v>12</v>
      </c>
      <c r="BB118" s="54" t="s">
        <v>12</v>
      </c>
      <c r="BC118" s="54" t="s">
        <v>12</v>
      </c>
      <c r="BD118" s="54" t="s">
        <v>12</v>
      </c>
      <c r="BE118" s="54" t="s">
        <v>12</v>
      </c>
      <c r="BF118" s="89" t="s">
        <v>12</v>
      </c>
    </row>
    <row r="119" spans="1:58" x14ac:dyDescent="0.4">
      <c r="A119" s="63">
        <v>44742</v>
      </c>
      <c r="B119" s="53">
        <v>44742.458685879632</v>
      </c>
      <c r="C119" s="54" t="s">
        <v>89</v>
      </c>
      <c r="D119" s="55" t="s">
        <v>74</v>
      </c>
      <c r="E119" s="69" t="s">
        <v>90</v>
      </c>
      <c r="F119" s="73">
        <v>88.02</v>
      </c>
      <c r="G119" s="57">
        <v>45</v>
      </c>
      <c r="H119" s="57">
        <v>95</v>
      </c>
      <c r="I119" s="57">
        <v>87.11</v>
      </c>
      <c r="J119" s="77">
        <v>87.74</v>
      </c>
      <c r="K119" s="81">
        <v>2295500</v>
      </c>
      <c r="L119" s="56">
        <v>5914500</v>
      </c>
      <c r="M119" s="56">
        <v>95</v>
      </c>
      <c r="N119" s="56">
        <v>36</v>
      </c>
      <c r="O119" s="57">
        <v>4.75</v>
      </c>
      <c r="P119" s="56">
        <v>62258</v>
      </c>
      <c r="Q119" s="56">
        <v>295725</v>
      </c>
      <c r="R119" s="56">
        <v>471265</v>
      </c>
      <c r="S119" s="56">
        <v>153033</v>
      </c>
      <c r="T119" s="56">
        <v>214014</v>
      </c>
      <c r="U119" s="77">
        <v>2.58</v>
      </c>
      <c r="V119" s="81">
        <v>20</v>
      </c>
      <c r="W119" s="85">
        <v>15</v>
      </c>
      <c r="X119" s="81">
        <v>202049910</v>
      </c>
      <c r="Y119" s="69" t="s">
        <v>75</v>
      </c>
      <c r="Z119" s="81">
        <v>2948670</v>
      </c>
      <c r="AA119" s="56">
        <v>1144260</v>
      </c>
      <c r="AB119" s="56">
        <v>10474380</v>
      </c>
      <c r="AC119" s="56">
        <v>792180</v>
      </c>
      <c r="AD119" s="56">
        <v>5193180</v>
      </c>
      <c r="AE119" s="54" t="s">
        <v>12</v>
      </c>
      <c r="AF119" s="56">
        <v>660150</v>
      </c>
      <c r="AG119" s="56">
        <v>2684610</v>
      </c>
      <c r="AH119" s="56">
        <v>10518390</v>
      </c>
      <c r="AI119" s="56">
        <v>25481790</v>
      </c>
      <c r="AJ119" s="56">
        <v>2200500</v>
      </c>
      <c r="AK119" s="56">
        <v>14567310</v>
      </c>
      <c r="AL119" s="56">
        <v>1100250</v>
      </c>
      <c r="AM119" s="56">
        <v>3124710</v>
      </c>
      <c r="AN119" s="56">
        <v>0</v>
      </c>
      <c r="AO119" s="56">
        <v>25877880</v>
      </c>
      <c r="AP119" s="56">
        <v>0</v>
      </c>
      <c r="AQ119" s="56">
        <v>25129710</v>
      </c>
      <c r="AR119" s="56">
        <v>0</v>
      </c>
      <c r="AS119" s="56">
        <v>792180</v>
      </c>
      <c r="AT119" s="56">
        <v>0</v>
      </c>
      <c r="AU119" s="56">
        <v>660150</v>
      </c>
      <c r="AV119" s="56">
        <v>44142030</v>
      </c>
      <c r="AW119" s="56">
        <v>264060</v>
      </c>
      <c r="AX119" s="56">
        <v>8890020</v>
      </c>
      <c r="AY119" s="56">
        <v>220050</v>
      </c>
      <c r="AZ119" s="54" t="s">
        <v>12</v>
      </c>
      <c r="BA119" s="56">
        <v>5281200</v>
      </c>
      <c r="BB119" s="56">
        <v>3696840</v>
      </c>
      <c r="BC119" s="56">
        <v>2156490</v>
      </c>
      <c r="BD119" s="56">
        <v>1364310</v>
      </c>
      <c r="BE119" s="56">
        <v>2684610</v>
      </c>
      <c r="BF119" s="89" t="s">
        <v>12</v>
      </c>
    </row>
    <row r="120" spans="1:58" x14ac:dyDescent="0.4">
      <c r="A120" s="63">
        <v>44740</v>
      </c>
      <c r="B120" s="53">
        <v>44740.458673749999</v>
      </c>
      <c r="C120" s="54" t="s">
        <v>89</v>
      </c>
      <c r="D120" s="55" t="s">
        <v>74</v>
      </c>
      <c r="E120" s="69" t="s">
        <v>90</v>
      </c>
      <c r="F120" s="73">
        <v>84.54</v>
      </c>
      <c r="G120" s="57">
        <v>45</v>
      </c>
      <c r="H120" s="57">
        <v>92</v>
      </c>
      <c r="I120" s="57">
        <v>83.48</v>
      </c>
      <c r="J120" s="77">
        <v>83.72</v>
      </c>
      <c r="K120" s="81">
        <v>2296500</v>
      </c>
      <c r="L120" s="56">
        <v>5911000</v>
      </c>
      <c r="M120" s="56">
        <v>98</v>
      </c>
      <c r="N120" s="56">
        <v>21</v>
      </c>
      <c r="O120" s="57">
        <v>4.45</v>
      </c>
      <c r="P120" s="56">
        <v>60316</v>
      </c>
      <c r="Q120" s="56">
        <v>268682</v>
      </c>
      <c r="R120" s="56">
        <v>459809</v>
      </c>
      <c r="S120" s="56">
        <v>208773</v>
      </c>
      <c r="T120" s="56">
        <v>254551</v>
      </c>
      <c r="U120" s="77">
        <v>2.57</v>
      </c>
      <c r="V120" s="81">
        <v>22</v>
      </c>
      <c r="W120" s="85">
        <v>11</v>
      </c>
      <c r="X120" s="81">
        <v>194146110</v>
      </c>
      <c r="Y120" s="69" t="s">
        <v>75</v>
      </c>
      <c r="Z120" s="81">
        <v>2832090</v>
      </c>
      <c r="AA120" s="56">
        <v>1099020</v>
      </c>
      <c r="AB120" s="56">
        <v>10060260</v>
      </c>
      <c r="AC120" s="56">
        <v>760860</v>
      </c>
      <c r="AD120" s="56">
        <v>4987860</v>
      </c>
      <c r="AE120" s="54" t="s">
        <v>12</v>
      </c>
      <c r="AF120" s="56">
        <v>634050</v>
      </c>
      <c r="AG120" s="56">
        <v>2578470</v>
      </c>
      <c r="AH120" s="56">
        <v>10102530</v>
      </c>
      <c r="AI120" s="56">
        <v>24474330</v>
      </c>
      <c r="AJ120" s="56">
        <v>2113500</v>
      </c>
      <c r="AK120" s="56">
        <v>13991370</v>
      </c>
      <c r="AL120" s="56">
        <v>1056750</v>
      </c>
      <c r="AM120" s="56">
        <v>3001170</v>
      </c>
      <c r="AN120" s="56">
        <v>0</v>
      </c>
      <c r="AO120" s="56">
        <v>24854760</v>
      </c>
      <c r="AP120" s="56">
        <v>0</v>
      </c>
      <c r="AQ120" s="56">
        <v>24136170</v>
      </c>
      <c r="AR120" s="56">
        <v>84540</v>
      </c>
      <c r="AS120" s="56">
        <v>760860</v>
      </c>
      <c r="AT120" s="56">
        <v>0</v>
      </c>
      <c r="AU120" s="56">
        <v>634050</v>
      </c>
      <c r="AV120" s="56">
        <v>42396810</v>
      </c>
      <c r="AW120" s="56">
        <v>253620</v>
      </c>
      <c r="AX120" s="56">
        <v>8538540</v>
      </c>
      <c r="AY120" s="56">
        <v>211350</v>
      </c>
      <c r="AZ120" s="54" t="s">
        <v>12</v>
      </c>
      <c r="BA120" s="56">
        <v>5072400</v>
      </c>
      <c r="BB120" s="56">
        <v>3550680</v>
      </c>
      <c r="BC120" s="56">
        <v>2071230</v>
      </c>
      <c r="BD120" s="56">
        <v>1310370</v>
      </c>
      <c r="BE120" s="56">
        <v>2578470</v>
      </c>
      <c r="BF120" s="89" t="s">
        <v>12</v>
      </c>
    </row>
    <row r="121" spans="1:58" x14ac:dyDescent="0.4">
      <c r="A121" s="63">
        <v>44739</v>
      </c>
      <c r="B121" s="53">
        <v>44739.458685752317</v>
      </c>
      <c r="C121" s="54" t="s">
        <v>89</v>
      </c>
      <c r="D121" s="55" t="s">
        <v>74</v>
      </c>
      <c r="E121" s="69" t="s">
        <v>90</v>
      </c>
      <c r="F121" s="73">
        <v>83.01</v>
      </c>
      <c r="G121" s="57">
        <v>45</v>
      </c>
      <c r="H121" s="57">
        <v>92</v>
      </c>
      <c r="I121" s="57">
        <v>82.35</v>
      </c>
      <c r="J121" s="77">
        <v>82.61</v>
      </c>
      <c r="K121" s="81">
        <v>2295500</v>
      </c>
      <c r="L121" s="56">
        <v>5770500</v>
      </c>
      <c r="M121" s="56">
        <v>94</v>
      </c>
      <c r="N121" s="56">
        <v>27</v>
      </c>
      <c r="O121" s="57">
        <v>4.95</v>
      </c>
      <c r="P121" s="56">
        <v>61388</v>
      </c>
      <c r="Q121" s="56">
        <v>303711</v>
      </c>
      <c r="R121" s="56">
        <v>468309</v>
      </c>
      <c r="S121" s="56">
        <v>191292</v>
      </c>
      <c r="T121" s="56">
        <v>205919</v>
      </c>
      <c r="U121" s="77">
        <v>2.5099999999999998</v>
      </c>
      <c r="V121" s="81">
        <v>19</v>
      </c>
      <c r="W121" s="85">
        <v>12</v>
      </c>
      <c r="X121" s="81">
        <v>190549455</v>
      </c>
      <c r="Y121" s="69" t="s">
        <v>75</v>
      </c>
      <c r="Z121" s="81">
        <v>2780835</v>
      </c>
      <c r="AA121" s="56">
        <v>1079130</v>
      </c>
      <c r="AB121" s="56">
        <v>9878190</v>
      </c>
      <c r="AC121" s="56">
        <v>747090</v>
      </c>
      <c r="AD121" s="56">
        <v>4897590</v>
      </c>
      <c r="AE121" s="54" t="s">
        <v>12</v>
      </c>
      <c r="AF121" s="56">
        <v>622575</v>
      </c>
      <c r="AG121" s="56">
        <v>2531805</v>
      </c>
      <c r="AH121" s="56">
        <v>9919695</v>
      </c>
      <c r="AI121" s="56">
        <v>24031395</v>
      </c>
      <c r="AJ121" s="56">
        <v>2075250</v>
      </c>
      <c r="AK121" s="56">
        <v>13738155</v>
      </c>
      <c r="AL121" s="56">
        <v>1037625</v>
      </c>
      <c r="AM121" s="56">
        <v>2946855</v>
      </c>
      <c r="AN121" s="56">
        <v>0</v>
      </c>
      <c r="AO121" s="56">
        <v>24404940</v>
      </c>
      <c r="AP121" s="56">
        <v>0</v>
      </c>
      <c r="AQ121" s="56">
        <v>23699355</v>
      </c>
      <c r="AR121" s="56">
        <v>0</v>
      </c>
      <c r="AS121" s="56">
        <v>747090</v>
      </c>
      <c r="AT121" s="56">
        <v>0</v>
      </c>
      <c r="AU121" s="56">
        <v>622575</v>
      </c>
      <c r="AV121" s="56">
        <v>41629515</v>
      </c>
      <c r="AW121" s="56">
        <v>249030</v>
      </c>
      <c r="AX121" s="56">
        <v>8384010</v>
      </c>
      <c r="AY121" s="56">
        <v>207525</v>
      </c>
      <c r="AZ121" s="54" t="s">
        <v>12</v>
      </c>
      <c r="BA121" s="56">
        <v>4980600</v>
      </c>
      <c r="BB121" s="56">
        <v>3486420</v>
      </c>
      <c r="BC121" s="56">
        <v>2033745</v>
      </c>
      <c r="BD121" s="56">
        <v>1286655</v>
      </c>
      <c r="BE121" s="56">
        <v>2531805</v>
      </c>
      <c r="BF121" s="89" t="s">
        <v>12</v>
      </c>
    </row>
    <row r="122" spans="1:58" x14ac:dyDescent="0.4">
      <c r="A122" s="63">
        <v>44736</v>
      </c>
      <c r="B122" s="53">
        <v>44736.458839942126</v>
      </c>
      <c r="C122" s="54" t="s">
        <v>91</v>
      </c>
      <c r="D122" s="55" t="s">
        <v>74</v>
      </c>
      <c r="E122" s="69" t="s">
        <v>90</v>
      </c>
      <c r="F122" s="73">
        <v>82.9</v>
      </c>
      <c r="G122" s="57">
        <v>45</v>
      </c>
      <c r="H122" s="57">
        <v>92</v>
      </c>
      <c r="I122" s="57">
        <v>82.42</v>
      </c>
      <c r="J122" s="77">
        <v>83.11</v>
      </c>
      <c r="K122" s="81">
        <v>1944000</v>
      </c>
      <c r="L122" s="56">
        <v>4500500</v>
      </c>
      <c r="M122" s="56">
        <v>72</v>
      </c>
      <c r="N122" s="56">
        <v>44</v>
      </c>
      <c r="O122" s="57">
        <v>3.79</v>
      </c>
      <c r="P122" s="56">
        <v>62507</v>
      </c>
      <c r="Q122" s="56">
        <v>236868</v>
      </c>
      <c r="R122" s="56">
        <v>457559</v>
      </c>
      <c r="S122" s="56">
        <v>114353</v>
      </c>
      <c r="T122" s="56">
        <v>154442</v>
      </c>
      <c r="U122" s="77">
        <v>2.3199999999999998</v>
      </c>
      <c r="V122" s="81">
        <v>19</v>
      </c>
      <c r="W122" s="85">
        <v>17</v>
      </c>
      <c r="X122" s="81">
        <v>161157600</v>
      </c>
      <c r="Y122" s="69" t="s">
        <v>77</v>
      </c>
      <c r="Z122" s="87" t="s">
        <v>12</v>
      </c>
      <c r="AA122" s="54" t="s">
        <v>12</v>
      </c>
      <c r="AB122" s="54" t="s">
        <v>12</v>
      </c>
      <c r="AC122" s="54" t="s">
        <v>12</v>
      </c>
      <c r="AD122" s="54" t="s">
        <v>12</v>
      </c>
      <c r="AE122" s="56">
        <v>161157600</v>
      </c>
      <c r="AF122" s="54" t="s">
        <v>12</v>
      </c>
      <c r="AG122" s="54" t="s">
        <v>12</v>
      </c>
      <c r="AH122" s="54" t="s">
        <v>12</v>
      </c>
      <c r="AI122" s="54" t="s">
        <v>12</v>
      </c>
      <c r="AJ122" s="54" t="s">
        <v>12</v>
      </c>
      <c r="AK122" s="54" t="s">
        <v>12</v>
      </c>
      <c r="AL122" s="54" t="s">
        <v>12</v>
      </c>
      <c r="AM122" s="54" t="s">
        <v>12</v>
      </c>
      <c r="AN122" s="54" t="s">
        <v>12</v>
      </c>
      <c r="AO122" s="54" t="s">
        <v>12</v>
      </c>
      <c r="AP122" s="54" t="s">
        <v>12</v>
      </c>
      <c r="AQ122" s="54" t="s">
        <v>12</v>
      </c>
      <c r="AR122" s="54" t="s">
        <v>12</v>
      </c>
      <c r="AS122" s="54" t="s">
        <v>12</v>
      </c>
      <c r="AT122" s="54" t="s">
        <v>12</v>
      </c>
      <c r="AU122" s="54" t="s">
        <v>12</v>
      </c>
      <c r="AV122" s="54" t="s">
        <v>12</v>
      </c>
      <c r="AW122" s="54" t="s">
        <v>12</v>
      </c>
      <c r="AX122" s="54" t="s">
        <v>12</v>
      </c>
      <c r="AY122" s="54" t="s">
        <v>12</v>
      </c>
      <c r="AZ122" s="54" t="s">
        <v>12</v>
      </c>
      <c r="BA122" s="54" t="s">
        <v>12</v>
      </c>
      <c r="BB122" s="54" t="s">
        <v>12</v>
      </c>
      <c r="BC122" s="54" t="s">
        <v>12</v>
      </c>
      <c r="BD122" s="54" t="s">
        <v>12</v>
      </c>
      <c r="BE122" s="54" t="s">
        <v>12</v>
      </c>
      <c r="BF122" s="89" t="s">
        <v>12</v>
      </c>
    </row>
    <row r="123" spans="1:58" x14ac:dyDescent="0.4">
      <c r="A123" s="63">
        <v>44735</v>
      </c>
      <c r="B123" s="53">
        <v>44735.459142002313</v>
      </c>
      <c r="C123" s="54" t="s">
        <v>89</v>
      </c>
      <c r="D123" s="55" t="s">
        <v>74</v>
      </c>
      <c r="E123" s="69" t="s">
        <v>90</v>
      </c>
      <c r="F123" s="73">
        <v>81.069999999999993</v>
      </c>
      <c r="G123" s="57">
        <v>45</v>
      </c>
      <c r="H123" s="57">
        <v>95</v>
      </c>
      <c r="I123" s="57">
        <v>81.22</v>
      </c>
      <c r="J123" s="77">
        <v>81.290000000000006</v>
      </c>
      <c r="K123" s="81">
        <v>2295500</v>
      </c>
      <c r="L123" s="56">
        <v>4041000</v>
      </c>
      <c r="M123" s="56">
        <v>83</v>
      </c>
      <c r="N123" s="56">
        <v>48</v>
      </c>
      <c r="O123" s="57">
        <v>3.95</v>
      </c>
      <c r="P123" s="56">
        <v>48687</v>
      </c>
      <c r="Q123" s="56">
        <v>192429</v>
      </c>
      <c r="R123" s="56">
        <v>264041</v>
      </c>
      <c r="S123" s="56">
        <v>127528</v>
      </c>
      <c r="T123" s="56">
        <v>188563</v>
      </c>
      <c r="U123" s="77">
        <v>1.76</v>
      </c>
      <c r="V123" s="81">
        <v>21</v>
      </c>
      <c r="W123" s="85">
        <v>18</v>
      </c>
      <c r="X123" s="81">
        <v>186096185</v>
      </c>
      <c r="Y123" s="69" t="s">
        <v>75</v>
      </c>
      <c r="Z123" s="81">
        <v>2715845</v>
      </c>
      <c r="AA123" s="56">
        <v>1053910</v>
      </c>
      <c r="AB123" s="56">
        <v>9647330</v>
      </c>
      <c r="AC123" s="56">
        <v>729630</v>
      </c>
      <c r="AD123" s="56">
        <v>4783130</v>
      </c>
      <c r="AE123" s="54" t="s">
        <v>12</v>
      </c>
      <c r="AF123" s="56">
        <v>608025</v>
      </c>
      <c r="AG123" s="56">
        <v>2472635</v>
      </c>
      <c r="AH123" s="56">
        <v>9687865</v>
      </c>
      <c r="AI123" s="56">
        <v>23469765</v>
      </c>
      <c r="AJ123" s="56">
        <v>2026750</v>
      </c>
      <c r="AK123" s="56">
        <v>13417085</v>
      </c>
      <c r="AL123" s="56">
        <v>1013375</v>
      </c>
      <c r="AM123" s="56">
        <v>2877985</v>
      </c>
      <c r="AN123" s="56">
        <v>0</v>
      </c>
      <c r="AO123" s="56">
        <v>23834580</v>
      </c>
      <c r="AP123" s="56">
        <v>0</v>
      </c>
      <c r="AQ123" s="56">
        <v>23145485</v>
      </c>
      <c r="AR123" s="56">
        <v>0</v>
      </c>
      <c r="AS123" s="56">
        <v>729630</v>
      </c>
      <c r="AT123" s="56">
        <v>0</v>
      </c>
      <c r="AU123" s="56">
        <v>608025</v>
      </c>
      <c r="AV123" s="56">
        <v>40656605</v>
      </c>
      <c r="AW123" s="56">
        <v>243210</v>
      </c>
      <c r="AX123" s="56">
        <v>8188070</v>
      </c>
      <c r="AY123" s="56">
        <v>202675</v>
      </c>
      <c r="AZ123" s="54" t="s">
        <v>12</v>
      </c>
      <c r="BA123" s="56">
        <v>4864200</v>
      </c>
      <c r="BB123" s="56">
        <v>3404940</v>
      </c>
      <c r="BC123" s="56">
        <v>1986215</v>
      </c>
      <c r="BD123" s="56">
        <v>1256585</v>
      </c>
      <c r="BE123" s="56">
        <v>2472635</v>
      </c>
      <c r="BF123" s="89" t="s">
        <v>12</v>
      </c>
    </row>
    <row r="124" spans="1:58" x14ac:dyDescent="0.4">
      <c r="A124" s="63">
        <v>44734</v>
      </c>
      <c r="B124" s="53">
        <v>44734.458674594905</v>
      </c>
      <c r="C124" s="54" t="s">
        <v>92</v>
      </c>
      <c r="D124" s="55" t="s">
        <v>74</v>
      </c>
      <c r="E124" s="69" t="s">
        <v>90</v>
      </c>
      <c r="F124" s="73">
        <v>83.06</v>
      </c>
      <c r="G124" s="57">
        <v>45</v>
      </c>
      <c r="H124" s="57">
        <v>89.3</v>
      </c>
      <c r="I124" s="57">
        <v>83.35</v>
      </c>
      <c r="J124" s="77">
        <v>83.71</v>
      </c>
      <c r="K124" s="81">
        <v>2658000</v>
      </c>
      <c r="L124" s="56">
        <v>4813000</v>
      </c>
      <c r="M124" s="56">
        <v>87</v>
      </c>
      <c r="N124" s="56">
        <v>64</v>
      </c>
      <c r="O124" s="57">
        <v>5.44</v>
      </c>
      <c r="P124" s="56">
        <v>55322</v>
      </c>
      <c r="Q124" s="56">
        <v>300813</v>
      </c>
      <c r="R124" s="56">
        <v>569006</v>
      </c>
      <c r="S124" s="56">
        <v>177200</v>
      </c>
      <c r="T124" s="56">
        <v>346886</v>
      </c>
      <c r="U124" s="77">
        <v>1.81</v>
      </c>
      <c r="V124" s="81">
        <v>16</v>
      </c>
      <c r="W124" s="85">
        <v>15</v>
      </c>
      <c r="X124" s="81">
        <v>220773480</v>
      </c>
      <c r="Y124" s="69" t="s">
        <v>79</v>
      </c>
      <c r="Z124" s="87" t="s">
        <v>12</v>
      </c>
      <c r="AA124" s="54" t="s">
        <v>12</v>
      </c>
      <c r="AB124" s="54" t="s">
        <v>12</v>
      </c>
      <c r="AC124" s="54" t="s">
        <v>12</v>
      </c>
      <c r="AD124" s="54" t="s">
        <v>12</v>
      </c>
      <c r="AE124" s="54" t="s">
        <v>12</v>
      </c>
      <c r="AF124" s="54" t="s">
        <v>12</v>
      </c>
      <c r="AG124" s="54" t="s">
        <v>12</v>
      </c>
      <c r="AH124" s="54" t="s">
        <v>12</v>
      </c>
      <c r="AI124" s="54" t="s">
        <v>12</v>
      </c>
      <c r="AJ124" s="54" t="s">
        <v>12</v>
      </c>
      <c r="AK124" s="54" t="s">
        <v>12</v>
      </c>
      <c r="AL124" s="54" t="s">
        <v>12</v>
      </c>
      <c r="AM124" s="54" t="s">
        <v>12</v>
      </c>
      <c r="AN124" s="54" t="s">
        <v>12</v>
      </c>
      <c r="AO124" s="54" t="s">
        <v>12</v>
      </c>
      <c r="AP124" s="54" t="s">
        <v>12</v>
      </c>
      <c r="AQ124" s="54" t="s">
        <v>12</v>
      </c>
      <c r="AR124" s="54" t="s">
        <v>12</v>
      </c>
      <c r="AS124" s="54" t="s">
        <v>12</v>
      </c>
      <c r="AT124" s="54" t="s">
        <v>12</v>
      </c>
      <c r="AU124" s="54" t="s">
        <v>12</v>
      </c>
      <c r="AV124" s="54" t="s">
        <v>12</v>
      </c>
      <c r="AW124" s="54" t="s">
        <v>12</v>
      </c>
      <c r="AX124" s="54" t="s">
        <v>12</v>
      </c>
      <c r="AY124" s="54" t="s">
        <v>12</v>
      </c>
      <c r="AZ124" s="56">
        <v>220773480</v>
      </c>
      <c r="BA124" s="54" t="s">
        <v>12</v>
      </c>
      <c r="BB124" s="54" t="s">
        <v>12</v>
      </c>
      <c r="BC124" s="54" t="s">
        <v>12</v>
      </c>
      <c r="BD124" s="54" t="s">
        <v>12</v>
      </c>
      <c r="BE124" s="54" t="s">
        <v>12</v>
      </c>
      <c r="BF124" s="89" t="s">
        <v>12</v>
      </c>
    </row>
    <row r="125" spans="1:58" x14ac:dyDescent="0.4">
      <c r="A125" s="63">
        <v>44733</v>
      </c>
      <c r="B125" s="53">
        <v>44733.459015972221</v>
      </c>
      <c r="C125" s="54" t="s">
        <v>89</v>
      </c>
      <c r="D125" s="55" t="s">
        <v>74</v>
      </c>
      <c r="E125" s="69" t="s">
        <v>90</v>
      </c>
      <c r="F125" s="73">
        <v>84.26</v>
      </c>
      <c r="G125" s="57">
        <v>45</v>
      </c>
      <c r="H125" s="57">
        <v>92</v>
      </c>
      <c r="I125" s="57">
        <v>83.63</v>
      </c>
      <c r="J125" s="77">
        <v>84</v>
      </c>
      <c r="K125" s="81">
        <v>2295500</v>
      </c>
      <c r="L125" s="56">
        <v>5109000</v>
      </c>
      <c r="M125" s="56">
        <v>77</v>
      </c>
      <c r="N125" s="56">
        <v>27</v>
      </c>
      <c r="O125" s="57">
        <v>4.28</v>
      </c>
      <c r="P125" s="56">
        <v>66351</v>
      </c>
      <c r="Q125" s="56">
        <v>283833</v>
      </c>
      <c r="R125" s="56">
        <v>538584</v>
      </c>
      <c r="S125" s="56">
        <v>176577</v>
      </c>
      <c r="T125" s="56">
        <v>326373</v>
      </c>
      <c r="U125" s="77">
        <v>2.23</v>
      </c>
      <c r="V125" s="81">
        <v>18</v>
      </c>
      <c r="W125" s="85">
        <v>13</v>
      </c>
      <c r="X125" s="81">
        <v>193418830</v>
      </c>
      <c r="Y125" s="69" t="s">
        <v>75</v>
      </c>
      <c r="Z125" s="81">
        <v>2822710</v>
      </c>
      <c r="AA125" s="56">
        <v>1095380</v>
      </c>
      <c r="AB125" s="56">
        <v>10026940</v>
      </c>
      <c r="AC125" s="56">
        <v>758340</v>
      </c>
      <c r="AD125" s="56">
        <v>4971340</v>
      </c>
      <c r="AE125" s="54" t="s">
        <v>12</v>
      </c>
      <c r="AF125" s="56">
        <v>631950</v>
      </c>
      <c r="AG125" s="56">
        <v>2569930</v>
      </c>
      <c r="AH125" s="56">
        <v>10069070</v>
      </c>
      <c r="AI125" s="56">
        <v>24393270</v>
      </c>
      <c r="AJ125" s="56">
        <v>2106500</v>
      </c>
      <c r="AK125" s="56">
        <v>13945030</v>
      </c>
      <c r="AL125" s="56">
        <v>1053250</v>
      </c>
      <c r="AM125" s="56">
        <v>2991230</v>
      </c>
      <c r="AN125" s="56">
        <v>0</v>
      </c>
      <c r="AO125" s="56">
        <v>24772440</v>
      </c>
      <c r="AP125" s="56">
        <v>0</v>
      </c>
      <c r="AQ125" s="56">
        <v>24056230</v>
      </c>
      <c r="AR125" s="56">
        <v>0</v>
      </c>
      <c r="AS125" s="56">
        <v>758340</v>
      </c>
      <c r="AT125" s="56">
        <v>0</v>
      </c>
      <c r="AU125" s="56">
        <v>631950</v>
      </c>
      <c r="AV125" s="56">
        <v>42256390</v>
      </c>
      <c r="AW125" s="56">
        <v>252780</v>
      </c>
      <c r="AX125" s="56">
        <v>8510260</v>
      </c>
      <c r="AY125" s="56">
        <v>210650</v>
      </c>
      <c r="AZ125" s="54" t="s">
        <v>12</v>
      </c>
      <c r="BA125" s="56">
        <v>5055600</v>
      </c>
      <c r="BB125" s="56">
        <v>3538920</v>
      </c>
      <c r="BC125" s="56">
        <v>2064370</v>
      </c>
      <c r="BD125" s="56">
        <v>1306030</v>
      </c>
      <c r="BE125" s="56">
        <v>2569930</v>
      </c>
      <c r="BF125" s="89" t="s">
        <v>12</v>
      </c>
    </row>
    <row r="126" spans="1:58" x14ac:dyDescent="0.4">
      <c r="A126" s="63">
        <v>44732</v>
      </c>
      <c r="B126" s="53">
        <v>44732.459009907405</v>
      </c>
      <c r="C126" s="54" t="s">
        <v>89</v>
      </c>
      <c r="D126" s="55" t="s">
        <v>74</v>
      </c>
      <c r="E126" s="69" t="s">
        <v>90</v>
      </c>
      <c r="F126" s="73">
        <v>83.51</v>
      </c>
      <c r="G126" s="57">
        <v>45</v>
      </c>
      <c r="H126" s="57">
        <v>92</v>
      </c>
      <c r="I126" s="57">
        <v>82.55</v>
      </c>
      <c r="J126" s="77">
        <v>83.01</v>
      </c>
      <c r="K126" s="81">
        <v>2295500</v>
      </c>
      <c r="L126" s="56">
        <v>4612500</v>
      </c>
      <c r="M126" s="56">
        <v>76</v>
      </c>
      <c r="N126" s="56">
        <v>24</v>
      </c>
      <c r="O126" s="57">
        <v>4</v>
      </c>
      <c r="P126" s="56">
        <v>60691</v>
      </c>
      <c r="Q126" s="56">
        <v>242763</v>
      </c>
      <c r="R126" s="56">
        <v>350746</v>
      </c>
      <c r="S126" s="56">
        <v>176577</v>
      </c>
      <c r="T126" s="56">
        <v>211609</v>
      </c>
      <c r="U126" s="77">
        <v>2.0099999999999998</v>
      </c>
      <c r="V126" s="81">
        <v>19</v>
      </c>
      <c r="W126" s="85">
        <v>13</v>
      </c>
      <c r="X126" s="81">
        <v>191697205</v>
      </c>
      <c r="Y126" s="69" t="s">
        <v>75</v>
      </c>
      <c r="Z126" s="81">
        <v>2797585</v>
      </c>
      <c r="AA126" s="56">
        <v>1085630</v>
      </c>
      <c r="AB126" s="56">
        <v>9937690</v>
      </c>
      <c r="AC126" s="56">
        <v>751590</v>
      </c>
      <c r="AD126" s="56">
        <v>4927090</v>
      </c>
      <c r="AE126" s="54" t="s">
        <v>12</v>
      </c>
      <c r="AF126" s="56">
        <v>626325</v>
      </c>
      <c r="AG126" s="56">
        <v>2547055</v>
      </c>
      <c r="AH126" s="56">
        <v>9979445</v>
      </c>
      <c r="AI126" s="56">
        <v>24176145</v>
      </c>
      <c r="AJ126" s="56">
        <v>2087750</v>
      </c>
      <c r="AK126" s="56">
        <v>13820905</v>
      </c>
      <c r="AL126" s="56">
        <v>1043875</v>
      </c>
      <c r="AM126" s="56">
        <v>2964605</v>
      </c>
      <c r="AN126" s="56">
        <v>0</v>
      </c>
      <c r="AO126" s="56">
        <v>24551940</v>
      </c>
      <c r="AP126" s="56">
        <v>0</v>
      </c>
      <c r="AQ126" s="56">
        <v>23842105</v>
      </c>
      <c r="AR126" s="56">
        <v>0</v>
      </c>
      <c r="AS126" s="56">
        <v>751590</v>
      </c>
      <c r="AT126" s="56">
        <v>0</v>
      </c>
      <c r="AU126" s="56">
        <v>626325</v>
      </c>
      <c r="AV126" s="56">
        <v>41880265</v>
      </c>
      <c r="AW126" s="56">
        <v>250530</v>
      </c>
      <c r="AX126" s="56">
        <v>8434510</v>
      </c>
      <c r="AY126" s="56">
        <v>208775</v>
      </c>
      <c r="AZ126" s="54" t="s">
        <v>12</v>
      </c>
      <c r="BA126" s="56">
        <v>5010600</v>
      </c>
      <c r="BB126" s="56">
        <v>3507420</v>
      </c>
      <c r="BC126" s="56">
        <v>2045995</v>
      </c>
      <c r="BD126" s="56">
        <v>1294405</v>
      </c>
      <c r="BE126" s="56">
        <v>2547055</v>
      </c>
      <c r="BF126" s="89" t="s">
        <v>12</v>
      </c>
    </row>
    <row r="127" spans="1:58" x14ac:dyDescent="0.4">
      <c r="A127" s="63">
        <v>44729</v>
      </c>
      <c r="B127" s="53">
        <v>44729.458883402775</v>
      </c>
      <c r="C127" s="54" t="s">
        <v>91</v>
      </c>
      <c r="D127" s="55" t="s">
        <v>74</v>
      </c>
      <c r="E127" s="69" t="s">
        <v>90</v>
      </c>
      <c r="F127" s="73">
        <v>83</v>
      </c>
      <c r="G127" s="57">
        <v>45</v>
      </c>
      <c r="H127" s="57">
        <v>95</v>
      </c>
      <c r="I127" s="57">
        <v>82.31</v>
      </c>
      <c r="J127" s="77">
        <v>82.3</v>
      </c>
      <c r="K127" s="81">
        <v>1944000</v>
      </c>
      <c r="L127" s="56">
        <v>4873500</v>
      </c>
      <c r="M127" s="56">
        <v>85</v>
      </c>
      <c r="N127" s="56">
        <v>27</v>
      </c>
      <c r="O127" s="57">
        <v>4.25</v>
      </c>
      <c r="P127" s="56">
        <v>57335</v>
      </c>
      <c r="Q127" s="56">
        <v>243675</v>
      </c>
      <c r="R127" s="56">
        <v>461020</v>
      </c>
      <c r="S127" s="56">
        <v>243000</v>
      </c>
      <c r="T127" s="56">
        <v>210901</v>
      </c>
      <c r="U127" s="77">
        <v>2.5099999999999998</v>
      </c>
      <c r="V127" s="81">
        <v>20</v>
      </c>
      <c r="W127" s="85">
        <v>8</v>
      </c>
      <c r="X127" s="81">
        <v>161352000</v>
      </c>
      <c r="Y127" s="69" t="s">
        <v>77</v>
      </c>
      <c r="Z127" s="87" t="s">
        <v>12</v>
      </c>
      <c r="AA127" s="54" t="s">
        <v>12</v>
      </c>
      <c r="AB127" s="54" t="s">
        <v>12</v>
      </c>
      <c r="AC127" s="54" t="s">
        <v>12</v>
      </c>
      <c r="AD127" s="54" t="s">
        <v>12</v>
      </c>
      <c r="AE127" s="56">
        <v>161352000</v>
      </c>
      <c r="AF127" s="54" t="s">
        <v>12</v>
      </c>
      <c r="AG127" s="54" t="s">
        <v>12</v>
      </c>
      <c r="AH127" s="54" t="s">
        <v>12</v>
      </c>
      <c r="AI127" s="54" t="s">
        <v>12</v>
      </c>
      <c r="AJ127" s="54" t="s">
        <v>12</v>
      </c>
      <c r="AK127" s="54" t="s">
        <v>12</v>
      </c>
      <c r="AL127" s="54" t="s">
        <v>12</v>
      </c>
      <c r="AM127" s="54" t="s">
        <v>12</v>
      </c>
      <c r="AN127" s="54" t="s">
        <v>12</v>
      </c>
      <c r="AO127" s="54" t="s">
        <v>12</v>
      </c>
      <c r="AP127" s="54" t="s">
        <v>12</v>
      </c>
      <c r="AQ127" s="54" t="s">
        <v>12</v>
      </c>
      <c r="AR127" s="54" t="s">
        <v>12</v>
      </c>
      <c r="AS127" s="54" t="s">
        <v>12</v>
      </c>
      <c r="AT127" s="54" t="s">
        <v>12</v>
      </c>
      <c r="AU127" s="54" t="s">
        <v>12</v>
      </c>
      <c r="AV127" s="54" t="s">
        <v>12</v>
      </c>
      <c r="AW127" s="54" t="s">
        <v>12</v>
      </c>
      <c r="AX127" s="54" t="s">
        <v>12</v>
      </c>
      <c r="AY127" s="54" t="s">
        <v>12</v>
      </c>
      <c r="AZ127" s="54" t="s">
        <v>12</v>
      </c>
      <c r="BA127" s="54" t="s">
        <v>12</v>
      </c>
      <c r="BB127" s="54" t="s">
        <v>12</v>
      </c>
      <c r="BC127" s="54" t="s">
        <v>12</v>
      </c>
      <c r="BD127" s="54" t="s">
        <v>12</v>
      </c>
      <c r="BE127" s="54" t="s">
        <v>12</v>
      </c>
      <c r="BF127" s="89" t="s">
        <v>12</v>
      </c>
    </row>
    <row r="128" spans="1:58" x14ac:dyDescent="0.4">
      <c r="A128" s="63">
        <v>44728</v>
      </c>
      <c r="B128" s="53">
        <v>44728.458712534724</v>
      </c>
      <c r="C128" s="54" t="s">
        <v>89</v>
      </c>
      <c r="D128" s="55" t="s">
        <v>74</v>
      </c>
      <c r="E128" s="69" t="s">
        <v>90</v>
      </c>
      <c r="F128" s="73">
        <v>85.95</v>
      </c>
      <c r="G128" s="57">
        <v>45</v>
      </c>
      <c r="H128" s="57">
        <v>88</v>
      </c>
      <c r="I128" s="57">
        <v>84.64</v>
      </c>
      <c r="J128" s="77">
        <v>85.52</v>
      </c>
      <c r="K128" s="81">
        <v>2295500</v>
      </c>
      <c r="L128" s="56">
        <v>5180500</v>
      </c>
      <c r="M128" s="56">
        <v>75</v>
      </c>
      <c r="N128" s="56">
        <v>23</v>
      </c>
      <c r="O128" s="57">
        <v>3.95</v>
      </c>
      <c r="P128" s="56">
        <v>69073</v>
      </c>
      <c r="Q128" s="56">
        <v>272658</v>
      </c>
      <c r="R128" s="56">
        <v>506512</v>
      </c>
      <c r="S128" s="56">
        <v>153033</v>
      </c>
      <c r="T128" s="56">
        <v>282752</v>
      </c>
      <c r="U128" s="77">
        <v>2.2599999999999998</v>
      </c>
      <c r="V128" s="81">
        <v>19</v>
      </c>
      <c r="W128" s="85">
        <v>15</v>
      </c>
      <c r="X128" s="81">
        <v>197298225</v>
      </c>
      <c r="Y128" s="69" t="s">
        <v>75</v>
      </c>
      <c r="Z128" s="81">
        <v>2879325</v>
      </c>
      <c r="AA128" s="56">
        <v>1117350</v>
      </c>
      <c r="AB128" s="56">
        <v>10228050</v>
      </c>
      <c r="AC128" s="56">
        <v>773550</v>
      </c>
      <c r="AD128" s="56">
        <v>5071050</v>
      </c>
      <c r="AE128" s="54" t="s">
        <v>12</v>
      </c>
      <c r="AF128" s="56">
        <v>644625</v>
      </c>
      <c r="AG128" s="56">
        <v>2621475</v>
      </c>
      <c r="AH128" s="56">
        <v>10271025</v>
      </c>
      <c r="AI128" s="56">
        <v>24882525</v>
      </c>
      <c r="AJ128" s="56">
        <v>2148750</v>
      </c>
      <c r="AK128" s="56">
        <v>14224725</v>
      </c>
      <c r="AL128" s="56">
        <v>1074375</v>
      </c>
      <c r="AM128" s="56">
        <v>3051225</v>
      </c>
      <c r="AN128" s="56">
        <v>0</v>
      </c>
      <c r="AO128" s="56">
        <v>25269300</v>
      </c>
      <c r="AP128" s="56">
        <v>0</v>
      </c>
      <c r="AQ128" s="56">
        <v>24538725</v>
      </c>
      <c r="AR128" s="56">
        <v>0</v>
      </c>
      <c r="AS128" s="56">
        <v>773550</v>
      </c>
      <c r="AT128" s="56">
        <v>0</v>
      </c>
      <c r="AU128" s="56">
        <v>644625</v>
      </c>
      <c r="AV128" s="56">
        <v>43103925</v>
      </c>
      <c r="AW128" s="56">
        <v>257850</v>
      </c>
      <c r="AX128" s="56">
        <v>8680950</v>
      </c>
      <c r="AY128" s="56">
        <v>214875</v>
      </c>
      <c r="AZ128" s="54" t="s">
        <v>12</v>
      </c>
      <c r="BA128" s="56">
        <v>5157000</v>
      </c>
      <c r="BB128" s="56">
        <v>3609900</v>
      </c>
      <c r="BC128" s="56">
        <v>2105775</v>
      </c>
      <c r="BD128" s="56">
        <v>1332225</v>
      </c>
      <c r="BE128" s="56">
        <v>2621475</v>
      </c>
      <c r="BF128" s="89" t="s">
        <v>12</v>
      </c>
    </row>
    <row r="129" spans="1:58" x14ac:dyDescent="0.4">
      <c r="A129" s="63">
        <v>44727</v>
      </c>
      <c r="B129" s="53">
        <v>44727.458587002315</v>
      </c>
      <c r="C129" s="54" t="s">
        <v>93</v>
      </c>
      <c r="D129" s="55" t="s">
        <v>81</v>
      </c>
      <c r="E129" s="69" t="s">
        <v>90</v>
      </c>
      <c r="F129" s="73">
        <v>84.45</v>
      </c>
      <c r="G129" s="57">
        <v>82.01</v>
      </c>
      <c r="H129" s="57">
        <v>87</v>
      </c>
      <c r="I129" s="57">
        <v>84.45</v>
      </c>
      <c r="J129" s="77">
        <v>84.43</v>
      </c>
      <c r="K129" s="81">
        <v>600000</v>
      </c>
      <c r="L129" s="56">
        <v>1250000</v>
      </c>
      <c r="M129" s="56">
        <v>34</v>
      </c>
      <c r="N129" s="56">
        <v>17</v>
      </c>
      <c r="O129" s="57">
        <v>4.25</v>
      </c>
      <c r="P129" s="56">
        <v>36765</v>
      </c>
      <c r="Q129" s="56">
        <v>156250</v>
      </c>
      <c r="R129" s="56">
        <v>175619</v>
      </c>
      <c r="S129" s="56">
        <v>85714</v>
      </c>
      <c r="T129" s="56">
        <v>98321</v>
      </c>
      <c r="U129" s="77">
        <v>2.08</v>
      </c>
      <c r="V129" s="81">
        <v>8</v>
      </c>
      <c r="W129" s="85">
        <v>7</v>
      </c>
      <c r="X129" s="81">
        <v>50670000</v>
      </c>
      <c r="Y129" s="69" t="s">
        <v>75</v>
      </c>
      <c r="Z129" s="81">
        <v>1308975</v>
      </c>
      <c r="AA129" s="56">
        <v>1815675</v>
      </c>
      <c r="AB129" s="56">
        <v>591150</v>
      </c>
      <c r="AC129" s="56">
        <v>422250</v>
      </c>
      <c r="AD129" s="56">
        <v>633375</v>
      </c>
      <c r="AE129" s="54" t="s">
        <v>12</v>
      </c>
      <c r="AF129" s="56">
        <v>1604550</v>
      </c>
      <c r="AG129" s="56">
        <v>168900</v>
      </c>
      <c r="AH129" s="56">
        <v>3251325</v>
      </c>
      <c r="AI129" s="56">
        <v>9289500</v>
      </c>
      <c r="AJ129" s="56">
        <v>1351200</v>
      </c>
      <c r="AK129" s="56">
        <v>7051575</v>
      </c>
      <c r="AL129" s="56">
        <v>464475</v>
      </c>
      <c r="AM129" s="56">
        <v>591150</v>
      </c>
      <c r="AN129" s="56">
        <v>1224525</v>
      </c>
      <c r="AO129" s="54" t="s">
        <v>12</v>
      </c>
      <c r="AP129" s="56">
        <v>591150</v>
      </c>
      <c r="AQ129" s="56">
        <v>7684950</v>
      </c>
      <c r="AR129" s="56">
        <v>0</v>
      </c>
      <c r="AS129" s="56">
        <v>295575</v>
      </c>
      <c r="AT129" s="56">
        <v>211125</v>
      </c>
      <c r="AU129" s="56">
        <v>337800</v>
      </c>
      <c r="AV129" s="54" t="s">
        <v>12</v>
      </c>
      <c r="AW129" s="56">
        <v>380025</v>
      </c>
      <c r="AX129" s="56">
        <v>2660175</v>
      </c>
      <c r="AY129" s="56">
        <v>2617950</v>
      </c>
      <c r="AZ129" s="54" t="s">
        <v>12</v>
      </c>
      <c r="BA129" s="56">
        <v>2449050</v>
      </c>
      <c r="BB129" s="56">
        <v>1182300</v>
      </c>
      <c r="BC129" s="56">
        <v>2322375</v>
      </c>
      <c r="BD129" s="56">
        <v>84450</v>
      </c>
      <c r="BE129" s="56">
        <v>84450</v>
      </c>
      <c r="BF129" s="89" t="s">
        <v>12</v>
      </c>
    </row>
    <row r="130" spans="1:58" x14ac:dyDescent="0.4">
      <c r="A130" s="63">
        <v>44726</v>
      </c>
      <c r="B130" s="53">
        <v>44726.458863333333</v>
      </c>
      <c r="C130" s="54" t="s">
        <v>89</v>
      </c>
      <c r="D130" s="55" t="s">
        <v>74</v>
      </c>
      <c r="E130" s="69" t="s">
        <v>90</v>
      </c>
      <c r="F130" s="73">
        <v>82.31</v>
      </c>
      <c r="G130" s="57">
        <v>45</v>
      </c>
      <c r="H130" s="57">
        <v>83.5</v>
      </c>
      <c r="I130" s="57">
        <v>81.16</v>
      </c>
      <c r="J130" s="77">
        <v>81.760000000000005</v>
      </c>
      <c r="K130" s="81">
        <v>2295500</v>
      </c>
      <c r="L130" s="56">
        <v>5735500</v>
      </c>
      <c r="M130" s="56">
        <v>79</v>
      </c>
      <c r="N130" s="56">
        <v>19</v>
      </c>
      <c r="O130" s="57">
        <v>3.59</v>
      </c>
      <c r="P130" s="56">
        <v>72601</v>
      </c>
      <c r="Q130" s="56">
        <v>260705</v>
      </c>
      <c r="R130" s="56">
        <v>472771</v>
      </c>
      <c r="S130" s="56">
        <v>229550</v>
      </c>
      <c r="T130" s="56">
        <v>304825</v>
      </c>
      <c r="U130" s="77">
        <v>2.5</v>
      </c>
      <c r="V130" s="81">
        <v>22</v>
      </c>
      <c r="W130" s="85">
        <v>10</v>
      </c>
      <c r="X130" s="81">
        <v>188942605</v>
      </c>
      <c r="Y130" s="69" t="s">
        <v>75</v>
      </c>
      <c r="Z130" s="81">
        <v>2757385</v>
      </c>
      <c r="AA130" s="56">
        <v>1070030</v>
      </c>
      <c r="AB130" s="56">
        <v>9794890</v>
      </c>
      <c r="AC130" s="56">
        <v>740790</v>
      </c>
      <c r="AD130" s="56">
        <v>4856290</v>
      </c>
      <c r="AE130" s="54" t="s">
        <v>12</v>
      </c>
      <c r="AF130" s="56">
        <v>617325</v>
      </c>
      <c r="AG130" s="56">
        <v>2510455</v>
      </c>
      <c r="AH130" s="56">
        <v>9836045</v>
      </c>
      <c r="AI130" s="56">
        <v>23828745</v>
      </c>
      <c r="AJ130" s="56">
        <v>2057750</v>
      </c>
      <c r="AK130" s="56">
        <v>13622305</v>
      </c>
      <c r="AL130" s="56">
        <v>1028875</v>
      </c>
      <c r="AM130" s="56">
        <v>2922005</v>
      </c>
      <c r="AN130" s="56">
        <v>0</v>
      </c>
      <c r="AO130" s="56">
        <v>24199140</v>
      </c>
      <c r="AP130" s="56">
        <v>0</v>
      </c>
      <c r="AQ130" s="56">
        <v>23499505</v>
      </c>
      <c r="AR130" s="56">
        <v>0</v>
      </c>
      <c r="AS130" s="56">
        <v>740790</v>
      </c>
      <c r="AT130" s="56">
        <v>0</v>
      </c>
      <c r="AU130" s="56">
        <v>617325</v>
      </c>
      <c r="AV130" s="56">
        <v>41278465</v>
      </c>
      <c r="AW130" s="56">
        <v>246930</v>
      </c>
      <c r="AX130" s="56">
        <v>8313310</v>
      </c>
      <c r="AY130" s="56">
        <v>205775</v>
      </c>
      <c r="AZ130" s="54" t="s">
        <v>12</v>
      </c>
      <c r="BA130" s="56">
        <v>4938600</v>
      </c>
      <c r="BB130" s="56">
        <v>3457020</v>
      </c>
      <c r="BC130" s="56">
        <v>2016595</v>
      </c>
      <c r="BD130" s="56">
        <v>1275805</v>
      </c>
      <c r="BE130" s="56">
        <v>2510455</v>
      </c>
      <c r="BF130" s="89" t="s">
        <v>12</v>
      </c>
    </row>
    <row r="131" spans="1:58" x14ac:dyDescent="0.4">
      <c r="A131" s="63">
        <v>44725</v>
      </c>
      <c r="B131" s="53">
        <v>44725.458890671296</v>
      </c>
      <c r="C131" s="54" t="s">
        <v>89</v>
      </c>
      <c r="D131" s="55" t="s">
        <v>74</v>
      </c>
      <c r="E131" s="69" t="s">
        <v>90</v>
      </c>
      <c r="F131" s="73">
        <v>80.099999999999994</v>
      </c>
      <c r="G131" s="57">
        <v>45</v>
      </c>
      <c r="H131" s="57">
        <v>100</v>
      </c>
      <c r="I131" s="57">
        <v>79.290000000000006</v>
      </c>
      <c r="J131" s="77">
        <v>79.489999999999995</v>
      </c>
      <c r="K131" s="81">
        <v>2295500</v>
      </c>
      <c r="L131" s="56">
        <v>5668000</v>
      </c>
      <c r="M131" s="56">
        <v>75</v>
      </c>
      <c r="N131" s="56">
        <v>16</v>
      </c>
      <c r="O131" s="57">
        <v>3.75</v>
      </c>
      <c r="P131" s="56">
        <v>75573</v>
      </c>
      <c r="Q131" s="56">
        <v>283400</v>
      </c>
      <c r="R131" s="56">
        <v>510259</v>
      </c>
      <c r="S131" s="56">
        <v>208682</v>
      </c>
      <c r="T131" s="56">
        <v>314668</v>
      </c>
      <c r="U131" s="77">
        <v>2.4700000000000002</v>
      </c>
      <c r="V131" s="81">
        <v>20</v>
      </c>
      <c r="W131" s="85">
        <v>11</v>
      </c>
      <c r="X131" s="81">
        <v>183869550</v>
      </c>
      <c r="Y131" s="69" t="s">
        <v>75</v>
      </c>
      <c r="Z131" s="81">
        <v>2683350</v>
      </c>
      <c r="AA131" s="56">
        <v>1041300</v>
      </c>
      <c r="AB131" s="56">
        <v>9531900</v>
      </c>
      <c r="AC131" s="56">
        <v>720900</v>
      </c>
      <c r="AD131" s="56">
        <v>4725900</v>
      </c>
      <c r="AE131" s="54" t="s">
        <v>12</v>
      </c>
      <c r="AF131" s="56">
        <v>600750</v>
      </c>
      <c r="AG131" s="56">
        <v>2443050</v>
      </c>
      <c r="AH131" s="56">
        <v>9571950</v>
      </c>
      <c r="AI131" s="56">
        <v>23188950</v>
      </c>
      <c r="AJ131" s="56">
        <v>2002500</v>
      </c>
      <c r="AK131" s="56">
        <v>13256550</v>
      </c>
      <c r="AL131" s="56">
        <v>1001250</v>
      </c>
      <c r="AM131" s="56">
        <v>2843550</v>
      </c>
      <c r="AN131" s="56">
        <v>0</v>
      </c>
      <c r="AO131" s="56">
        <v>23549400</v>
      </c>
      <c r="AP131" s="56">
        <v>0</v>
      </c>
      <c r="AQ131" s="56">
        <v>22868550</v>
      </c>
      <c r="AR131" s="56">
        <v>0</v>
      </c>
      <c r="AS131" s="56">
        <v>720900</v>
      </c>
      <c r="AT131" s="56">
        <v>0</v>
      </c>
      <c r="AU131" s="56">
        <v>600750</v>
      </c>
      <c r="AV131" s="56">
        <v>40170150</v>
      </c>
      <c r="AW131" s="56">
        <v>240300</v>
      </c>
      <c r="AX131" s="56">
        <v>8090100</v>
      </c>
      <c r="AY131" s="56">
        <v>200250</v>
      </c>
      <c r="AZ131" s="54" t="s">
        <v>12</v>
      </c>
      <c r="BA131" s="56">
        <v>4806000</v>
      </c>
      <c r="BB131" s="56">
        <v>3364200</v>
      </c>
      <c r="BC131" s="56">
        <v>1962450</v>
      </c>
      <c r="BD131" s="56">
        <v>1241550</v>
      </c>
      <c r="BE131" s="56">
        <v>2443050</v>
      </c>
      <c r="BF131" s="89" t="s">
        <v>12</v>
      </c>
    </row>
    <row r="132" spans="1:58" x14ac:dyDescent="0.4">
      <c r="A132" s="63">
        <v>44722</v>
      </c>
      <c r="B132" s="53">
        <v>44722.458710092593</v>
      </c>
      <c r="C132" s="54" t="s">
        <v>91</v>
      </c>
      <c r="D132" s="55" t="s">
        <v>74</v>
      </c>
      <c r="E132" s="69" t="s">
        <v>90</v>
      </c>
      <c r="F132" s="73">
        <v>80.73</v>
      </c>
      <c r="G132" s="57">
        <v>45</v>
      </c>
      <c r="H132" s="57">
        <v>83.03</v>
      </c>
      <c r="I132" s="57">
        <v>80.069999999999993</v>
      </c>
      <c r="J132" s="77">
        <v>80.75</v>
      </c>
      <c r="K132" s="81">
        <v>1944000</v>
      </c>
      <c r="L132" s="56">
        <v>4595500</v>
      </c>
      <c r="M132" s="56">
        <v>73</v>
      </c>
      <c r="N132" s="56">
        <v>38</v>
      </c>
      <c r="O132" s="57">
        <v>3.84</v>
      </c>
      <c r="P132" s="56">
        <v>62952</v>
      </c>
      <c r="Q132" s="56">
        <v>241868</v>
      </c>
      <c r="R132" s="56">
        <v>492146</v>
      </c>
      <c r="S132" s="56">
        <v>108000</v>
      </c>
      <c r="T132" s="56">
        <v>236519</v>
      </c>
      <c r="U132" s="77">
        <v>2.36</v>
      </c>
      <c r="V132" s="81">
        <v>19</v>
      </c>
      <c r="W132" s="85">
        <v>18</v>
      </c>
      <c r="X132" s="81">
        <v>156939120</v>
      </c>
      <c r="Y132" s="69" t="s">
        <v>77</v>
      </c>
      <c r="Z132" s="87" t="s">
        <v>12</v>
      </c>
      <c r="AA132" s="54" t="s">
        <v>12</v>
      </c>
      <c r="AB132" s="54" t="s">
        <v>12</v>
      </c>
      <c r="AC132" s="54" t="s">
        <v>12</v>
      </c>
      <c r="AD132" s="54" t="s">
        <v>12</v>
      </c>
      <c r="AE132" s="56">
        <v>156939120</v>
      </c>
      <c r="AF132" s="54" t="s">
        <v>12</v>
      </c>
      <c r="AG132" s="54" t="s">
        <v>12</v>
      </c>
      <c r="AH132" s="54" t="s">
        <v>12</v>
      </c>
      <c r="AI132" s="54" t="s">
        <v>12</v>
      </c>
      <c r="AJ132" s="54" t="s">
        <v>12</v>
      </c>
      <c r="AK132" s="54" t="s">
        <v>12</v>
      </c>
      <c r="AL132" s="54" t="s">
        <v>12</v>
      </c>
      <c r="AM132" s="54" t="s">
        <v>12</v>
      </c>
      <c r="AN132" s="54" t="s">
        <v>12</v>
      </c>
      <c r="AO132" s="54" t="s">
        <v>12</v>
      </c>
      <c r="AP132" s="54" t="s">
        <v>12</v>
      </c>
      <c r="AQ132" s="54" t="s">
        <v>12</v>
      </c>
      <c r="AR132" s="54" t="s">
        <v>12</v>
      </c>
      <c r="AS132" s="54" t="s">
        <v>12</v>
      </c>
      <c r="AT132" s="54" t="s">
        <v>12</v>
      </c>
      <c r="AU132" s="54" t="s">
        <v>12</v>
      </c>
      <c r="AV132" s="54" t="s">
        <v>12</v>
      </c>
      <c r="AW132" s="54" t="s">
        <v>12</v>
      </c>
      <c r="AX132" s="54" t="s">
        <v>12</v>
      </c>
      <c r="AY132" s="54" t="s">
        <v>12</v>
      </c>
      <c r="AZ132" s="54" t="s">
        <v>12</v>
      </c>
      <c r="BA132" s="54" t="s">
        <v>12</v>
      </c>
      <c r="BB132" s="54" t="s">
        <v>12</v>
      </c>
      <c r="BC132" s="54" t="s">
        <v>12</v>
      </c>
      <c r="BD132" s="54" t="s">
        <v>12</v>
      </c>
      <c r="BE132" s="54" t="s">
        <v>12</v>
      </c>
      <c r="BF132" s="89" t="s">
        <v>12</v>
      </c>
    </row>
    <row r="133" spans="1:58" x14ac:dyDescent="0.4">
      <c r="A133" s="63">
        <v>44721</v>
      </c>
      <c r="B133" s="53">
        <v>44721.458730636572</v>
      </c>
      <c r="C133" s="54" t="s">
        <v>89</v>
      </c>
      <c r="D133" s="55" t="s">
        <v>74</v>
      </c>
      <c r="E133" s="69" t="s">
        <v>90</v>
      </c>
      <c r="F133" s="73">
        <v>80.209999999999994</v>
      </c>
      <c r="G133" s="57">
        <v>45</v>
      </c>
      <c r="H133" s="57">
        <v>92</v>
      </c>
      <c r="I133" s="57">
        <v>79.56</v>
      </c>
      <c r="J133" s="77">
        <v>79.739999999999995</v>
      </c>
      <c r="K133" s="81">
        <v>2295500</v>
      </c>
      <c r="L133" s="56">
        <v>5532500</v>
      </c>
      <c r="M133" s="56">
        <v>81</v>
      </c>
      <c r="N133" s="56">
        <v>25</v>
      </c>
      <c r="O133" s="57">
        <v>3.52</v>
      </c>
      <c r="P133" s="56">
        <v>68302</v>
      </c>
      <c r="Q133" s="56">
        <v>240543</v>
      </c>
      <c r="R133" s="56">
        <v>473202</v>
      </c>
      <c r="S133" s="56">
        <v>153033</v>
      </c>
      <c r="T133" s="56">
        <v>273440</v>
      </c>
      <c r="U133" s="77">
        <v>2.41</v>
      </c>
      <c r="V133" s="81">
        <v>23</v>
      </c>
      <c r="W133" s="85">
        <v>15</v>
      </c>
      <c r="X133" s="81">
        <v>184122055</v>
      </c>
      <c r="Y133" s="69" t="s">
        <v>75</v>
      </c>
      <c r="Z133" s="81">
        <v>2687035</v>
      </c>
      <c r="AA133" s="56">
        <v>1042730</v>
      </c>
      <c r="AB133" s="56">
        <v>9544990</v>
      </c>
      <c r="AC133" s="56">
        <v>721890</v>
      </c>
      <c r="AD133" s="56">
        <v>4732390</v>
      </c>
      <c r="AE133" s="54" t="s">
        <v>12</v>
      </c>
      <c r="AF133" s="56">
        <v>601575</v>
      </c>
      <c r="AG133" s="56">
        <v>2446405</v>
      </c>
      <c r="AH133" s="56">
        <v>9585095</v>
      </c>
      <c r="AI133" s="56">
        <v>23220795</v>
      </c>
      <c r="AJ133" s="56">
        <v>2005250</v>
      </c>
      <c r="AK133" s="56">
        <v>13274755</v>
      </c>
      <c r="AL133" s="56">
        <v>1002625</v>
      </c>
      <c r="AM133" s="56">
        <v>2847455</v>
      </c>
      <c r="AN133" s="56">
        <v>0</v>
      </c>
      <c r="AO133" s="56">
        <v>23581740</v>
      </c>
      <c r="AP133" s="56">
        <v>0</v>
      </c>
      <c r="AQ133" s="56">
        <v>22899955</v>
      </c>
      <c r="AR133" s="56">
        <v>0</v>
      </c>
      <c r="AS133" s="56">
        <v>721890</v>
      </c>
      <c r="AT133" s="56">
        <v>0</v>
      </c>
      <c r="AU133" s="56">
        <v>601575</v>
      </c>
      <c r="AV133" s="56">
        <v>40225315</v>
      </c>
      <c r="AW133" s="56">
        <v>240630</v>
      </c>
      <c r="AX133" s="56">
        <v>8101210</v>
      </c>
      <c r="AY133" s="56">
        <v>200525</v>
      </c>
      <c r="AZ133" s="54" t="s">
        <v>12</v>
      </c>
      <c r="BA133" s="56">
        <v>4812600</v>
      </c>
      <c r="BB133" s="56">
        <v>3368820</v>
      </c>
      <c r="BC133" s="56">
        <v>1965145</v>
      </c>
      <c r="BD133" s="56">
        <v>1243255</v>
      </c>
      <c r="BE133" s="56">
        <v>2446405</v>
      </c>
      <c r="BF133" s="89" t="s">
        <v>12</v>
      </c>
    </row>
    <row r="134" spans="1:58" x14ac:dyDescent="0.4">
      <c r="A134" s="63">
        <v>44720</v>
      </c>
      <c r="B134" s="53">
        <v>44720.458620682868</v>
      </c>
      <c r="C134" s="54" t="s">
        <v>92</v>
      </c>
      <c r="D134" s="55" t="s">
        <v>74</v>
      </c>
      <c r="E134" s="69" t="s">
        <v>90</v>
      </c>
      <c r="F134" s="73">
        <v>79.11</v>
      </c>
      <c r="G134" s="57">
        <v>45</v>
      </c>
      <c r="H134" s="57">
        <v>92</v>
      </c>
      <c r="I134" s="57">
        <v>79.069999999999993</v>
      </c>
      <c r="J134" s="77">
        <v>79.010000000000005</v>
      </c>
      <c r="K134" s="81">
        <v>2658000</v>
      </c>
      <c r="L134" s="56">
        <v>5964000</v>
      </c>
      <c r="M134" s="56">
        <v>88</v>
      </c>
      <c r="N134" s="56">
        <v>38</v>
      </c>
      <c r="O134" s="57">
        <v>3.83</v>
      </c>
      <c r="P134" s="56">
        <v>67773</v>
      </c>
      <c r="Q134" s="56">
        <v>259304</v>
      </c>
      <c r="R134" s="56">
        <v>464437</v>
      </c>
      <c r="S134" s="56">
        <v>139895</v>
      </c>
      <c r="T134" s="56">
        <v>225289</v>
      </c>
      <c r="U134" s="77">
        <v>2.2400000000000002</v>
      </c>
      <c r="V134" s="81">
        <v>23</v>
      </c>
      <c r="W134" s="85">
        <v>19</v>
      </c>
      <c r="X134" s="81">
        <v>210274380</v>
      </c>
      <c r="Y134" s="69" t="s">
        <v>79</v>
      </c>
      <c r="Z134" s="87" t="s">
        <v>12</v>
      </c>
      <c r="AA134" s="54" t="s">
        <v>12</v>
      </c>
      <c r="AB134" s="54" t="s">
        <v>12</v>
      </c>
      <c r="AC134" s="54" t="s">
        <v>12</v>
      </c>
      <c r="AD134" s="54" t="s">
        <v>12</v>
      </c>
      <c r="AE134" s="54" t="s">
        <v>12</v>
      </c>
      <c r="AF134" s="54" t="s">
        <v>12</v>
      </c>
      <c r="AG134" s="54" t="s">
        <v>12</v>
      </c>
      <c r="AH134" s="54" t="s">
        <v>12</v>
      </c>
      <c r="AI134" s="54" t="s">
        <v>12</v>
      </c>
      <c r="AJ134" s="54" t="s">
        <v>12</v>
      </c>
      <c r="AK134" s="54" t="s">
        <v>12</v>
      </c>
      <c r="AL134" s="54" t="s">
        <v>12</v>
      </c>
      <c r="AM134" s="54" t="s">
        <v>12</v>
      </c>
      <c r="AN134" s="54" t="s">
        <v>12</v>
      </c>
      <c r="AO134" s="54" t="s">
        <v>12</v>
      </c>
      <c r="AP134" s="54" t="s">
        <v>12</v>
      </c>
      <c r="AQ134" s="54" t="s">
        <v>12</v>
      </c>
      <c r="AR134" s="54" t="s">
        <v>12</v>
      </c>
      <c r="AS134" s="54" t="s">
        <v>12</v>
      </c>
      <c r="AT134" s="54" t="s">
        <v>12</v>
      </c>
      <c r="AU134" s="54" t="s">
        <v>12</v>
      </c>
      <c r="AV134" s="54" t="s">
        <v>12</v>
      </c>
      <c r="AW134" s="54" t="s">
        <v>12</v>
      </c>
      <c r="AX134" s="54" t="s">
        <v>12</v>
      </c>
      <c r="AY134" s="54" t="s">
        <v>12</v>
      </c>
      <c r="AZ134" s="56">
        <v>210274380</v>
      </c>
      <c r="BA134" s="54" t="s">
        <v>12</v>
      </c>
      <c r="BB134" s="54" t="s">
        <v>12</v>
      </c>
      <c r="BC134" s="54" t="s">
        <v>12</v>
      </c>
      <c r="BD134" s="54" t="s">
        <v>12</v>
      </c>
      <c r="BE134" s="54" t="s">
        <v>12</v>
      </c>
      <c r="BF134" s="89" t="s">
        <v>12</v>
      </c>
    </row>
    <row r="135" spans="1:58" x14ac:dyDescent="0.4">
      <c r="A135" s="63">
        <v>44719</v>
      </c>
      <c r="B135" s="53">
        <v>44719.45874519676</v>
      </c>
      <c r="C135" s="54" t="s">
        <v>89</v>
      </c>
      <c r="D135" s="55" t="s">
        <v>74</v>
      </c>
      <c r="E135" s="69" t="s">
        <v>90</v>
      </c>
      <c r="F135" s="73">
        <v>81.69</v>
      </c>
      <c r="G135" s="57">
        <v>45</v>
      </c>
      <c r="H135" s="57">
        <v>87.5</v>
      </c>
      <c r="I135" s="57">
        <v>80.81</v>
      </c>
      <c r="J135" s="77">
        <v>81.459999999999994</v>
      </c>
      <c r="K135" s="81">
        <v>2295500</v>
      </c>
      <c r="L135" s="56">
        <v>5522000</v>
      </c>
      <c r="M135" s="56">
        <v>83</v>
      </c>
      <c r="N135" s="56">
        <v>31</v>
      </c>
      <c r="O135" s="57">
        <v>3.61</v>
      </c>
      <c r="P135" s="56">
        <v>66530</v>
      </c>
      <c r="Q135" s="56">
        <v>240087</v>
      </c>
      <c r="R135" s="56">
        <v>442120</v>
      </c>
      <c r="S135" s="56">
        <v>127528</v>
      </c>
      <c r="T135" s="56">
        <v>197125</v>
      </c>
      <c r="U135" s="77">
        <v>2.41</v>
      </c>
      <c r="V135" s="81">
        <v>23</v>
      </c>
      <c r="W135" s="85">
        <v>18</v>
      </c>
      <c r="X135" s="81">
        <v>187519395</v>
      </c>
      <c r="Y135" s="69" t="s">
        <v>75</v>
      </c>
      <c r="Z135" s="81">
        <v>2736615</v>
      </c>
      <c r="AA135" s="56">
        <v>1061970</v>
      </c>
      <c r="AB135" s="56">
        <v>9721110</v>
      </c>
      <c r="AC135" s="56">
        <v>735210</v>
      </c>
      <c r="AD135" s="56">
        <v>4819710</v>
      </c>
      <c r="AE135" s="54" t="s">
        <v>12</v>
      </c>
      <c r="AF135" s="56">
        <v>612675</v>
      </c>
      <c r="AG135" s="56">
        <v>2491545</v>
      </c>
      <c r="AH135" s="56">
        <v>9761955</v>
      </c>
      <c r="AI135" s="56">
        <v>23649255</v>
      </c>
      <c r="AJ135" s="56">
        <v>2042250</v>
      </c>
      <c r="AK135" s="56">
        <v>13519695</v>
      </c>
      <c r="AL135" s="56">
        <v>1021125</v>
      </c>
      <c r="AM135" s="56">
        <v>2899995</v>
      </c>
      <c r="AN135" s="56">
        <v>0</v>
      </c>
      <c r="AO135" s="56">
        <v>24016860</v>
      </c>
      <c r="AP135" s="56">
        <v>0</v>
      </c>
      <c r="AQ135" s="56">
        <v>23322495</v>
      </c>
      <c r="AR135" s="56">
        <v>0</v>
      </c>
      <c r="AS135" s="56">
        <v>735210</v>
      </c>
      <c r="AT135" s="56">
        <v>0</v>
      </c>
      <c r="AU135" s="56">
        <v>612675</v>
      </c>
      <c r="AV135" s="56">
        <v>40967535</v>
      </c>
      <c r="AW135" s="56">
        <v>245070</v>
      </c>
      <c r="AX135" s="56">
        <v>8250690</v>
      </c>
      <c r="AY135" s="56">
        <v>204225</v>
      </c>
      <c r="AZ135" s="54" t="s">
        <v>12</v>
      </c>
      <c r="BA135" s="56">
        <v>4901400</v>
      </c>
      <c r="BB135" s="56">
        <v>3430980</v>
      </c>
      <c r="BC135" s="56">
        <v>2001405</v>
      </c>
      <c r="BD135" s="56">
        <v>1266195</v>
      </c>
      <c r="BE135" s="56">
        <v>2491545</v>
      </c>
      <c r="BF135" s="89" t="s">
        <v>12</v>
      </c>
    </row>
    <row r="136" spans="1:58" x14ac:dyDescent="0.4">
      <c r="A136" s="63">
        <v>44712</v>
      </c>
      <c r="B136" s="53">
        <v>44712.458856874997</v>
      </c>
      <c r="C136" s="54" t="s">
        <v>89</v>
      </c>
      <c r="D136" s="55" t="s">
        <v>74</v>
      </c>
      <c r="E136" s="69" t="s">
        <v>90</v>
      </c>
      <c r="F136" s="73">
        <v>83.63</v>
      </c>
      <c r="G136" s="57">
        <v>45</v>
      </c>
      <c r="H136" s="57">
        <v>88</v>
      </c>
      <c r="I136" s="57">
        <v>83.02</v>
      </c>
      <c r="J136" s="77">
        <v>83.59</v>
      </c>
      <c r="K136" s="81">
        <v>2506500</v>
      </c>
      <c r="L136" s="56">
        <v>5465500</v>
      </c>
      <c r="M136" s="56">
        <v>80</v>
      </c>
      <c r="N136" s="56">
        <v>36</v>
      </c>
      <c r="O136" s="57">
        <v>3.64</v>
      </c>
      <c r="P136" s="56">
        <v>68319</v>
      </c>
      <c r="Q136" s="56">
        <v>248432</v>
      </c>
      <c r="R136" s="56">
        <v>462942</v>
      </c>
      <c r="S136" s="56">
        <v>147441</v>
      </c>
      <c r="T136" s="56">
        <v>242003</v>
      </c>
      <c r="U136" s="77">
        <v>2.1800000000000002</v>
      </c>
      <c r="V136" s="81">
        <v>22</v>
      </c>
      <c r="W136" s="85">
        <v>17</v>
      </c>
      <c r="X136" s="81">
        <v>209618595</v>
      </c>
      <c r="Y136" s="69" t="s">
        <v>75</v>
      </c>
      <c r="Z136" s="81">
        <v>2801605</v>
      </c>
      <c r="AA136" s="56">
        <v>6774030</v>
      </c>
      <c r="AB136" s="56">
        <v>9951970</v>
      </c>
      <c r="AC136" s="56">
        <v>752670</v>
      </c>
      <c r="AD136" s="56">
        <v>4934170</v>
      </c>
      <c r="AE136" s="54" t="s">
        <v>12</v>
      </c>
      <c r="AF136" s="56">
        <v>3679720</v>
      </c>
      <c r="AG136" s="56">
        <v>2550715</v>
      </c>
      <c r="AH136" s="56">
        <v>9993785</v>
      </c>
      <c r="AI136" s="56">
        <v>24210885</v>
      </c>
      <c r="AJ136" s="56">
        <v>4641465</v>
      </c>
      <c r="AK136" s="56">
        <v>13840765</v>
      </c>
      <c r="AL136" s="56">
        <v>1045375</v>
      </c>
      <c r="AM136" s="56">
        <v>2968865</v>
      </c>
      <c r="AN136" s="56">
        <v>3554275</v>
      </c>
      <c r="AO136" s="56">
        <v>24587220</v>
      </c>
      <c r="AP136" s="56">
        <v>167260</v>
      </c>
      <c r="AQ136" s="56">
        <v>23876365</v>
      </c>
      <c r="AR136" s="56">
        <v>0</v>
      </c>
      <c r="AS136" s="56">
        <v>752670</v>
      </c>
      <c r="AT136" s="56">
        <v>501780</v>
      </c>
      <c r="AU136" s="56">
        <v>627225</v>
      </c>
      <c r="AV136" s="56">
        <v>41940445</v>
      </c>
      <c r="AW136" s="56">
        <v>292705</v>
      </c>
      <c r="AX136" s="56">
        <v>8446630</v>
      </c>
      <c r="AY136" s="56">
        <v>2299825</v>
      </c>
      <c r="AZ136" s="54" t="s">
        <v>12</v>
      </c>
      <c r="BA136" s="56">
        <v>5017800</v>
      </c>
      <c r="BB136" s="56">
        <v>3512460</v>
      </c>
      <c r="BC136" s="56">
        <v>2048935</v>
      </c>
      <c r="BD136" s="56">
        <v>1296265</v>
      </c>
      <c r="BE136" s="56">
        <v>2550715</v>
      </c>
      <c r="BF136" s="89" t="s">
        <v>12</v>
      </c>
    </row>
    <row r="137" spans="1:58" x14ac:dyDescent="0.4">
      <c r="A137" s="63">
        <v>44711</v>
      </c>
      <c r="B137" s="53">
        <v>44711.459948217591</v>
      </c>
      <c r="C137" s="54" t="s">
        <v>89</v>
      </c>
      <c r="D137" s="55" t="s">
        <v>74</v>
      </c>
      <c r="E137" s="69" t="s">
        <v>90</v>
      </c>
      <c r="F137" s="73">
        <v>83.75</v>
      </c>
      <c r="G137" s="57">
        <v>45</v>
      </c>
      <c r="H137" s="57">
        <v>89</v>
      </c>
      <c r="I137" s="57">
        <v>83.07</v>
      </c>
      <c r="J137" s="77">
        <v>83.4</v>
      </c>
      <c r="K137" s="81">
        <v>2506500</v>
      </c>
      <c r="L137" s="56">
        <v>6162000</v>
      </c>
      <c r="M137" s="56">
        <v>103</v>
      </c>
      <c r="N137" s="56">
        <v>33</v>
      </c>
      <c r="O137" s="57">
        <v>4.4800000000000004</v>
      </c>
      <c r="P137" s="56">
        <v>59825</v>
      </c>
      <c r="Q137" s="56">
        <v>267913</v>
      </c>
      <c r="R137" s="56">
        <v>467803</v>
      </c>
      <c r="S137" s="56">
        <v>208875</v>
      </c>
      <c r="T137" s="56">
        <v>299798</v>
      </c>
      <c r="U137" s="77">
        <v>2.46</v>
      </c>
      <c r="V137" s="81">
        <v>23</v>
      </c>
      <c r="W137" s="85">
        <v>12</v>
      </c>
      <c r="X137" s="81">
        <v>209919375</v>
      </c>
      <c r="Y137" s="69" t="s">
        <v>75</v>
      </c>
      <c r="Z137" s="81">
        <v>2805625</v>
      </c>
      <c r="AA137" s="56">
        <v>6783750</v>
      </c>
      <c r="AB137" s="56">
        <v>9966250</v>
      </c>
      <c r="AC137" s="56">
        <v>753750</v>
      </c>
      <c r="AD137" s="56">
        <v>4941250</v>
      </c>
      <c r="AE137" s="54" t="s">
        <v>12</v>
      </c>
      <c r="AF137" s="56">
        <v>3685000</v>
      </c>
      <c r="AG137" s="56">
        <v>2554375</v>
      </c>
      <c r="AH137" s="56">
        <v>10008125</v>
      </c>
      <c r="AI137" s="56">
        <v>24245625</v>
      </c>
      <c r="AJ137" s="56">
        <v>4648125</v>
      </c>
      <c r="AK137" s="56">
        <v>13860625</v>
      </c>
      <c r="AL137" s="56">
        <v>1046875</v>
      </c>
      <c r="AM137" s="56">
        <v>2973125</v>
      </c>
      <c r="AN137" s="56">
        <v>3559375</v>
      </c>
      <c r="AO137" s="56">
        <v>24622500</v>
      </c>
      <c r="AP137" s="56">
        <v>167500</v>
      </c>
      <c r="AQ137" s="56">
        <v>23910625</v>
      </c>
      <c r="AR137" s="56">
        <v>0</v>
      </c>
      <c r="AS137" s="56">
        <v>753750</v>
      </c>
      <c r="AT137" s="56">
        <v>502500</v>
      </c>
      <c r="AU137" s="56">
        <v>628125</v>
      </c>
      <c r="AV137" s="56">
        <v>42000625</v>
      </c>
      <c r="AW137" s="56">
        <v>293125</v>
      </c>
      <c r="AX137" s="56">
        <v>8458750</v>
      </c>
      <c r="AY137" s="56">
        <v>2303125</v>
      </c>
      <c r="AZ137" s="54" t="s">
        <v>12</v>
      </c>
      <c r="BA137" s="56">
        <v>5025000</v>
      </c>
      <c r="BB137" s="56">
        <v>3517500</v>
      </c>
      <c r="BC137" s="56">
        <v>2051875</v>
      </c>
      <c r="BD137" s="56">
        <v>1298125</v>
      </c>
      <c r="BE137" s="56">
        <v>2554375</v>
      </c>
      <c r="BF137" s="89" t="s">
        <v>12</v>
      </c>
    </row>
    <row r="138" spans="1:58" x14ac:dyDescent="0.4">
      <c r="A138" s="63">
        <v>44706</v>
      </c>
      <c r="B138" s="53">
        <v>44706.458712581021</v>
      </c>
      <c r="C138" s="54" t="s">
        <v>92</v>
      </c>
      <c r="D138" s="55" t="s">
        <v>74</v>
      </c>
      <c r="E138" s="69" t="s">
        <v>90</v>
      </c>
      <c r="F138" s="73">
        <v>80.430000000000007</v>
      </c>
      <c r="G138" s="57">
        <v>45</v>
      </c>
      <c r="H138" s="57">
        <v>100</v>
      </c>
      <c r="I138" s="57">
        <v>80.78</v>
      </c>
      <c r="J138" s="77">
        <v>80.55</v>
      </c>
      <c r="K138" s="81">
        <v>2658000</v>
      </c>
      <c r="L138" s="56">
        <v>5782000</v>
      </c>
      <c r="M138" s="56">
        <v>81</v>
      </c>
      <c r="N138" s="56">
        <v>49</v>
      </c>
      <c r="O138" s="57">
        <v>3.38</v>
      </c>
      <c r="P138" s="56">
        <v>71383</v>
      </c>
      <c r="Q138" s="56">
        <v>240917</v>
      </c>
      <c r="R138" s="56">
        <v>446248</v>
      </c>
      <c r="S138" s="56">
        <v>132900</v>
      </c>
      <c r="T138" s="56">
        <v>222769</v>
      </c>
      <c r="U138" s="77">
        <v>2.1800000000000002</v>
      </c>
      <c r="V138" s="81">
        <v>24</v>
      </c>
      <c r="W138" s="85">
        <v>20</v>
      </c>
      <c r="X138" s="81">
        <v>213782940</v>
      </c>
      <c r="Y138" s="69" t="s">
        <v>79</v>
      </c>
      <c r="Z138" s="87" t="s">
        <v>12</v>
      </c>
      <c r="AA138" s="54" t="s">
        <v>12</v>
      </c>
      <c r="AB138" s="54" t="s">
        <v>12</v>
      </c>
      <c r="AC138" s="54" t="s">
        <v>12</v>
      </c>
      <c r="AD138" s="54" t="s">
        <v>12</v>
      </c>
      <c r="AE138" s="54" t="s">
        <v>12</v>
      </c>
      <c r="AF138" s="54" t="s">
        <v>12</v>
      </c>
      <c r="AG138" s="54" t="s">
        <v>12</v>
      </c>
      <c r="AH138" s="54" t="s">
        <v>12</v>
      </c>
      <c r="AI138" s="54" t="s">
        <v>12</v>
      </c>
      <c r="AJ138" s="54" t="s">
        <v>12</v>
      </c>
      <c r="AK138" s="54" t="s">
        <v>12</v>
      </c>
      <c r="AL138" s="54" t="s">
        <v>12</v>
      </c>
      <c r="AM138" s="54" t="s">
        <v>12</v>
      </c>
      <c r="AN138" s="54" t="s">
        <v>12</v>
      </c>
      <c r="AO138" s="54" t="s">
        <v>12</v>
      </c>
      <c r="AP138" s="54" t="s">
        <v>12</v>
      </c>
      <c r="AQ138" s="54" t="s">
        <v>12</v>
      </c>
      <c r="AR138" s="54" t="s">
        <v>12</v>
      </c>
      <c r="AS138" s="54" t="s">
        <v>12</v>
      </c>
      <c r="AT138" s="54" t="s">
        <v>12</v>
      </c>
      <c r="AU138" s="54" t="s">
        <v>12</v>
      </c>
      <c r="AV138" s="54" t="s">
        <v>12</v>
      </c>
      <c r="AW138" s="54" t="s">
        <v>12</v>
      </c>
      <c r="AX138" s="54" t="s">
        <v>12</v>
      </c>
      <c r="AY138" s="54" t="s">
        <v>12</v>
      </c>
      <c r="AZ138" s="56">
        <v>213782940</v>
      </c>
      <c r="BA138" s="54" t="s">
        <v>12</v>
      </c>
      <c r="BB138" s="54" t="s">
        <v>12</v>
      </c>
      <c r="BC138" s="54" t="s">
        <v>12</v>
      </c>
      <c r="BD138" s="54" t="s">
        <v>12</v>
      </c>
      <c r="BE138" s="54" t="s">
        <v>12</v>
      </c>
      <c r="BF138" s="89" t="s">
        <v>12</v>
      </c>
    </row>
    <row r="139" spans="1:58" x14ac:dyDescent="0.4">
      <c r="A139" s="63">
        <v>44705</v>
      </c>
      <c r="B139" s="53">
        <v>44705.458864189815</v>
      </c>
      <c r="C139" s="54" t="s">
        <v>89</v>
      </c>
      <c r="D139" s="55" t="s">
        <v>74</v>
      </c>
      <c r="E139" s="69" t="s">
        <v>90</v>
      </c>
      <c r="F139" s="73">
        <v>78.88</v>
      </c>
      <c r="G139" s="57">
        <v>45</v>
      </c>
      <c r="H139" s="57">
        <v>100</v>
      </c>
      <c r="I139" s="57">
        <v>79</v>
      </c>
      <c r="J139" s="77">
        <v>78.819999999999993</v>
      </c>
      <c r="K139" s="81">
        <v>2506500</v>
      </c>
      <c r="L139" s="56">
        <v>5188000</v>
      </c>
      <c r="M139" s="56">
        <v>80</v>
      </c>
      <c r="N139" s="56">
        <v>39</v>
      </c>
      <c r="O139" s="57">
        <v>3.48</v>
      </c>
      <c r="P139" s="56">
        <v>64850</v>
      </c>
      <c r="Q139" s="56">
        <v>225565</v>
      </c>
      <c r="R139" s="56">
        <v>453519</v>
      </c>
      <c r="S139" s="56">
        <v>147441</v>
      </c>
      <c r="T139" s="56">
        <v>235440</v>
      </c>
      <c r="U139" s="77">
        <v>2.0699999999999998</v>
      </c>
      <c r="V139" s="81">
        <v>23</v>
      </c>
      <c r="W139" s="85">
        <v>17</v>
      </c>
      <c r="X139" s="81">
        <v>197712720</v>
      </c>
      <c r="Y139" s="69" t="s">
        <v>75</v>
      </c>
      <c r="Z139" s="81">
        <v>2642480</v>
      </c>
      <c r="AA139" s="56">
        <v>6389280</v>
      </c>
      <c r="AB139" s="56">
        <v>9386720</v>
      </c>
      <c r="AC139" s="56">
        <v>709920</v>
      </c>
      <c r="AD139" s="56">
        <v>4653920</v>
      </c>
      <c r="AE139" s="54" t="s">
        <v>12</v>
      </c>
      <c r="AF139" s="56">
        <v>3470720</v>
      </c>
      <c r="AG139" s="56">
        <v>2405840</v>
      </c>
      <c r="AH139" s="56">
        <v>9426160</v>
      </c>
      <c r="AI139" s="56">
        <v>22835760</v>
      </c>
      <c r="AJ139" s="56">
        <v>4377840</v>
      </c>
      <c r="AK139" s="56">
        <v>13054640</v>
      </c>
      <c r="AL139" s="56">
        <v>986000</v>
      </c>
      <c r="AM139" s="56">
        <v>2800240</v>
      </c>
      <c r="AN139" s="56">
        <v>3352400</v>
      </c>
      <c r="AO139" s="56">
        <v>23190720</v>
      </c>
      <c r="AP139" s="56">
        <v>157760</v>
      </c>
      <c r="AQ139" s="56">
        <v>22520240</v>
      </c>
      <c r="AR139" s="56">
        <v>0</v>
      </c>
      <c r="AS139" s="56">
        <v>709920</v>
      </c>
      <c r="AT139" s="56">
        <v>473280</v>
      </c>
      <c r="AU139" s="56">
        <v>591600</v>
      </c>
      <c r="AV139" s="56">
        <v>39558320</v>
      </c>
      <c r="AW139" s="56">
        <v>276080</v>
      </c>
      <c r="AX139" s="56">
        <v>7966880</v>
      </c>
      <c r="AY139" s="56">
        <v>2169200</v>
      </c>
      <c r="AZ139" s="54" t="s">
        <v>12</v>
      </c>
      <c r="BA139" s="56">
        <v>4732800</v>
      </c>
      <c r="BB139" s="56">
        <v>3312960</v>
      </c>
      <c r="BC139" s="56">
        <v>1932560</v>
      </c>
      <c r="BD139" s="56">
        <v>1222640</v>
      </c>
      <c r="BE139" s="56">
        <v>2405840</v>
      </c>
      <c r="BF139" s="89" t="s">
        <v>12</v>
      </c>
    </row>
    <row r="140" spans="1:58" x14ac:dyDescent="0.4">
      <c r="A140" s="63">
        <v>44704</v>
      </c>
      <c r="B140" s="53">
        <v>44704.458928865737</v>
      </c>
      <c r="C140" s="54" t="s">
        <v>89</v>
      </c>
      <c r="D140" s="55" t="s">
        <v>74</v>
      </c>
      <c r="E140" s="69" t="s">
        <v>90</v>
      </c>
      <c r="F140" s="73">
        <v>78.959999999999994</v>
      </c>
      <c r="G140" s="57">
        <v>45</v>
      </c>
      <c r="H140" s="57">
        <v>92</v>
      </c>
      <c r="I140" s="57">
        <v>79.11</v>
      </c>
      <c r="J140" s="77">
        <v>79.150000000000006</v>
      </c>
      <c r="K140" s="81">
        <v>2506500</v>
      </c>
      <c r="L140" s="56">
        <v>5732500</v>
      </c>
      <c r="M140" s="56">
        <v>84</v>
      </c>
      <c r="N140" s="56">
        <v>57</v>
      </c>
      <c r="O140" s="57">
        <v>3.65</v>
      </c>
      <c r="P140" s="56">
        <v>68244</v>
      </c>
      <c r="Q140" s="56">
        <v>249239</v>
      </c>
      <c r="R140" s="56">
        <v>459269</v>
      </c>
      <c r="S140" s="56">
        <v>113932</v>
      </c>
      <c r="T140" s="56">
        <v>217088</v>
      </c>
      <c r="U140" s="77">
        <v>2.29</v>
      </c>
      <c r="V140" s="81">
        <v>23</v>
      </c>
      <c r="W140" s="85">
        <v>22</v>
      </c>
      <c r="X140" s="81">
        <v>197913240</v>
      </c>
      <c r="Y140" s="69" t="s">
        <v>75</v>
      </c>
      <c r="Z140" s="81">
        <v>2645160</v>
      </c>
      <c r="AA140" s="56">
        <v>6395760</v>
      </c>
      <c r="AB140" s="56">
        <v>9396240</v>
      </c>
      <c r="AC140" s="56">
        <v>710640</v>
      </c>
      <c r="AD140" s="56">
        <v>4658640</v>
      </c>
      <c r="AE140" s="54" t="s">
        <v>12</v>
      </c>
      <c r="AF140" s="56">
        <v>3474240</v>
      </c>
      <c r="AG140" s="56">
        <v>2408280</v>
      </c>
      <c r="AH140" s="56">
        <v>9435720</v>
      </c>
      <c r="AI140" s="56">
        <v>22858920</v>
      </c>
      <c r="AJ140" s="56">
        <v>4382280</v>
      </c>
      <c r="AK140" s="56">
        <v>13067880</v>
      </c>
      <c r="AL140" s="56">
        <v>987000</v>
      </c>
      <c r="AM140" s="56">
        <v>2803080</v>
      </c>
      <c r="AN140" s="56">
        <v>3355800</v>
      </c>
      <c r="AO140" s="56">
        <v>23214240</v>
      </c>
      <c r="AP140" s="56">
        <v>157920</v>
      </c>
      <c r="AQ140" s="56">
        <v>22543080</v>
      </c>
      <c r="AR140" s="56">
        <v>0</v>
      </c>
      <c r="AS140" s="56">
        <v>710640</v>
      </c>
      <c r="AT140" s="56">
        <v>473760</v>
      </c>
      <c r="AU140" s="56">
        <v>592200</v>
      </c>
      <c r="AV140" s="56">
        <v>39598440</v>
      </c>
      <c r="AW140" s="56">
        <v>276360</v>
      </c>
      <c r="AX140" s="56">
        <v>7974960</v>
      </c>
      <c r="AY140" s="56">
        <v>2171400</v>
      </c>
      <c r="AZ140" s="54" t="s">
        <v>12</v>
      </c>
      <c r="BA140" s="56">
        <v>4737600</v>
      </c>
      <c r="BB140" s="56">
        <v>3316320</v>
      </c>
      <c r="BC140" s="56">
        <v>1934520</v>
      </c>
      <c r="BD140" s="56">
        <v>1223880</v>
      </c>
      <c r="BE140" s="56">
        <v>2408280</v>
      </c>
      <c r="BF140" s="89" t="s">
        <v>12</v>
      </c>
    </row>
    <row r="141" spans="1:58" x14ac:dyDescent="0.4">
      <c r="A141" s="63">
        <v>44701</v>
      </c>
      <c r="B141" s="53">
        <v>44701.459012951389</v>
      </c>
      <c r="C141" s="54" t="s">
        <v>91</v>
      </c>
      <c r="D141" s="55" t="s">
        <v>74</v>
      </c>
      <c r="E141" s="69" t="s">
        <v>90</v>
      </c>
      <c r="F141" s="73">
        <v>81.150000000000006</v>
      </c>
      <c r="G141" s="57">
        <v>45</v>
      </c>
      <c r="H141" s="57">
        <v>92</v>
      </c>
      <c r="I141" s="57">
        <v>80.88</v>
      </c>
      <c r="J141" s="77">
        <v>81.209999999999994</v>
      </c>
      <c r="K141" s="81">
        <v>1944000</v>
      </c>
      <c r="L141" s="56">
        <v>5655500</v>
      </c>
      <c r="M141" s="56">
        <v>85</v>
      </c>
      <c r="N141" s="56">
        <v>46</v>
      </c>
      <c r="O141" s="57">
        <v>3.7</v>
      </c>
      <c r="P141" s="56">
        <v>66535</v>
      </c>
      <c r="Q141" s="56">
        <v>245891</v>
      </c>
      <c r="R141" s="56">
        <v>431250</v>
      </c>
      <c r="S141" s="56">
        <v>97200</v>
      </c>
      <c r="T141" s="56">
        <v>131026</v>
      </c>
      <c r="U141" s="77">
        <v>2.91</v>
      </c>
      <c r="V141" s="81">
        <v>23</v>
      </c>
      <c r="W141" s="85">
        <v>20</v>
      </c>
      <c r="X141" s="81">
        <v>157755600</v>
      </c>
      <c r="Y141" s="69" t="s">
        <v>77</v>
      </c>
      <c r="Z141" s="87" t="s">
        <v>12</v>
      </c>
      <c r="AA141" s="54" t="s">
        <v>12</v>
      </c>
      <c r="AB141" s="54" t="s">
        <v>12</v>
      </c>
      <c r="AC141" s="54" t="s">
        <v>12</v>
      </c>
      <c r="AD141" s="54" t="s">
        <v>12</v>
      </c>
      <c r="AE141" s="56">
        <v>157755600</v>
      </c>
      <c r="AF141" s="54" t="s">
        <v>12</v>
      </c>
      <c r="AG141" s="54" t="s">
        <v>12</v>
      </c>
      <c r="AH141" s="54" t="s">
        <v>12</v>
      </c>
      <c r="AI141" s="54" t="s">
        <v>12</v>
      </c>
      <c r="AJ141" s="54" t="s">
        <v>12</v>
      </c>
      <c r="AK141" s="54" t="s">
        <v>12</v>
      </c>
      <c r="AL141" s="54" t="s">
        <v>12</v>
      </c>
      <c r="AM141" s="54" t="s">
        <v>12</v>
      </c>
      <c r="AN141" s="54" t="s">
        <v>12</v>
      </c>
      <c r="AO141" s="54" t="s">
        <v>12</v>
      </c>
      <c r="AP141" s="54" t="s">
        <v>12</v>
      </c>
      <c r="AQ141" s="54" t="s">
        <v>12</v>
      </c>
      <c r="AR141" s="54" t="s">
        <v>12</v>
      </c>
      <c r="AS141" s="54" t="s">
        <v>12</v>
      </c>
      <c r="AT141" s="54" t="s">
        <v>12</v>
      </c>
      <c r="AU141" s="54" t="s">
        <v>12</v>
      </c>
      <c r="AV141" s="54" t="s">
        <v>12</v>
      </c>
      <c r="AW141" s="54" t="s">
        <v>12</v>
      </c>
      <c r="AX141" s="54" t="s">
        <v>12</v>
      </c>
      <c r="AY141" s="54" t="s">
        <v>12</v>
      </c>
      <c r="AZ141" s="54" t="s">
        <v>12</v>
      </c>
      <c r="BA141" s="54" t="s">
        <v>12</v>
      </c>
      <c r="BB141" s="54" t="s">
        <v>12</v>
      </c>
      <c r="BC141" s="54" t="s">
        <v>12</v>
      </c>
      <c r="BD141" s="54" t="s">
        <v>12</v>
      </c>
      <c r="BE141" s="54" t="s">
        <v>12</v>
      </c>
      <c r="BF141" s="89" t="s">
        <v>12</v>
      </c>
    </row>
    <row r="142" spans="1:58" x14ac:dyDescent="0.4">
      <c r="A142" s="63">
        <v>44700</v>
      </c>
      <c r="B142" s="53">
        <v>44700.45906828704</v>
      </c>
      <c r="C142" s="54" t="s">
        <v>89</v>
      </c>
      <c r="D142" s="55" t="s">
        <v>74</v>
      </c>
      <c r="E142" s="69" t="s">
        <v>90</v>
      </c>
      <c r="F142" s="73">
        <v>82.28</v>
      </c>
      <c r="G142" s="57">
        <v>45</v>
      </c>
      <c r="H142" s="57">
        <v>86</v>
      </c>
      <c r="I142" s="57">
        <v>81.75</v>
      </c>
      <c r="J142" s="77">
        <v>82.33</v>
      </c>
      <c r="K142" s="81">
        <v>2506500</v>
      </c>
      <c r="L142" s="56">
        <v>6186500</v>
      </c>
      <c r="M142" s="56">
        <v>92</v>
      </c>
      <c r="N142" s="56">
        <v>50</v>
      </c>
      <c r="O142" s="57">
        <v>4.18</v>
      </c>
      <c r="P142" s="56">
        <v>67245</v>
      </c>
      <c r="Q142" s="56">
        <v>281205</v>
      </c>
      <c r="R142" s="56">
        <v>483805</v>
      </c>
      <c r="S142" s="56">
        <v>156656</v>
      </c>
      <c r="T142" s="56">
        <v>305009</v>
      </c>
      <c r="U142" s="77">
        <v>2.4700000000000002</v>
      </c>
      <c r="V142" s="81">
        <v>22</v>
      </c>
      <c r="W142" s="85">
        <v>16</v>
      </c>
      <c r="X142" s="81">
        <v>206234820</v>
      </c>
      <c r="Y142" s="69" t="s">
        <v>75</v>
      </c>
      <c r="Z142" s="81">
        <v>2756380</v>
      </c>
      <c r="AA142" s="56">
        <v>6664680</v>
      </c>
      <c r="AB142" s="56">
        <v>9791320</v>
      </c>
      <c r="AC142" s="56">
        <v>740520</v>
      </c>
      <c r="AD142" s="56">
        <v>4854520</v>
      </c>
      <c r="AE142" s="54" t="s">
        <v>12</v>
      </c>
      <c r="AF142" s="56">
        <v>3620320</v>
      </c>
      <c r="AG142" s="56">
        <v>2509540</v>
      </c>
      <c r="AH142" s="56">
        <v>9832460</v>
      </c>
      <c r="AI142" s="56">
        <v>23820060</v>
      </c>
      <c r="AJ142" s="56">
        <v>4566540</v>
      </c>
      <c r="AK142" s="56">
        <v>13617340</v>
      </c>
      <c r="AL142" s="56">
        <v>1028500</v>
      </c>
      <c r="AM142" s="56">
        <v>2920940</v>
      </c>
      <c r="AN142" s="56">
        <v>3496900</v>
      </c>
      <c r="AO142" s="56">
        <v>24190320</v>
      </c>
      <c r="AP142" s="56">
        <v>164560</v>
      </c>
      <c r="AQ142" s="56">
        <v>23490940</v>
      </c>
      <c r="AR142" s="56">
        <v>0</v>
      </c>
      <c r="AS142" s="56">
        <v>740520</v>
      </c>
      <c r="AT142" s="56">
        <v>493680</v>
      </c>
      <c r="AU142" s="56">
        <v>617100</v>
      </c>
      <c r="AV142" s="56">
        <v>41263420</v>
      </c>
      <c r="AW142" s="56">
        <v>287980</v>
      </c>
      <c r="AX142" s="56">
        <v>8310280</v>
      </c>
      <c r="AY142" s="56">
        <v>2262700</v>
      </c>
      <c r="AZ142" s="54" t="s">
        <v>12</v>
      </c>
      <c r="BA142" s="56">
        <v>4936800</v>
      </c>
      <c r="BB142" s="56">
        <v>3455760</v>
      </c>
      <c r="BC142" s="56">
        <v>2015860</v>
      </c>
      <c r="BD142" s="56">
        <v>1275340</v>
      </c>
      <c r="BE142" s="56">
        <v>2509540</v>
      </c>
      <c r="BF142" s="89" t="s">
        <v>12</v>
      </c>
    </row>
    <row r="143" spans="1:58" x14ac:dyDescent="0.4">
      <c r="A143" s="63">
        <v>44699</v>
      </c>
      <c r="B143" s="53">
        <v>44699.45920016204</v>
      </c>
      <c r="C143" s="54" t="s">
        <v>96</v>
      </c>
      <c r="D143" s="55" t="s">
        <v>81</v>
      </c>
      <c r="E143" s="69" t="s">
        <v>90</v>
      </c>
      <c r="F143" s="73">
        <v>87.25</v>
      </c>
      <c r="G143" s="57">
        <v>40</v>
      </c>
      <c r="H143" s="57">
        <v>87.75</v>
      </c>
      <c r="I143" s="57">
        <v>85.12</v>
      </c>
      <c r="J143" s="77">
        <v>86.83</v>
      </c>
      <c r="K143" s="81">
        <v>109500</v>
      </c>
      <c r="L143" s="56">
        <v>488000</v>
      </c>
      <c r="M143" s="56">
        <v>29</v>
      </c>
      <c r="N143" s="56">
        <v>6</v>
      </c>
      <c r="O143" s="57">
        <v>3.22</v>
      </c>
      <c r="P143" s="56">
        <v>16828</v>
      </c>
      <c r="Q143" s="56">
        <v>54222</v>
      </c>
      <c r="R143" s="56">
        <v>39075</v>
      </c>
      <c r="S143" s="56">
        <v>27375</v>
      </c>
      <c r="T143" s="56">
        <v>13681</v>
      </c>
      <c r="U143" s="77">
        <v>4.46</v>
      </c>
      <c r="V143" s="81">
        <v>9</v>
      </c>
      <c r="W143" s="85">
        <v>4</v>
      </c>
      <c r="X143" s="81">
        <v>9553875</v>
      </c>
      <c r="Y143" s="69" t="s">
        <v>79</v>
      </c>
      <c r="Z143" s="87" t="s">
        <v>12</v>
      </c>
      <c r="AA143" s="54" t="s">
        <v>12</v>
      </c>
      <c r="AB143" s="54" t="s">
        <v>12</v>
      </c>
      <c r="AC143" s="54" t="s">
        <v>12</v>
      </c>
      <c r="AD143" s="54" t="s">
        <v>12</v>
      </c>
      <c r="AE143" s="54" t="s">
        <v>12</v>
      </c>
      <c r="AF143" s="54" t="s">
        <v>12</v>
      </c>
      <c r="AG143" s="54" t="s">
        <v>12</v>
      </c>
      <c r="AH143" s="54" t="s">
        <v>12</v>
      </c>
      <c r="AI143" s="54" t="s">
        <v>12</v>
      </c>
      <c r="AJ143" s="54" t="s">
        <v>12</v>
      </c>
      <c r="AK143" s="54" t="s">
        <v>12</v>
      </c>
      <c r="AL143" s="54" t="s">
        <v>12</v>
      </c>
      <c r="AM143" s="54" t="s">
        <v>12</v>
      </c>
      <c r="AN143" s="54" t="s">
        <v>12</v>
      </c>
      <c r="AO143" s="54" t="s">
        <v>12</v>
      </c>
      <c r="AP143" s="54" t="s">
        <v>12</v>
      </c>
      <c r="AQ143" s="54" t="s">
        <v>12</v>
      </c>
      <c r="AR143" s="54" t="s">
        <v>12</v>
      </c>
      <c r="AS143" s="54" t="s">
        <v>12</v>
      </c>
      <c r="AT143" s="54" t="s">
        <v>12</v>
      </c>
      <c r="AU143" s="54" t="s">
        <v>12</v>
      </c>
      <c r="AV143" s="54" t="s">
        <v>12</v>
      </c>
      <c r="AW143" s="54" t="s">
        <v>12</v>
      </c>
      <c r="AX143" s="54" t="s">
        <v>12</v>
      </c>
      <c r="AY143" s="54" t="s">
        <v>12</v>
      </c>
      <c r="AZ143" s="56">
        <v>9553875</v>
      </c>
      <c r="BA143" s="54" t="s">
        <v>12</v>
      </c>
      <c r="BB143" s="54" t="s">
        <v>12</v>
      </c>
      <c r="BC143" s="54" t="s">
        <v>12</v>
      </c>
      <c r="BD143" s="54" t="s">
        <v>12</v>
      </c>
      <c r="BE143" s="54" t="s">
        <v>12</v>
      </c>
      <c r="BF143" s="89" t="s">
        <v>12</v>
      </c>
    </row>
    <row r="144" spans="1:58" x14ac:dyDescent="0.4">
      <c r="A144" s="63">
        <v>44698</v>
      </c>
      <c r="B144" s="53">
        <v>44698.458662048608</v>
      </c>
      <c r="C144" s="54" t="s">
        <v>89</v>
      </c>
      <c r="D144" s="55" t="s">
        <v>74</v>
      </c>
      <c r="E144" s="69" t="s">
        <v>90</v>
      </c>
      <c r="F144" s="73">
        <v>90.33</v>
      </c>
      <c r="G144" s="57">
        <v>74.150000000000006</v>
      </c>
      <c r="H144" s="57">
        <v>94</v>
      </c>
      <c r="I144" s="57">
        <v>90.04</v>
      </c>
      <c r="J144" s="77">
        <v>90.03</v>
      </c>
      <c r="K144" s="81">
        <v>2506500</v>
      </c>
      <c r="L144" s="56">
        <v>5247000</v>
      </c>
      <c r="M144" s="56">
        <v>90</v>
      </c>
      <c r="N144" s="56">
        <v>34</v>
      </c>
      <c r="O144" s="57">
        <v>3.75</v>
      </c>
      <c r="P144" s="56">
        <v>58300</v>
      </c>
      <c r="Q144" s="56">
        <v>218625</v>
      </c>
      <c r="R144" s="56">
        <v>460976</v>
      </c>
      <c r="S144" s="56">
        <v>139250</v>
      </c>
      <c r="T144" s="56">
        <v>268934</v>
      </c>
      <c r="U144" s="77">
        <v>2.09</v>
      </c>
      <c r="V144" s="81">
        <v>24</v>
      </c>
      <c r="W144" s="85">
        <v>18</v>
      </c>
      <c r="X144" s="81">
        <v>226412145</v>
      </c>
      <c r="Y144" s="69" t="s">
        <v>75</v>
      </c>
      <c r="Z144" s="81">
        <v>3026055</v>
      </c>
      <c r="AA144" s="56">
        <v>7316730</v>
      </c>
      <c r="AB144" s="56">
        <v>10749270</v>
      </c>
      <c r="AC144" s="56">
        <v>812970</v>
      </c>
      <c r="AD144" s="56">
        <v>5329470</v>
      </c>
      <c r="AE144" s="54" t="s">
        <v>12</v>
      </c>
      <c r="AF144" s="56">
        <v>3974520</v>
      </c>
      <c r="AG144" s="56">
        <v>2755065</v>
      </c>
      <c r="AH144" s="56">
        <v>10794435</v>
      </c>
      <c r="AI144" s="56">
        <v>26150535</v>
      </c>
      <c r="AJ144" s="56">
        <v>5013315</v>
      </c>
      <c r="AK144" s="56">
        <v>14949615</v>
      </c>
      <c r="AL144" s="56">
        <v>1129125</v>
      </c>
      <c r="AM144" s="56">
        <v>3206715</v>
      </c>
      <c r="AN144" s="56">
        <v>3839025</v>
      </c>
      <c r="AO144" s="56">
        <v>26557020</v>
      </c>
      <c r="AP144" s="56">
        <v>180660</v>
      </c>
      <c r="AQ144" s="56">
        <v>25789215</v>
      </c>
      <c r="AR144" s="56">
        <v>0</v>
      </c>
      <c r="AS144" s="56">
        <v>812970</v>
      </c>
      <c r="AT144" s="56">
        <v>541980</v>
      </c>
      <c r="AU144" s="56">
        <v>677475</v>
      </c>
      <c r="AV144" s="56">
        <v>45300495</v>
      </c>
      <c r="AW144" s="56">
        <v>316155</v>
      </c>
      <c r="AX144" s="56">
        <v>9123330</v>
      </c>
      <c r="AY144" s="56">
        <v>2484075</v>
      </c>
      <c r="AZ144" s="54" t="s">
        <v>12</v>
      </c>
      <c r="BA144" s="56">
        <v>5419800</v>
      </c>
      <c r="BB144" s="56">
        <v>3793860</v>
      </c>
      <c r="BC144" s="56">
        <v>2213085</v>
      </c>
      <c r="BD144" s="56">
        <v>1400115</v>
      </c>
      <c r="BE144" s="56">
        <v>2755065</v>
      </c>
      <c r="BF144" s="89" t="s">
        <v>12</v>
      </c>
    </row>
    <row r="145" spans="1:58" x14ac:dyDescent="0.4">
      <c r="A145" s="63">
        <v>44697</v>
      </c>
      <c r="B145" s="53">
        <v>44697.459762997685</v>
      </c>
      <c r="C145" s="54" t="s">
        <v>89</v>
      </c>
      <c r="D145" s="55" t="s">
        <v>74</v>
      </c>
      <c r="E145" s="69" t="s">
        <v>90</v>
      </c>
      <c r="F145" s="73">
        <v>88.81</v>
      </c>
      <c r="G145" s="57">
        <v>45</v>
      </c>
      <c r="H145" s="57">
        <v>92</v>
      </c>
      <c r="I145" s="57">
        <v>87.62</v>
      </c>
      <c r="J145" s="77">
        <v>88.77</v>
      </c>
      <c r="K145" s="81">
        <v>2506500</v>
      </c>
      <c r="L145" s="56">
        <v>5679000</v>
      </c>
      <c r="M145" s="56">
        <v>80</v>
      </c>
      <c r="N145" s="56">
        <v>37</v>
      </c>
      <c r="O145" s="57">
        <v>3.81</v>
      </c>
      <c r="P145" s="56">
        <v>70988</v>
      </c>
      <c r="Q145" s="56">
        <v>270429</v>
      </c>
      <c r="R145" s="56">
        <v>526388</v>
      </c>
      <c r="S145" s="56">
        <v>156656</v>
      </c>
      <c r="T145" s="56">
        <v>360587</v>
      </c>
      <c r="U145" s="77">
        <v>2.27</v>
      </c>
      <c r="V145" s="81">
        <v>21</v>
      </c>
      <c r="W145" s="85">
        <v>16</v>
      </c>
      <c r="X145" s="81">
        <v>222602265</v>
      </c>
      <c r="Y145" s="69" t="s">
        <v>75</v>
      </c>
      <c r="Z145" s="81">
        <v>2975135</v>
      </c>
      <c r="AA145" s="56">
        <v>7193610</v>
      </c>
      <c r="AB145" s="56">
        <v>10568390</v>
      </c>
      <c r="AC145" s="56">
        <v>799290</v>
      </c>
      <c r="AD145" s="56">
        <v>5239790</v>
      </c>
      <c r="AE145" s="54" t="s">
        <v>12</v>
      </c>
      <c r="AF145" s="56">
        <v>3907640</v>
      </c>
      <c r="AG145" s="56">
        <v>2708705</v>
      </c>
      <c r="AH145" s="56">
        <v>10612795</v>
      </c>
      <c r="AI145" s="56">
        <v>25710495</v>
      </c>
      <c r="AJ145" s="56">
        <v>4928955</v>
      </c>
      <c r="AK145" s="56">
        <v>14698055</v>
      </c>
      <c r="AL145" s="56">
        <v>1110125</v>
      </c>
      <c r="AM145" s="56">
        <v>3152755</v>
      </c>
      <c r="AN145" s="56">
        <v>3774425</v>
      </c>
      <c r="AO145" s="56">
        <v>26110140</v>
      </c>
      <c r="AP145" s="56">
        <v>177620</v>
      </c>
      <c r="AQ145" s="56">
        <v>25355255</v>
      </c>
      <c r="AR145" s="56">
        <v>0</v>
      </c>
      <c r="AS145" s="56">
        <v>799290</v>
      </c>
      <c r="AT145" s="56">
        <v>532860</v>
      </c>
      <c r="AU145" s="56">
        <v>666075</v>
      </c>
      <c r="AV145" s="56">
        <v>44538215</v>
      </c>
      <c r="AW145" s="56">
        <v>310835</v>
      </c>
      <c r="AX145" s="56">
        <v>8969810</v>
      </c>
      <c r="AY145" s="56">
        <v>2442275</v>
      </c>
      <c r="AZ145" s="54" t="s">
        <v>12</v>
      </c>
      <c r="BA145" s="56">
        <v>5328600</v>
      </c>
      <c r="BB145" s="56">
        <v>3730020</v>
      </c>
      <c r="BC145" s="56">
        <v>2175845</v>
      </c>
      <c r="BD145" s="56">
        <v>1376555</v>
      </c>
      <c r="BE145" s="56">
        <v>2708705</v>
      </c>
      <c r="BF145" s="89" t="s">
        <v>12</v>
      </c>
    </row>
    <row r="146" spans="1:58" x14ac:dyDescent="0.4">
      <c r="A146" s="63">
        <v>44694</v>
      </c>
      <c r="B146" s="53">
        <v>44694.459097974534</v>
      </c>
      <c r="C146" s="54" t="s">
        <v>91</v>
      </c>
      <c r="D146" s="55" t="s">
        <v>74</v>
      </c>
      <c r="E146" s="69" t="s">
        <v>90</v>
      </c>
      <c r="F146" s="73">
        <v>88.75</v>
      </c>
      <c r="G146" s="57">
        <v>73.13</v>
      </c>
      <c r="H146" s="57">
        <v>92</v>
      </c>
      <c r="I146" s="57">
        <v>88.74</v>
      </c>
      <c r="J146" s="77">
        <v>88.78</v>
      </c>
      <c r="K146" s="81">
        <v>1944000</v>
      </c>
      <c r="L146" s="56">
        <v>4524500</v>
      </c>
      <c r="M146" s="56">
        <v>80</v>
      </c>
      <c r="N146" s="56">
        <v>43</v>
      </c>
      <c r="O146" s="57">
        <v>4.21</v>
      </c>
      <c r="P146" s="56">
        <v>56556</v>
      </c>
      <c r="Q146" s="56">
        <v>238132</v>
      </c>
      <c r="R146" s="56">
        <v>465910</v>
      </c>
      <c r="S146" s="56">
        <v>129600</v>
      </c>
      <c r="T146" s="56">
        <v>179492</v>
      </c>
      <c r="U146" s="77">
        <v>2.33</v>
      </c>
      <c r="V146" s="81">
        <v>19</v>
      </c>
      <c r="W146" s="85">
        <v>15</v>
      </c>
      <c r="X146" s="81">
        <v>172530000</v>
      </c>
      <c r="Y146" s="69" t="s">
        <v>77</v>
      </c>
      <c r="Z146" s="87" t="s">
        <v>12</v>
      </c>
      <c r="AA146" s="54" t="s">
        <v>12</v>
      </c>
      <c r="AB146" s="54" t="s">
        <v>12</v>
      </c>
      <c r="AC146" s="54" t="s">
        <v>12</v>
      </c>
      <c r="AD146" s="54" t="s">
        <v>12</v>
      </c>
      <c r="AE146" s="56">
        <v>172530000</v>
      </c>
      <c r="AF146" s="54" t="s">
        <v>12</v>
      </c>
      <c r="AG146" s="54" t="s">
        <v>12</v>
      </c>
      <c r="AH146" s="54" t="s">
        <v>12</v>
      </c>
      <c r="AI146" s="54" t="s">
        <v>12</v>
      </c>
      <c r="AJ146" s="54" t="s">
        <v>12</v>
      </c>
      <c r="AK146" s="54" t="s">
        <v>12</v>
      </c>
      <c r="AL146" s="54" t="s">
        <v>12</v>
      </c>
      <c r="AM146" s="54" t="s">
        <v>12</v>
      </c>
      <c r="AN146" s="54" t="s">
        <v>12</v>
      </c>
      <c r="AO146" s="54" t="s">
        <v>12</v>
      </c>
      <c r="AP146" s="54" t="s">
        <v>12</v>
      </c>
      <c r="AQ146" s="54" t="s">
        <v>12</v>
      </c>
      <c r="AR146" s="54" t="s">
        <v>12</v>
      </c>
      <c r="AS146" s="54" t="s">
        <v>12</v>
      </c>
      <c r="AT146" s="54" t="s">
        <v>12</v>
      </c>
      <c r="AU146" s="54" t="s">
        <v>12</v>
      </c>
      <c r="AV146" s="54" t="s">
        <v>12</v>
      </c>
      <c r="AW146" s="54" t="s">
        <v>12</v>
      </c>
      <c r="AX146" s="54" t="s">
        <v>12</v>
      </c>
      <c r="AY146" s="54" t="s">
        <v>12</v>
      </c>
      <c r="AZ146" s="54" t="s">
        <v>12</v>
      </c>
      <c r="BA146" s="54" t="s">
        <v>12</v>
      </c>
      <c r="BB146" s="54" t="s">
        <v>12</v>
      </c>
      <c r="BC146" s="54" t="s">
        <v>12</v>
      </c>
      <c r="BD146" s="54" t="s">
        <v>12</v>
      </c>
      <c r="BE146" s="54" t="s">
        <v>12</v>
      </c>
      <c r="BF146" s="89" t="s">
        <v>12</v>
      </c>
    </row>
    <row r="147" spans="1:58" x14ac:dyDescent="0.4">
      <c r="A147" s="63">
        <v>44693</v>
      </c>
      <c r="B147" s="53">
        <v>44693.459498356482</v>
      </c>
      <c r="C147" s="54" t="s">
        <v>89</v>
      </c>
      <c r="D147" s="55" t="s">
        <v>74</v>
      </c>
      <c r="E147" s="69" t="s">
        <v>90</v>
      </c>
      <c r="F147" s="73">
        <v>86.95</v>
      </c>
      <c r="G147" s="57">
        <v>45</v>
      </c>
      <c r="H147" s="57">
        <v>90</v>
      </c>
      <c r="I147" s="57">
        <v>86.43</v>
      </c>
      <c r="J147" s="77">
        <v>87.32</v>
      </c>
      <c r="K147" s="81">
        <v>2506500</v>
      </c>
      <c r="L147" s="56">
        <v>5206000</v>
      </c>
      <c r="M147" s="56">
        <v>88</v>
      </c>
      <c r="N147" s="56">
        <v>64</v>
      </c>
      <c r="O147" s="57">
        <v>4.1900000000000004</v>
      </c>
      <c r="P147" s="56">
        <v>59159</v>
      </c>
      <c r="Q147" s="56">
        <v>247905</v>
      </c>
      <c r="R147" s="56">
        <v>465255</v>
      </c>
      <c r="S147" s="56">
        <v>119357</v>
      </c>
      <c r="T147" s="56">
        <v>214802</v>
      </c>
      <c r="U147" s="77">
        <v>2.08</v>
      </c>
      <c r="V147" s="81">
        <v>21</v>
      </c>
      <c r="W147" s="85">
        <v>21</v>
      </c>
      <c r="X147" s="81">
        <v>217940175</v>
      </c>
      <c r="Y147" s="69" t="s">
        <v>75</v>
      </c>
      <c r="Z147" s="81">
        <v>2912825</v>
      </c>
      <c r="AA147" s="56">
        <v>7042950</v>
      </c>
      <c r="AB147" s="56">
        <v>10347050</v>
      </c>
      <c r="AC147" s="56">
        <v>782550</v>
      </c>
      <c r="AD147" s="56">
        <v>5130050</v>
      </c>
      <c r="AE147" s="54" t="s">
        <v>12</v>
      </c>
      <c r="AF147" s="56">
        <v>3825800</v>
      </c>
      <c r="AG147" s="56">
        <v>2651975</v>
      </c>
      <c r="AH147" s="56">
        <v>10390525</v>
      </c>
      <c r="AI147" s="56">
        <v>25172025</v>
      </c>
      <c r="AJ147" s="56">
        <v>4825725</v>
      </c>
      <c r="AK147" s="56">
        <v>14390225</v>
      </c>
      <c r="AL147" s="56">
        <v>1086875</v>
      </c>
      <c r="AM147" s="56">
        <v>3086725</v>
      </c>
      <c r="AN147" s="56">
        <v>3695375</v>
      </c>
      <c r="AO147" s="56">
        <v>25563300</v>
      </c>
      <c r="AP147" s="56">
        <v>173900</v>
      </c>
      <c r="AQ147" s="56">
        <v>24824225</v>
      </c>
      <c r="AR147" s="56">
        <v>0</v>
      </c>
      <c r="AS147" s="56">
        <v>782550</v>
      </c>
      <c r="AT147" s="56">
        <v>521700</v>
      </c>
      <c r="AU147" s="56">
        <v>652125</v>
      </c>
      <c r="AV147" s="56">
        <v>43605425</v>
      </c>
      <c r="AW147" s="56">
        <v>304325</v>
      </c>
      <c r="AX147" s="56">
        <v>8781950</v>
      </c>
      <c r="AY147" s="56">
        <v>2391125</v>
      </c>
      <c r="AZ147" s="54" t="s">
        <v>12</v>
      </c>
      <c r="BA147" s="56">
        <v>5217000</v>
      </c>
      <c r="BB147" s="56">
        <v>3651900</v>
      </c>
      <c r="BC147" s="56">
        <v>2130275</v>
      </c>
      <c r="BD147" s="56">
        <v>1347725</v>
      </c>
      <c r="BE147" s="56">
        <v>2651975</v>
      </c>
      <c r="BF147" s="89" t="s">
        <v>12</v>
      </c>
    </row>
    <row r="148" spans="1:58" x14ac:dyDescent="0.4">
      <c r="A148" s="63">
        <v>44692</v>
      </c>
      <c r="B148" s="53">
        <v>44692.458753657411</v>
      </c>
      <c r="C148" s="54" t="s">
        <v>92</v>
      </c>
      <c r="D148" s="55" t="s">
        <v>74</v>
      </c>
      <c r="E148" s="69" t="s">
        <v>90</v>
      </c>
      <c r="F148" s="73">
        <v>89</v>
      </c>
      <c r="G148" s="57">
        <v>45</v>
      </c>
      <c r="H148" s="57">
        <v>93.5</v>
      </c>
      <c r="I148" s="57">
        <v>87.89</v>
      </c>
      <c r="J148" s="77">
        <v>88.5</v>
      </c>
      <c r="K148" s="81">
        <v>2658000</v>
      </c>
      <c r="L148" s="56">
        <v>6399000</v>
      </c>
      <c r="M148" s="56">
        <v>102</v>
      </c>
      <c r="N148" s="56">
        <v>35</v>
      </c>
      <c r="O148" s="57">
        <v>4.6399999999999997</v>
      </c>
      <c r="P148" s="56">
        <v>62735</v>
      </c>
      <c r="Q148" s="56">
        <v>290864</v>
      </c>
      <c r="R148" s="56">
        <v>477440</v>
      </c>
      <c r="S148" s="56">
        <v>189857</v>
      </c>
      <c r="T148" s="56">
        <v>278171</v>
      </c>
      <c r="U148" s="77">
        <v>2.41</v>
      </c>
      <c r="V148" s="81">
        <v>22</v>
      </c>
      <c r="W148" s="85">
        <v>14</v>
      </c>
      <c r="X148" s="81">
        <v>236562000</v>
      </c>
      <c r="Y148" s="69" t="s">
        <v>79</v>
      </c>
      <c r="Z148" s="87" t="s">
        <v>12</v>
      </c>
      <c r="AA148" s="54" t="s">
        <v>12</v>
      </c>
      <c r="AB148" s="54" t="s">
        <v>12</v>
      </c>
      <c r="AC148" s="54" t="s">
        <v>12</v>
      </c>
      <c r="AD148" s="54" t="s">
        <v>12</v>
      </c>
      <c r="AE148" s="54" t="s">
        <v>12</v>
      </c>
      <c r="AF148" s="54" t="s">
        <v>12</v>
      </c>
      <c r="AG148" s="54" t="s">
        <v>12</v>
      </c>
      <c r="AH148" s="54" t="s">
        <v>12</v>
      </c>
      <c r="AI148" s="54" t="s">
        <v>12</v>
      </c>
      <c r="AJ148" s="54" t="s">
        <v>12</v>
      </c>
      <c r="AK148" s="54" t="s">
        <v>12</v>
      </c>
      <c r="AL148" s="54" t="s">
        <v>12</v>
      </c>
      <c r="AM148" s="54" t="s">
        <v>12</v>
      </c>
      <c r="AN148" s="54" t="s">
        <v>12</v>
      </c>
      <c r="AO148" s="54" t="s">
        <v>12</v>
      </c>
      <c r="AP148" s="54" t="s">
        <v>12</v>
      </c>
      <c r="AQ148" s="54" t="s">
        <v>12</v>
      </c>
      <c r="AR148" s="54" t="s">
        <v>12</v>
      </c>
      <c r="AS148" s="54" t="s">
        <v>12</v>
      </c>
      <c r="AT148" s="54" t="s">
        <v>12</v>
      </c>
      <c r="AU148" s="54" t="s">
        <v>12</v>
      </c>
      <c r="AV148" s="54" t="s">
        <v>12</v>
      </c>
      <c r="AW148" s="54" t="s">
        <v>12</v>
      </c>
      <c r="AX148" s="54" t="s">
        <v>12</v>
      </c>
      <c r="AY148" s="54" t="s">
        <v>12</v>
      </c>
      <c r="AZ148" s="56">
        <v>236562000</v>
      </c>
      <c r="BA148" s="54" t="s">
        <v>12</v>
      </c>
      <c r="BB148" s="54" t="s">
        <v>12</v>
      </c>
      <c r="BC148" s="54" t="s">
        <v>12</v>
      </c>
      <c r="BD148" s="54" t="s">
        <v>12</v>
      </c>
      <c r="BE148" s="54" t="s">
        <v>12</v>
      </c>
      <c r="BF148" s="89" t="s">
        <v>12</v>
      </c>
    </row>
    <row r="149" spans="1:58" x14ac:dyDescent="0.4">
      <c r="A149" s="63">
        <v>44691</v>
      </c>
      <c r="B149" s="53">
        <v>44691.459503240738</v>
      </c>
      <c r="C149" s="54" t="s">
        <v>89</v>
      </c>
      <c r="D149" s="55" t="s">
        <v>74</v>
      </c>
      <c r="E149" s="69" t="s">
        <v>90</v>
      </c>
      <c r="F149" s="73">
        <v>86.5</v>
      </c>
      <c r="G149" s="57">
        <v>45</v>
      </c>
      <c r="H149" s="57">
        <v>90</v>
      </c>
      <c r="I149" s="57">
        <v>85.27</v>
      </c>
      <c r="J149" s="77">
        <v>86.5</v>
      </c>
      <c r="K149" s="81">
        <v>2506500</v>
      </c>
      <c r="L149" s="56">
        <v>5591500</v>
      </c>
      <c r="M149" s="56">
        <v>83</v>
      </c>
      <c r="N149" s="56">
        <v>41</v>
      </c>
      <c r="O149" s="57">
        <v>3.95</v>
      </c>
      <c r="P149" s="56">
        <v>67367</v>
      </c>
      <c r="Q149" s="56">
        <v>266262</v>
      </c>
      <c r="R149" s="56">
        <v>491836</v>
      </c>
      <c r="S149" s="56">
        <v>147441</v>
      </c>
      <c r="T149" s="56">
        <v>276582</v>
      </c>
      <c r="U149" s="77">
        <v>2.23</v>
      </c>
      <c r="V149" s="81">
        <v>21</v>
      </c>
      <c r="W149" s="85">
        <v>17</v>
      </c>
      <c r="X149" s="81">
        <v>216812250</v>
      </c>
      <c r="Y149" s="69" t="s">
        <v>75</v>
      </c>
      <c r="Z149" s="81">
        <v>2897750</v>
      </c>
      <c r="AA149" s="56">
        <v>7006500</v>
      </c>
      <c r="AB149" s="56">
        <v>10293500</v>
      </c>
      <c r="AC149" s="56">
        <v>778500</v>
      </c>
      <c r="AD149" s="56">
        <v>5103500</v>
      </c>
      <c r="AE149" s="54" t="s">
        <v>12</v>
      </c>
      <c r="AF149" s="56">
        <v>3806000</v>
      </c>
      <c r="AG149" s="56">
        <v>2638250</v>
      </c>
      <c r="AH149" s="56">
        <v>10336750</v>
      </c>
      <c r="AI149" s="56">
        <v>25041750</v>
      </c>
      <c r="AJ149" s="56">
        <v>4800750</v>
      </c>
      <c r="AK149" s="56">
        <v>14315750</v>
      </c>
      <c r="AL149" s="56">
        <v>1081250</v>
      </c>
      <c r="AM149" s="56">
        <v>3070750</v>
      </c>
      <c r="AN149" s="56">
        <v>3676250</v>
      </c>
      <c r="AO149" s="56">
        <v>25431000</v>
      </c>
      <c r="AP149" s="56">
        <v>173000</v>
      </c>
      <c r="AQ149" s="56">
        <v>24695750</v>
      </c>
      <c r="AR149" s="56">
        <v>0</v>
      </c>
      <c r="AS149" s="56">
        <v>778500</v>
      </c>
      <c r="AT149" s="56">
        <v>519000</v>
      </c>
      <c r="AU149" s="56">
        <v>648750</v>
      </c>
      <c r="AV149" s="56">
        <v>43379750</v>
      </c>
      <c r="AW149" s="56">
        <v>302750</v>
      </c>
      <c r="AX149" s="56">
        <v>8736500</v>
      </c>
      <c r="AY149" s="56">
        <v>2378750</v>
      </c>
      <c r="AZ149" s="54" t="s">
        <v>12</v>
      </c>
      <c r="BA149" s="56">
        <v>5190000</v>
      </c>
      <c r="BB149" s="56">
        <v>3633000</v>
      </c>
      <c r="BC149" s="56">
        <v>2119250</v>
      </c>
      <c r="BD149" s="56">
        <v>1340750</v>
      </c>
      <c r="BE149" s="56">
        <v>2638250</v>
      </c>
      <c r="BF149" s="89" t="s">
        <v>12</v>
      </c>
    </row>
    <row r="150" spans="1:58" x14ac:dyDescent="0.4">
      <c r="A150" s="63">
        <v>44690</v>
      </c>
      <c r="B150" s="53">
        <v>44690.458938692129</v>
      </c>
      <c r="C150" s="54" t="s">
        <v>89</v>
      </c>
      <c r="D150" s="55" t="s">
        <v>74</v>
      </c>
      <c r="E150" s="69" t="s">
        <v>90</v>
      </c>
      <c r="F150" s="73">
        <v>90.11</v>
      </c>
      <c r="G150" s="57">
        <v>45</v>
      </c>
      <c r="H150" s="57">
        <v>95</v>
      </c>
      <c r="I150" s="57">
        <v>89.52</v>
      </c>
      <c r="J150" s="77">
        <v>90.24</v>
      </c>
      <c r="K150" s="81">
        <v>2506500</v>
      </c>
      <c r="L150" s="56">
        <v>5584500</v>
      </c>
      <c r="M150" s="56">
        <v>76</v>
      </c>
      <c r="N150" s="56">
        <v>46</v>
      </c>
      <c r="O150" s="57">
        <v>3.62</v>
      </c>
      <c r="P150" s="56">
        <v>73480</v>
      </c>
      <c r="Q150" s="56">
        <v>265929</v>
      </c>
      <c r="R150" s="56">
        <v>500660</v>
      </c>
      <c r="S150" s="56">
        <v>139250</v>
      </c>
      <c r="T150" s="56">
        <v>292666</v>
      </c>
      <c r="U150" s="77">
        <v>2.23</v>
      </c>
      <c r="V150" s="81">
        <v>21</v>
      </c>
      <c r="W150" s="85">
        <v>18</v>
      </c>
      <c r="X150" s="81">
        <v>225860715</v>
      </c>
      <c r="Y150" s="69" t="s">
        <v>75</v>
      </c>
      <c r="Z150" s="81">
        <v>3018685</v>
      </c>
      <c r="AA150" s="56">
        <v>7298910</v>
      </c>
      <c r="AB150" s="56">
        <v>10723090</v>
      </c>
      <c r="AC150" s="56">
        <v>810990</v>
      </c>
      <c r="AD150" s="56">
        <v>5316490</v>
      </c>
      <c r="AE150" s="54" t="s">
        <v>12</v>
      </c>
      <c r="AF150" s="56">
        <v>3964840</v>
      </c>
      <c r="AG150" s="56">
        <v>2748355</v>
      </c>
      <c r="AH150" s="56">
        <v>10768145</v>
      </c>
      <c r="AI150" s="56">
        <v>26086845</v>
      </c>
      <c r="AJ150" s="56">
        <v>5001105</v>
      </c>
      <c r="AK150" s="56">
        <v>14913205</v>
      </c>
      <c r="AL150" s="56">
        <v>1126375</v>
      </c>
      <c r="AM150" s="56">
        <v>3198905</v>
      </c>
      <c r="AN150" s="56">
        <v>3829675</v>
      </c>
      <c r="AO150" s="56">
        <v>26492340</v>
      </c>
      <c r="AP150" s="56">
        <v>180220</v>
      </c>
      <c r="AQ150" s="56">
        <v>25726405</v>
      </c>
      <c r="AR150" s="56">
        <v>0</v>
      </c>
      <c r="AS150" s="56">
        <v>810990</v>
      </c>
      <c r="AT150" s="56">
        <v>540660</v>
      </c>
      <c r="AU150" s="56">
        <v>675825</v>
      </c>
      <c r="AV150" s="56">
        <v>45190165</v>
      </c>
      <c r="AW150" s="56">
        <v>315385</v>
      </c>
      <c r="AX150" s="56">
        <v>9101110</v>
      </c>
      <c r="AY150" s="56">
        <v>2478025</v>
      </c>
      <c r="AZ150" s="54" t="s">
        <v>12</v>
      </c>
      <c r="BA150" s="56">
        <v>5406600</v>
      </c>
      <c r="BB150" s="56">
        <v>3784620</v>
      </c>
      <c r="BC150" s="56">
        <v>2207695</v>
      </c>
      <c r="BD150" s="56">
        <v>1396705</v>
      </c>
      <c r="BE150" s="56">
        <v>2748355</v>
      </c>
      <c r="BF150" s="89" t="s">
        <v>12</v>
      </c>
    </row>
    <row r="151" spans="1:58" x14ac:dyDescent="0.4">
      <c r="A151" s="63">
        <v>44687</v>
      </c>
      <c r="B151" s="53">
        <v>44687.458755011576</v>
      </c>
      <c r="C151" s="54" t="s">
        <v>91</v>
      </c>
      <c r="D151" s="55" t="s">
        <v>74</v>
      </c>
      <c r="E151" s="69" t="s">
        <v>90</v>
      </c>
      <c r="F151" s="73">
        <v>90.77</v>
      </c>
      <c r="G151" s="57">
        <v>45</v>
      </c>
      <c r="H151" s="57">
        <v>95</v>
      </c>
      <c r="I151" s="57">
        <v>89.95</v>
      </c>
      <c r="J151" s="77">
        <v>90.9</v>
      </c>
      <c r="K151" s="81">
        <v>1944000</v>
      </c>
      <c r="L151" s="56">
        <v>4969000</v>
      </c>
      <c r="M151" s="56">
        <v>64</v>
      </c>
      <c r="N151" s="56">
        <v>34</v>
      </c>
      <c r="O151" s="57">
        <v>3.56</v>
      </c>
      <c r="P151" s="56">
        <v>77641</v>
      </c>
      <c r="Q151" s="56">
        <v>276056</v>
      </c>
      <c r="R151" s="56">
        <v>495643</v>
      </c>
      <c r="S151" s="56">
        <v>121500</v>
      </c>
      <c r="T151" s="56">
        <v>230505</v>
      </c>
      <c r="U151" s="77">
        <v>2.56</v>
      </c>
      <c r="V151" s="81">
        <v>18</v>
      </c>
      <c r="W151" s="85">
        <v>16</v>
      </c>
      <c r="X151" s="81">
        <v>176456880</v>
      </c>
      <c r="Y151" s="69" t="s">
        <v>77</v>
      </c>
      <c r="Z151" s="87" t="s">
        <v>12</v>
      </c>
      <c r="AA151" s="54" t="s">
        <v>12</v>
      </c>
      <c r="AB151" s="54" t="s">
        <v>12</v>
      </c>
      <c r="AC151" s="54" t="s">
        <v>12</v>
      </c>
      <c r="AD151" s="54" t="s">
        <v>12</v>
      </c>
      <c r="AE151" s="56">
        <v>176456880</v>
      </c>
      <c r="AF151" s="54" t="s">
        <v>12</v>
      </c>
      <c r="AG151" s="54" t="s">
        <v>12</v>
      </c>
      <c r="AH151" s="54" t="s">
        <v>12</v>
      </c>
      <c r="AI151" s="54" t="s">
        <v>12</v>
      </c>
      <c r="AJ151" s="54" t="s">
        <v>12</v>
      </c>
      <c r="AK151" s="54" t="s">
        <v>12</v>
      </c>
      <c r="AL151" s="54" t="s">
        <v>12</v>
      </c>
      <c r="AM151" s="54" t="s">
        <v>12</v>
      </c>
      <c r="AN151" s="54" t="s">
        <v>12</v>
      </c>
      <c r="AO151" s="54" t="s">
        <v>12</v>
      </c>
      <c r="AP151" s="54" t="s">
        <v>12</v>
      </c>
      <c r="AQ151" s="54" t="s">
        <v>12</v>
      </c>
      <c r="AR151" s="54" t="s">
        <v>12</v>
      </c>
      <c r="AS151" s="54" t="s">
        <v>12</v>
      </c>
      <c r="AT151" s="54" t="s">
        <v>12</v>
      </c>
      <c r="AU151" s="54" t="s">
        <v>12</v>
      </c>
      <c r="AV151" s="54" t="s">
        <v>12</v>
      </c>
      <c r="AW151" s="54" t="s">
        <v>12</v>
      </c>
      <c r="AX151" s="54" t="s">
        <v>12</v>
      </c>
      <c r="AY151" s="54" t="s">
        <v>12</v>
      </c>
      <c r="AZ151" s="54" t="s">
        <v>12</v>
      </c>
      <c r="BA151" s="54" t="s">
        <v>12</v>
      </c>
      <c r="BB151" s="54" t="s">
        <v>12</v>
      </c>
      <c r="BC151" s="54" t="s">
        <v>12</v>
      </c>
      <c r="BD151" s="54" t="s">
        <v>12</v>
      </c>
      <c r="BE151" s="54" t="s">
        <v>12</v>
      </c>
      <c r="BF151" s="89" t="s">
        <v>12</v>
      </c>
    </row>
    <row r="152" spans="1:58" x14ac:dyDescent="0.4">
      <c r="A152" s="63">
        <v>44686</v>
      </c>
      <c r="B152" s="53">
        <v>44686.458757048611</v>
      </c>
      <c r="C152" s="54" t="s">
        <v>89</v>
      </c>
      <c r="D152" s="55" t="s">
        <v>74</v>
      </c>
      <c r="E152" s="69" t="s">
        <v>90</v>
      </c>
      <c r="F152" s="73">
        <v>87.8</v>
      </c>
      <c r="G152" s="57">
        <v>71.7</v>
      </c>
      <c r="H152" s="57">
        <v>89.9</v>
      </c>
      <c r="I152" s="57">
        <v>87.1</v>
      </c>
      <c r="J152" s="77">
        <v>87.18</v>
      </c>
      <c r="K152" s="81">
        <v>2506500</v>
      </c>
      <c r="L152" s="56">
        <v>5596000</v>
      </c>
      <c r="M152" s="56">
        <v>73</v>
      </c>
      <c r="N152" s="56">
        <v>17</v>
      </c>
      <c r="O152" s="57">
        <v>4.87</v>
      </c>
      <c r="P152" s="56">
        <v>76658</v>
      </c>
      <c r="Q152" s="56">
        <v>373067</v>
      </c>
      <c r="R152" s="56">
        <v>539421</v>
      </c>
      <c r="S152" s="56">
        <v>358071</v>
      </c>
      <c r="T152" s="56">
        <v>303217</v>
      </c>
      <c r="U152" s="77">
        <v>2.23</v>
      </c>
      <c r="V152" s="81">
        <v>15</v>
      </c>
      <c r="W152" s="85">
        <v>7</v>
      </c>
      <c r="X152" s="81">
        <v>220070700</v>
      </c>
      <c r="Y152" s="69" t="s">
        <v>75</v>
      </c>
      <c r="Z152" s="81">
        <v>2941300</v>
      </c>
      <c r="AA152" s="56">
        <v>7111800</v>
      </c>
      <c r="AB152" s="56">
        <v>10448200</v>
      </c>
      <c r="AC152" s="56">
        <v>790200</v>
      </c>
      <c r="AD152" s="56">
        <v>5180200</v>
      </c>
      <c r="AE152" s="54" t="s">
        <v>12</v>
      </c>
      <c r="AF152" s="56">
        <v>3863200</v>
      </c>
      <c r="AG152" s="56">
        <v>2677900</v>
      </c>
      <c r="AH152" s="56">
        <v>10492100</v>
      </c>
      <c r="AI152" s="56">
        <v>25418100</v>
      </c>
      <c r="AJ152" s="56">
        <v>4872900</v>
      </c>
      <c r="AK152" s="56">
        <v>14530900</v>
      </c>
      <c r="AL152" s="56">
        <v>1097500</v>
      </c>
      <c r="AM152" s="56">
        <v>3116900</v>
      </c>
      <c r="AN152" s="56">
        <v>3731500</v>
      </c>
      <c r="AO152" s="56">
        <v>25813200</v>
      </c>
      <c r="AP152" s="56">
        <v>175600</v>
      </c>
      <c r="AQ152" s="56">
        <v>25066900</v>
      </c>
      <c r="AR152" s="56">
        <v>0</v>
      </c>
      <c r="AS152" s="56">
        <v>790200</v>
      </c>
      <c r="AT152" s="56">
        <v>526800</v>
      </c>
      <c r="AU152" s="56">
        <v>658500</v>
      </c>
      <c r="AV152" s="56">
        <v>44031700</v>
      </c>
      <c r="AW152" s="56">
        <v>307300</v>
      </c>
      <c r="AX152" s="56">
        <v>8867800</v>
      </c>
      <c r="AY152" s="56">
        <v>2414500</v>
      </c>
      <c r="AZ152" s="54" t="s">
        <v>12</v>
      </c>
      <c r="BA152" s="56">
        <v>5268000</v>
      </c>
      <c r="BB152" s="56">
        <v>3687600</v>
      </c>
      <c r="BC152" s="56">
        <v>2151100</v>
      </c>
      <c r="BD152" s="56">
        <v>1360900</v>
      </c>
      <c r="BE152" s="56">
        <v>2677900</v>
      </c>
      <c r="BF152" s="89" t="s">
        <v>12</v>
      </c>
    </row>
    <row r="153" spans="1:58" x14ac:dyDescent="0.4">
      <c r="A153" s="63">
        <v>44684</v>
      </c>
      <c r="B153" s="53">
        <v>44684.459422719905</v>
      </c>
      <c r="C153" s="54" t="s">
        <v>89</v>
      </c>
      <c r="D153" s="55" t="s">
        <v>74</v>
      </c>
      <c r="E153" s="69" t="s">
        <v>90</v>
      </c>
      <c r="F153" s="73">
        <v>84.25</v>
      </c>
      <c r="G153" s="57">
        <v>45</v>
      </c>
      <c r="H153" s="57">
        <v>88</v>
      </c>
      <c r="I153" s="57">
        <v>82.58</v>
      </c>
      <c r="J153" s="77">
        <v>83.69</v>
      </c>
      <c r="K153" s="81">
        <v>2506500</v>
      </c>
      <c r="L153" s="56">
        <v>7303000</v>
      </c>
      <c r="M153" s="56">
        <v>84</v>
      </c>
      <c r="N153" s="56">
        <v>19</v>
      </c>
      <c r="O153" s="57">
        <v>4</v>
      </c>
      <c r="P153" s="56">
        <v>86940</v>
      </c>
      <c r="Q153" s="56">
        <v>347762</v>
      </c>
      <c r="R153" s="56">
        <v>483498</v>
      </c>
      <c r="S153" s="56">
        <v>192808</v>
      </c>
      <c r="T153" s="56">
        <v>260715</v>
      </c>
      <c r="U153" s="77">
        <v>2.91</v>
      </c>
      <c r="V153" s="81">
        <v>21</v>
      </c>
      <c r="W153" s="85">
        <v>13</v>
      </c>
      <c r="X153" s="81">
        <v>211172625</v>
      </c>
      <c r="Y153" s="69" t="s">
        <v>75</v>
      </c>
      <c r="Z153" s="81">
        <v>2822375</v>
      </c>
      <c r="AA153" s="56">
        <v>6824250</v>
      </c>
      <c r="AB153" s="56">
        <v>10025750</v>
      </c>
      <c r="AC153" s="56">
        <v>758250</v>
      </c>
      <c r="AD153" s="56">
        <v>4970750</v>
      </c>
      <c r="AE153" s="54" t="s">
        <v>12</v>
      </c>
      <c r="AF153" s="56">
        <v>3707000</v>
      </c>
      <c r="AG153" s="56">
        <v>2569625</v>
      </c>
      <c r="AH153" s="56">
        <v>10067875</v>
      </c>
      <c r="AI153" s="56">
        <v>24390375</v>
      </c>
      <c r="AJ153" s="56">
        <v>4675875</v>
      </c>
      <c r="AK153" s="56">
        <v>13943375</v>
      </c>
      <c r="AL153" s="56">
        <v>1053125</v>
      </c>
      <c r="AM153" s="56">
        <v>2990875</v>
      </c>
      <c r="AN153" s="56">
        <v>3580625</v>
      </c>
      <c r="AO153" s="56">
        <v>24769500</v>
      </c>
      <c r="AP153" s="56">
        <v>168500</v>
      </c>
      <c r="AQ153" s="56">
        <v>24053375</v>
      </c>
      <c r="AR153" s="56">
        <v>0</v>
      </c>
      <c r="AS153" s="56">
        <v>758250</v>
      </c>
      <c r="AT153" s="56">
        <v>505500</v>
      </c>
      <c r="AU153" s="56">
        <v>631875</v>
      </c>
      <c r="AV153" s="56">
        <v>42251375</v>
      </c>
      <c r="AW153" s="56">
        <v>294875</v>
      </c>
      <c r="AX153" s="56">
        <v>8509250</v>
      </c>
      <c r="AY153" s="56">
        <v>2316875</v>
      </c>
      <c r="AZ153" s="54" t="s">
        <v>12</v>
      </c>
      <c r="BA153" s="56">
        <v>5055000</v>
      </c>
      <c r="BB153" s="56">
        <v>3538500</v>
      </c>
      <c r="BC153" s="56">
        <v>2064125</v>
      </c>
      <c r="BD153" s="56">
        <v>1305875</v>
      </c>
      <c r="BE153" s="56">
        <v>2569625</v>
      </c>
      <c r="BF153" s="89" t="s">
        <v>12</v>
      </c>
    </row>
    <row r="154" spans="1:58" x14ac:dyDescent="0.4">
      <c r="A154" s="63">
        <v>44683</v>
      </c>
      <c r="B154" s="53">
        <v>44683.458984178244</v>
      </c>
      <c r="C154" s="54" t="s">
        <v>89</v>
      </c>
      <c r="D154" s="55" t="s">
        <v>74</v>
      </c>
      <c r="E154" s="69" t="s">
        <v>90</v>
      </c>
      <c r="F154" s="73">
        <v>82.84</v>
      </c>
      <c r="G154" s="57">
        <v>45</v>
      </c>
      <c r="H154" s="57">
        <v>90</v>
      </c>
      <c r="I154" s="57">
        <v>81.680000000000007</v>
      </c>
      <c r="J154" s="77">
        <v>82.71</v>
      </c>
      <c r="K154" s="81">
        <v>2506500</v>
      </c>
      <c r="L154" s="56">
        <v>6389500</v>
      </c>
      <c r="M154" s="56">
        <v>87</v>
      </c>
      <c r="N154" s="56">
        <v>34</v>
      </c>
      <c r="O154" s="57">
        <v>4.1399999999999997</v>
      </c>
      <c r="P154" s="56">
        <v>73443</v>
      </c>
      <c r="Q154" s="56">
        <v>304262</v>
      </c>
      <c r="R154" s="56">
        <v>486507</v>
      </c>
      <c r="S154" s="56">
        <v>167100</v>
      </c>
      <c r="T154" s="56">
        <v>254655</v>
      </c>
      <c r="U154" s="77">
        <v>2.5499999999999998</v>
      </c>
      <c r="V154" s="81">
        <v>21</v>
      </c>
      <c r="W154" s="85">
        <v>15</v>
      </c>
      <c r="X154" s="81">
        <v>207638460</v>
      </c>
      <c r="Y154" s="69" t="s">
        <v>75</v>
      </c>
      <c r="Z154" s="81">
        <v>2775140</v>
      </c>
      <c r="AA154" s="56">
        <v>6710040</v>
      </c>
      <c r="AB154" s="56">
        <v>9857960</v>
      </c>
      <c r="AC154" s="56">
        <v>745560</v>
      </c>
      <c r="AD154" s="56">
        <v>4887560</v>
      </c>
      <c r="AE154" s="54" t="s">
        <v>12</v>
      </c>
      <c r="AF154" s="56">
        <v>3644960</v>
      </c>
      <c r="AG154" s="56">
        <v>2526620</v>
      </c>
      <c r="AH154" s="56">
        <v>9899380</v>
      </c>
      <c r="AI154" s="56">
        <v>23982180</v>
      </c>
      <c r="AJ154" s="56">
        <v>4597620</v>
      </c>
      <c r="AK154" s="56">
        <v>13710020</v>
      </c>
      <c r="AL154" s="56">
        <v>1035500</v>
      </c>
      <c r="AM154" s="56">
        <v>2940820</v>
      </c>
      <c r="AN154" s="56">
        <v>3520700</v>
      </c>
      <c r="AO154" s="56">
        <v>24354960</v>
      </c>
      <c r="AP154" s="56">
        <v>165680</v>
      </c>
      <c r="AQ154" s="56">
        <v>23650820</v>
      </c>
      <c r="AR154" s="56">
        <v>0</v>
      </c>
      <c r="AS154" s="56">
        <v>745560</v>
      </c>
      <c r="AT154" s="56">
        <v>497040</v>
      </c>
      <c r="AU154" s="56">
        <v>621300</v>
      </c>
      <c r="AV154" s="56">
        <v>41544260</v>
      </c>
      <c r="AW154" s="56">
        <v>289940</v>
      </c>
      <c r="AX154" s="56">
        <v>8366840</v>
      </c>
      <c r="AY154" s="56">
        <v>2278100</v>
      </c>
      <c r="AZ154" s="54" t="s">
        <v>12</v>
      </c>
      <c r="BA154" s="56">
        <v>4970400</v>
      </c>
      <c r="BB154" s="56">
        <v>3479280</v>
      </c>
      <c r="BC154" s="56">
        <v>2029580</v>
      </c>
      <c r="BD154" s="56">
        <v>1284020</v>
      </c>
      <c r="BE154" s="56">
        <v>2526620</v>
      </c>
      <c r="BF154" s="89" t="s">
        <v>12</v>
      </c>
    </row>
    <row r="155" spans="1:58" x14ac:dyDescent="0.4">
      <c r="A155" s="63">
        <v>44680</v>
      </c>
      <c r="B155" s="53">
        <v>44680.458813611112</v>
      </c>
      <c r="C155" s="54" t="s">
        <v>91</v>
      </c>
      <c r="D155" s="55" t="s">
        <v>74</v>
      </c>
      <c r="E155" s="69" t="s">
        <v>90</v>
      </c>
      <c r="F155" s="73">
        <v>82.86</v>
      </c>
      <c r="G155" s="57">
        <v>45</v>
      </c>
      <c r="H155" s="57">
        <v>90</v>
      </c>
      <c r="I155" s="57">
        <v>81.67</v>
      </c>
      <c r="J155" s="77">
        <v>82.68</v>
      </c>
      <c r="K155" s="81">
        <v>1944000</v>
      </c>
      <c r="L155" s="56">
        <v>5214000</v>
      </c>
      <c r="M155" s="56">
        <v>86</v>
      </c>
      <c r="N155" s="56">
        <v>40</v>
      </c>
      <c r="O155" s="57">
        <v>4.0999999999999996</v>
      </c>
      <c r="P155" s="56">
        <v>60628</v>
      </c>
      <c r="Q155" s="56">
        <v>248286</v>
      </c>
      <c r="R155" s="56">
        <v>380554</v>
      </c>
      <c r="S155" s="56">
        <v>129600</v>
      </c>
      <c r="T155" s="56">
        <v>156515</v>
      </c>
      <c r="U155" s="77">
        <v>2.68</v>
      </c>
      <c r="V155" s="81">
        <v>21</v>
      </c>
      <c r="W155" s="85">
        <v>15</v>
      </c>
      <c r="X155" s="81">
        <v>161079840</v>
      </c>
      <c r="Y155" s="69" t="s">
        <v>77</v>
      </c>
      <c r="Z155" s="87" t="s">
        <v>12</v>
      </c>
      <c r="AA155" s="54" t="s">
        <v>12</v>
      </c>
      <c r="AB155" s="54" t="s">
        <v>12</v>
      </c>
      <c r="AC155" s="54" t="s">
        <v>12</v>
      </c>
      <c r="AD155" s="54" t="s">
        <v>12</v>
      </c>
      <c r="AE155" s="56">
        <v>161079840</v>
      </c>
      <c r="AF155" s="54" t="s">
        <v>12</v>
      </c>
      <c r="AG155" s="54" t="s">
        <v>12</v>
      </c>
      <c r="AH155" s="54" t="s">
        <v>12</v>
      </c>
      <c r="AI155" s="54" t="s">
        <v>12</v>
      </c>
      <c r="AJ155" s="54" t="s">
        <v>12</v>
      </c>
      <c r="AK155" s="54" t="s">
        <v>12</v>
      </c>
      <c r="AL155" s="54" t="s">
        <v>12</v>
      </c>
      <c r="AM155" s="54" t="s">
        <v>12</v>
      </c>
      <c r="AN155" s="54" t="s">
        <v>12</v>
      </c>
      <c r="AO155" s="54" t="s">
        <v>12</v>
      </c>
      <c r="AP155" s="54" t="s">
        <v>12</v>
      </c>
      <c r="AQ155" s="54" t="s">
        <v>12</v>
      </c>
      <c r="AR155" s="54" t="s">
        <v>12</v>
      </c>
      <c r="AS155" s="54" t="s">
        <v>12</v>
      </c>
      <c r="AT155" s="54" t="s">
        <v>12</v>
      </c>
      <c r="AU155" s="54" t="s">
        <v>12</v>
      </c>
      <c r="AV155" s="54" t="s">
        <v>12</v>
      </c>
      <c r="AW155" s="54" t="s">
        <v>12</v>
      </c>
      <c r="AX155" s="54" t="s">
        <v>12</v>
      </c>
      <c r="AY155" s="54" t="s">
        <v>12</v>
      </c>
      <c r="AZ155" s="54" t="s">
        <v>12</v>
      </c>
      <c r="BA155" s="54" t="s">
        <v>12</v>
      </c>
      <c r="BB155" s="54" t="s">
        <v>12</v>
      </c>
      <c r="BC155" s="54" t="s">
        <v>12</v>
      </c>
      <c r="BD155" s="54" t="s">
        <v>12</v>
      </c>
      <c r="BE155" s="54" t="s">
        <v>12</v>
      </c>
      <c r="BF155" s="89" t="s">
        <v>12</v>
      </c>
    </row>
    <row r="156" spans="1:58" x14ac:dyDescent="0.4">
      <c r="A156" s="63">
        <v>44679</v>
      </c>
      <c r="B156" s="53">
        <v>44679.458791203702</v>
      </c>
      <c r="C156" s="54" t="s">
        <v>89</v>
      </c>
      <c r="D156" s="55" t="s">
        <v>74</v>
      </c>
      <c r="E156" s="69" t="s">
        <v>90</v>
      </c>
      <c r="F156" s="73">
        <v>80.55</v>
      </c>
      <c r="G156" s="57">
        <v>77</v>
      </c>
      <c r="H156" s="57">
        <v>100</v>
      </c>
      <c r="I156" s="57">
        <v>80.709999999999994</v>
      </c>
      <c r="J156" s="77">
        <v>80.08</v>
      </c>
      <c r="K156" s="81">
        <v>2506500</v>
      </c>
      <c r="L156" s="56">
        <v>4562500</v>
      </c>
      <c r="M156" s="56">
        <v>86</v>
      </c>
      <c r="N156" s="56">
        <v>23</v>
      </c>
      <c r="O156" s="57">
        <v>3.74</v>
      </c>
      <c r="P156" s="56">
        <v>53052</v>
      </c>
      <c r="Q156" s="56">
        <v>198370</v>
      </c>
      <c r="R156" s="56">
        <v>277085</v>
      </c>
      <c r="S156" s="56">
        <v>250650</v>
      </c>
      <c r="T156" s="56">
        <v>275058</v>
      </c>
      <c r="U156" s="77">
        <v>1.82</v>
      </c>
      <c r="V156" s="81">
        <v>23</v>
      </c>
      <c r="W156" s="85">
        <v>10</v>
      </c>
      <c r="X156" s="81">
        <v>201898575</v>
      </c>
      <c r="Y156" s="69" t="s">
        <v>75</v>
      </c>
      <c r="Z156" s="81">
        <v>2698425</v>
      </c>
      <c r="AA156" s="56">
        <v>6524550</v>
      </c>
      <c r="AB156" s="56">
        <v>9585450</v>
      </c>
      <c r="AC156" s="56">
        <v>724950</v>
      </c>
      <c r="AD156" s="56">
        <v>4752450</v>
      </c>
      <c r="AE156" s="54" t="s">
        <v>12</v>
      </c>
      <c r="AF156" s="56">
        <v>3544200</v>
      </c>
      <c r="AG156" s="56">
        <v>2456775</v>
      </c>
      <c r="AH156" s="56">
        <v>9625725</v>
      </c>
      <c r="AI156" s="56">
        <v>23319225</v>
      </c>
      <c r="AJ156" s="56">
        <v>4470525</v>
      </c>
      <c r="AK156" s="56">
        <v>13331025</v>
      </c>
      <c r="AL156" s="56">
        <v>1006875</v>
      </c>
      <c r="AM156" s="56">
        <v>2859525</v>
      </c>
      <c r="AN156" s="56">
        <v>3423375</v>
      </c>
      <c r="AO156" s="56">
        <v>23681700</v>
      </c>
      <c r="AP156" s="56">
        <v>161100</v>
      </c>
      <c r="AQ156" s="56">
        <v>22997025</v>
      </c>
      <c r="AR156" s="56">
        <v>0</v>
      </c>
      <c r="AS156" s="56">
        <v>724950</v>
      </c>
      <c r="AT156" s="56">
        <v>483300</v>
      </c>
      <c r="AU156" s="56">
        <v>604125</v>
      </c>
      <c r="AV156" s="56">
        <v>40395825</v>
      </c>
      <c r="AW156" s="56">
        <v>281925</v>
      </c>
      <c r="AX156" s="56">
        <v>8135550</v>
      </c>
      <c r="AY156" s="56">
        <v>2215125</v>
      </c>
      <c r="AZ156" s="54" t="s">
        <v>12</v>
      </c>
      <c r="BA156" s="56">
        <v>4833000</v>
      </c>
      <c r="BB156" s="56">
        <v>3383100</v>
      </c>
      <c r="BC156" s="56">
        <v>1973475</v>
      </c>
      <c r="BD156" s="56">
        <v>1248525</v>
      </c>
      <c r="BE156" s="56">
        <v>2456775</v>
      </c>
      <c r="BF156" s="89" t="s">
        <v>12</v>
      </c>
    </row>
    <row r="157" spans="1:58" x14ac:dyDescent="0.4">
      <c r="A157" s="63">
        <v>44678</v>
      </c>
      <c r="B157" s="53">
        <v>44678.458992141204</v>
      </c>
      <c r="C157" s="54" t="s">
        <v>92</v>
      </c>
      <c r="D157" s="55" t="s">
        <v>74</v>
      </c>
      <c r="E157" s="69" t="s">
        <v>90</v>
      </c>
      <c r="F157" s="73">
        <v>79.989999999999995</v>
      </c>
      <c r="G157" s="57">
        <v>66.2</v>
      </c>
      <c r="H157" s="57">
        <v>90</v>
      </c>
      <c r="I157" s="57">
        <v>80.459999999999994</v>
      </c>
      <c r="J157" s="77">
        <v>80.36</v>
      </c>
      <c r="K157" s="81">
        <v>3322500</v>
      </c>
      <c r="L157" s="56">
        <v>5904000</v>
      </c>
      <c r="M157" s="56">
        <v>88</v>
      </c>
      <c r="N157" s="56">
        <v>56</v>
      </c>
      <c r="O157" s="57">
        <v>4.4000000000000004</v>
      </c>
      <c r="P157" s="56">
        <v>67091</v>
      </c>
      <c r="Q157" s="56">
        <v>295200</v>
      </c>
      <c r="R157" s="56">
        <v>490049</v>
      </c>
      <c r="S157" s="56">
        <v>195441</v>
      </c>
      <c r="T157" s="56">
        <v>257239</v>
      </c>
      <c r="U157" s="77">
        <v>1.78</v>
      </c>
      <c r="V157" s="81">
        <v>20</v>
      </c>
      <c r="W157" s="85">
        <v>17</v>
      </c>
      <c r="X157" s="81">
        <v>265766775</v>
      </c>
      <c r="Y157" s="69" t="s">
        <v>79</v>
      </c>
      <c r="Z157" s="87" t="s">
        <v>12</v>
      </c>
      <c r="AA157" s="54" t="s">
        <v>12</v>
      </c>
      <c r="AB157" s="54" t="s">
        <v>12</v>
      </c>
      <c r="AC157" s="54" t="s">
        <v>12</v>
      </c>
      <c r="AD157" s="54" t="s">
        <v>12</v>
      </c>
      <c r="AE157" s="54" t="s">
        <v>12</v>
      </c>
      <c r="AF157" s="54" t="s">
        <v>12</v>
      </c>
      <c r="AG157" s="54" t="s">
        <v>12</v>
      </c>
      <c r="AH157" s="54" t="s">
        <v>12</v>
      </c>
      <c r="AI157" s="54" t="s">
        <v>12</v>
      </c>
      <c r="AJ157" s="54" t="s">
        <v>12</v>
      </c>
      <c r="AK157" s="54" t="s">
        <v>12</v>
      </c>
      <c r="AL157" s="54" t="s">
        <v>12</v>
      </c>
      <c r="AM157" s="54" t="s">
        <v>12</v>
      </c>
      <c r="AN157" s="54" t="s">
        <v>12</v>
      </c>
      <c r="AO157" s="54" t="s">
        <v>12</v>
      </c>
      <c r="AP157" s="54" t="s">
        <v>12</v>
      </c>
      <c r="AQ157" s="54" t="s">
        <v>12</v>
      </c>
      <c r="AR157" s="54" t="s">
        <v>12</v>
      </c>
      <c r="AS157" s="54" t="s">
        <v>12</v>
      </c>
      <c r="AT157" s="54" t="s">
        <v>12</v>
      </c>
      <c r="AU157" s="54" t="s">
        <v>12</v>
      </c>
      <c r="AV157" s="54" t="s">
        <v>12</v>
      </c>
      <c r="AW157" s="54" t="s">
        <v>12</v>
      </c>
      <c r="AX157" s="54" t="s">
        <v>12</v>
      </c>
      <c r="AY157" s="54" t="s">
        <v>12</v>
      </c>
      <c r="AZ157" s="56">
        <v>265766775</v>
      </c>
      <c r="BA157" s="54" t="s">
        <v>12</v>
      </c>
      <c r="BB157" s="54" t="s">
        <v>12</v>
      </c>
      <c r="BC157" s="54" t="s">
        <v>12</v>
      </c>
      <c r="BD157" s="54" t="s">
        <v>12</v>
      </c>
      <c r="BE157" s="54" t="s">
        <v>12</v>
      </c>
      <c r="BF157" s="89" t="s">
        <v>12</v>
      </c>
    </row>
    <row r="158" spans="1:58" x14ac:dyDescent="0.4">
      <c r="A158" s="63">
        <v>44677</v>
      </c>
      <c r="B158" s="53">
        <v>44677.458870706017</v>
      </c>
      <c r="C158" s="54" t="s">
        <v>89</v>
      </c>
      <c r="D158" s="55" t="s">
        <v>74</v>
      </c>
      <c r="E158" s="69" t="s">
        <v>90</v>
      </c>
      <c r="F158" s="73">
        <v>83.43</v>
      </c>
      <c r="G158" s="57">
        <v>67.03</v>
      </c>
      <c r="H158" s="57">
        <v>100</v>
      </c>
      <c r="I158" s="57">
        <v>83.69</v>
      </c>
      <c r="J158" s="77">
        <v>83.48</v>
      </c>
      <c r="K158" s="81">
        <v>2506500</v>
      </c>
      <c r="L158" s="56">
        <v>5053000</v>
      </c>
      <c r="M158" s="56">
        <v>85</v>
      </c>
      <c r="N158" s="56">
        <v>46</v>
      </c>
      <c r="O158" s="57">
        <v>3.86</v>
      </c>
      <c r="P158" s="56">
        <v>59447</v>
      </c>
      <c r="Q158" s="56">
        <v>229682</v>
      </c>
      <c r="R158" s="56">
        <v>409962</v>
      </c>
      <c r="S158" s="56">
        <v>131921</v>
      </c>
      <c r="T158" s="56">
        <v>183919</v>
      </c>
      <c r="U158" s="77">
        <v>2.02</v>
      </c>
      <c r="V158" s="81">
        <v>22</v>
      </c>
      <c r="W158" s="85">
        <v>19</v>
      </c>
      <c r="X158" s="81">
        <v>209117295</v>
      </c>
      <c r="Y158" s="69" t="s">
        <v>75</v>
      </c>
      <c r="Z158" s="81">
        <v>2794905</v>
      </c>
      <c r="AA158" s="56">
        <v>6757830</v>
      </c>
      <c r="AB158" s="56">
        <v>9928170</v>
      </c>
      <c r="AC158" s="56">
        <v>750870</v>
      </c>
      <c r="AD158" s="56">
        <v>4922370</v>
      </c>
      <c r="AE158" s="54" t="s">
        <v>12</v>
      </c>
      <c r="AF158" s="56">
        <v>3670920</v>
      </c>
      <c r="AG158" s="56">
        <v>2544615</v>
      </c>
      <c r="AH158" s="56">
        <v>9969885</v>
      </c>
      <c r="AI158" s="56">
        <v>24152985</v>
      </c>
      <c r="AJ158" s="56">
        <v>4630365</v>
      </c>
      <c r="AK158" s="56">
        <v>13807665</v>
      </c>
      <c r="AL158" s="56">
        <v>1042875</v>
      </c>
      <c r="AM158" s="56">
        <v>2961765</v>
      </c>
      <c r="AN158" s="56">
        <v>3545775</v>
      </c>
      <c r="AO158" s="56">
        <v>24528420</v>
      </c>
      <c r="AP158" s="56">
        <v>166860</v>
      </c>
      <c r="AQ158" s="56">
        <v>23819265</v>
      </c>
      <c r="AR158" s="56">
        <v>0</v>
      </c>
      <c r="AS158" s="56">
        <v>750870</v>
      </c>
      <c r="AT158" s="56">
        <v>500580</v>
      </c>
      <c r="AU158" s="56">
        <v>625725</v>
      </c>
      <c r="AV158" s="56">
        <v>41840145</v>
      </c>
      <c r="AW158" s="56">
        <v>292005</v>
      </c>
      <c r="AX158" s="56">
        <v>8426430</v>
      </c>
      <c r="AY158" s="56">
        <v>2294325</v>
      </c>
      <c r="AZ158" s="54" t="s">
        <v>12</v>
      </c>
      <c r="BA158" s="56">
        <v>5005800</v>
      </c>
      <c r="BB158" s="56">
        <v>3504060</v>
      </c>
      <c r="BC158" s="56">
        <v>2044035</v>
      </c>
      <c r="BD158" s="56">
        <v>1293165</v>
      </c>
      <c r="BE158" s="56">
        <v>2544615</v>
      </c>
      <c r="BF158" s="89" t="s">
        <v>12</v>
      </c>
    </row>
    <row r="159" spans="1:58" x14ac:dyDescent="0.4">
      <c r="A159" s="63">
        <v>44676</v>
      </c>
      <c r="B159" s="53">
        <v>44676.45883826389</v>
      </c>
      <c r="C159" s="54" t="s">
        <v>89</v>
      </c>
      <c r="D159" s="55" t="s">
        <v>74</v>
      </c>
      <c r="E159" s="69" t="s">
        <v>90</v>
      </c>
      <c r="F159" s="73">
        <v>85.81</v>
      </c>
      <c r="G159" s="57">
        <v>19.989999999999998</v>
      </c>
      <c r="H159" s="57">
        <v>99.35</v>
      </c>
      <c r="I159" s="57">
        <v>84.88</v>
      </c>
      <c r="J159" s="77">
        <v>86.12</v>
      </c>
      <c r="K159" s="81">
        <v>2506500</v>
      </c>
      <c r="L159" s="56">
        <v>4820000</v>
      </c>
      <c r="M159" s="56">
        <v>83</v>
      </c>
      <c r="N159" s="56">
        <v>57</v>
      </c>
      <c r="O159" s="57">
        <v>3.95</v>
      </c>
      <c r="P159" s="56">
        <v>58072</v>
      </c>
      <c r="Q159" s="56">
        <v>229524</v>
      </c>
      <c r="R159" s="56">
        <v>460889</v>
      </c>
      <c r="S159" s="56">
        <v>131921</v>
      </c>
      <c r="T159" s="56">
        <v>210402</v>
      </c>
      <c r="U159" s="77">
        <v>1.92</v>
      </c>
      <c r="V159" s="81">
        <v>21</v>
      </c>
      <c r="W159" s="85">
        <v>19</v>
      </c>
      <c r="X159" s="81">
        <v>215082765</v>
      </c>
      <c r="Y159" s="69" t="s">
        <v>75</v>
      </c>
      <c r="Z159" s="81">
        <v>2874635</v>
      </c>
      <c r="AA159" s="56">
        <v>6950610</v>
      </c>
      <c r="AB159" s="56">
        <v>10211390</v>
      </c>
      <c r="AC159" s="56">
        <v>772290</v>
      </c>
      <c r="AD159" s="56">
        <v>5062790</v>
      </c>
      <c r="AE159" s="54" t="s">
        <v>12</v>
      </c>
      <c r="AF159" s="56">
        <v>3775640</v>
      </c>
      <c r="AG159" s="56">
        <v>2617205</v>
      </c>
      <c r="AH159" s="56">
        <v>10254295</v>
      </c>
      <c r="AI159" s="56">
        <v>24841995</v>
      </c>
      <c r="AJ159" s="56">
        <v>4762455</v>
      </c>
      <c r="AK159" s="56">
        <v>14201555</v>
      </c>
      <c r="AL159" s="56">
        <v>1072625</v>
      </c>
      <c r="AM159" s="56">
        <v>3046255</v>
      </c>
      <c r="AN159" s="56">
        <v>3646925</v>
      </c>
      <c r="AO159" s="56">
        <v>25228140</v>
      </c>
      <c r="AP159" s="56">
        <v>171620</v>
      </c>
      <c r="AQ159" s="56">
        <v>24498755</v>
      </c>
      <c r="AR159" s="56">
        <v>0</v>
      </c>
      <c r="AS159" s="56">
        <v>772290</v>
      </c>
      <c r="AT159" s="56">
        <v>514860</v>
      </c>
      <c r="AU159" s="56">
        <v>643575</v>
      </c>
      <c r="AV159" s="56">
        <v>43033715</v>
      </c>
      <c r="AW159" s="56">
        <v>300335</v>
      </c>
      <c r="AX159" s="56">
        <v>8666810</v>
      </c>
      <c r="AY159" s="56">
        <v>2359775</v>
      </c>
      <c r="AZ159" s="54" t="s">
        <v>12</v>
      </c>
      <c r="BA159" s="56">
        <v>5148600</v>
      </c>
      <c r="BB159" s="56">
        <v>3604020</v>
      </c>
      <c r="BC159" s="56">
        <v>2102345</v>
      </c>
      <c r="BD159" s="56">
        <v>1330055</v>
      </c>
      <c r="BE159" s="56">
        <v>2617205</v>
      </c>
      <c r="BF159" s="89" t="s">
        <v>12</v>
      </c>
    </row>
    <row r="160" spans="1:58" x14ac:dyDescent="0.4">
      <c r="A160" s="63">
        <v>44673</v>
      </c>
      <c r="B160" s="53">
        <v>44673.458855150464</v>
      </c>
      <c r="C160" s="54" t="s">
        <v>91</v>
      </c>
      <c r="D160" s="55" t="s">
        <v>74</v>
      </c>
      <c r="E160" s="69" t="s">
        <v>90</v>
      </c>
      <c r="F160" s="73">
        <v>87.4</v>
      </c>
      <c r="G160" s="57">
        <v>69.650000000000006</v>
      </c>
      <c r="H160" s="57">
        <v>96</v>
      </c>
      <c r="I160" s="57">
        <v>86.83</v>
      </c>
      <c r="J160" s="77">
        <v>86.71</v>
      </c>
      <c r="K160" s="81">
        <v>1944000</v>
      </c>
      <c r="L160" s="56">
        <v>5370500</v>
      </c>
      <c r="M160" s="56">
        <v>75</v>
      </c>
      <c r="N160" s="56">
        <v>18</v>
      </c>
      <c r="O160" s="57">
        <v>3.95</v>
      </c>
      <c r="P160" s="56">
        <v>71607</v>
      </c>
      <c r="Q160" s="56">
        <v>282658</v>
      </c>
      <c r="R160" s="56">
        <v>477424</v>
      </c>
      <c r="S160" s="56">
        <v>176727</v>
      </c>
      <c r="T160" s="56">
        <v>243304</v>
      </c>
      <c r="U160" s="77">
        <v>2.76</v>
      </c>
      <c r="V160" s="81">
        <v>19</v>
      </c>
      <c r="W160" s="85">
        <v>11</v>
      </c>
      <c r="X160" s="81">
        <v>169905600</v>
      </c>
      <c r="Y160" s="69" t="s">
        <v>77</v>
      </c>
      <c r="Z160" s="87" t="s">
        <v>12</v>
      </c>
      <c r="AA160" s="54" t="s">
        <v>12</v>
      </c>
      <c r="AB160" s="54" t="s">
        <v>12</v>
      </c>
      <c r="AC160" s="54" t="s">
        <v>12</v>
      </c>
      <c r="AD160" s="54" t="s">
        <v>12</v>
      </c>
      <c r="AE160" s="56">
        <v>169905600</v>
      </c>
      <c r="AF160" s="54" t="s">
        <v>12</v>
      </c>
      <c r="AG160" s="54" t="s">
        <v>12</v>
      </c>
      <c r="AH160" s="54" t="s">
        <v>12</v>
      </c>
      <c r="AI160" s="54" t="s">
        <v>12</v>
      </c>
      <c r="AJ160" s="54" t="s">
        <v>12</v>
      </c>
      <c r="AK160" s="54" t="s">
        <v>12</v>
      </c>
      <c r="AL160" s="54" t="s">
        <v>12</v>
      </c>
      <c r="AM160" s="54" t="s">
        <v>12</v>
      </c>
      <c r="AN160" s="54" t="s">
        <v>12</v>
      </c>
      <c r="AO160" s="54" t="s">
        <v>12</v>
      </c>
      <c r="AP160" s="54" t="s">
        <v>12</v>
      </c>
      <c r="AQ160" s="54" t="s">
        <v>12</v>
      </c>
      <c r="AR160" s="54" t="s">
        <v>12</v>
      </c>
      <c r="AS160" s="54" t="s">
        <v>12</v>
      </c>
      <c r="AT160" s="54" t="s">
        <v>12</v>
      </c>
      <c r="AU160" s="54" t="s">
        <v>12</v>
      </c>
      <c r="AV160" s="54" t="s">
        <v>12</v>
      </c>
      <c r="AW160" s="54" t="s">
        <v>12</v>
      </c>
      <c r="AX160" s="54" t="s">
        <v>12</v>
      </c>
      <c r="AY160" s="54" t="s">
        <v>12</v>
      </c>
      <c r="AZ160" s="54" t="s">
        <v>12</v>
      </c>
      <c r="BA160" s="54" t="s">
        <v>12</v>
      </c>
      <c r="BB160" s="54" t="s">
        <v>12</v>
      </c>
      <c r="BC160" s="54" t="s">
        <v>12</v>
      </c>
      <c r="BD160" s="54" t="s">
        <v>12</v>
      </c>
      <c r="BE160" s="54" t="s">
        <v>12</v>
      </c>
      <c r="BF160" s="89" t="s">
        <v>12</v>
      </c>
    </row>
    <row r="161" spans="1:58" x14ac:dyDescent="0.4">
      <c r="A161" s="63">
        <v>44672</v>
      </c>
      <c r="B161" s="53">
        <v>44672.458794432867</v>
      </c>
      <c r="C161" s="54" t="s">
        <v>89</v>
      </c>
      <c r="D161" s="55" t="s">
        <v>74</v>
      </c>
      <c r="E161" s="69" t="s">
        <v>90</v>
      </c>
      <c r="F161" s="73">
        <v>85.9</v>
      </c>
      <c r="G161" s="57">
        <v>68.97</v>
      </c>
      <c r="H161" s="57">
        <v>88</v>
      </c>
      <c r="I161" s="57">
        <v>85.47</v>
      </c>
      <c r="J161" s="77">
        <v>85.83</v>
      </c>
      <c r="K161" s="81">
        <v>2506500</v>
      </c>
      <c r="L161" s="56">
        <v>5188000</v>
      </c>
      <c r="M161" s="56">
        <v>76</v>
      </c>
      <c r="N161" s="56">
        <v>36</v>
      </c>
      <c r="O161" s="57">
        <v>3.3</v>
      </c>
      <c r="P161" s="56">
        <v>68263</v>
      </c>
      <c r="Q161" s="56">
        <v>225565</v>
      </c>
      <c r="R161" s="56">
        <v>464359</v>
      </c>
      <c r="S161" s="56">
        <v>156656</v>
      </c>
      <c r="T161" s="56">
        <v>264631</v>
      </c>
      <c r="U161" s="77">
        <v>2.0699999999999998</v>
      </c>
      <c r="V161" s="81">
        <v>23</v>
      </c>
      <c r="W161" s="85">
        <v>16</v>
      </c>
      <c r="X161" s="81">
        <v>215308350</v>
      </c>
      <c r="Y161" s="69" t="s">
        <v>75</v>
      </c>
      <c r="Z161" s="81">
        <v>2877650</v>
      </c>
      <c r="AA161" s="56">
        <v>6957900</v>
      </c>
      <c r="AB161" s="56">
        <v>10222100</v>
      </c>
      <c r="AC161" s="56">
        <v>773100</v>
      </c>
      <c r="AD161" s="56">
        <v>5068100</v>
      </c>
      <c r="AE161" s="54" t="s">
        <v>12</v>
      </c>
      <c r="AF161" s="56">
        <v>3779600</v>
      </c>
      <c r="AG161" s="56">
        <v>2619950</v>
      </c>
      <c r="AH161" s="56">
        <v>10265050</v>
      </c>
      <c r="AI161" s="56">
        <v>24868050</v>
      </c>
      <c r="AJ161" s="56">
        <v>4767450</v>
      </c>
      <c r="AK161" s="56">
        <v>14216450</v>
      </c>
      <c r="AL161" s="56">
        <v>1073750</v>
      </c>
      <c r="AM161" s="56">
        <v>3049450</v>
      </c>
      <c r="AN161" s="56">
        <v>3650750</v>
      </c>
      <c r="AO161" s="56">
        <v>25254600</v>
      </c>
      <c r="AP161" s="56">
        <v>171800</v>
      </c>
      <c r="AQ161" s="56">
        <v>24524450</v>
      </c>
      <c r="AR161" s="56">
        <v>0</v>
      </c>
      <c r="AS161" s="56">
        <v>773100</v>
      </c>
      <c r="AT161" s="56">
        <v>515400</v>
      </c>
      <c r="AU161" s="56">
        <v>644250</v>
      </c>
      <c r="AV161" s="56">
        <v>43078850</v>
      </c>
      <c r="AW161" s="56">
        <v>300650</v>
      </c>
      <c r="AX161" s="56">
        <v>8675900</v>
      </c>
      <c r="AY161" s="56">
        <v>2362250</v>
      </c>
      <c r="AZ161" s="54" t="s">
        <v>12</v>
      </c>
      <c r="BA161" s="56">
        <v>5154000</v>
      </c>
      <c r="BB161" s="56">
        <v>3607800</v>
      </c>
      <c r="BC161" s="56">
        <v>2104550</v>
      </c>
      <c r="BD161" s="56">
        <v>1331450</v>
      </c>
      <c r="BE161" s="56">
        <v>2619950</v>
      </c>
      <c r="BF161" s="89" t="s">
        <v>12</v>
      </c>
    </row>
    <row r="162" spans="1:58" x14ac:dyDescent="0.4">
      <c r="A162" s="63">
        <v>44670</v>
      </c>
      <c r="B162" s="53">
        <v>44670.458693194443</v>
      </c>
      <c r="C162" s="54" t="s">
        <v>89</v>
      </c>
      <c r="D162" s="55" t="s">
        <v>74</v>
      </c>
      <c r="E162" s="69" t="s">
        <v>90</v>
      </c>
      <c r="F162" s="73">
        <v>79.400000000000006</v>
      </c>
      <c r="G162" s="57">
        <v>63.82</v>
      </c>
      <c r="H162" s="57">
        <v>84</v>
      </c>
      <c r="I162" s="57">
        <v>79.25</v>
      </c>
      <c r="J162" s="77">
        <v>79.349999999999994</v>
      </c>
      <c r="K162" s="81">
        <v>2506500</v>
      </c>
      <c r="L162" s="56">
        <v>5279000</v>
      </c>
      <c r="M162" s="56">
        <v>91</v>
      </c>
      <c r="N162" s="56">
        <v>44</v>
      </c>
      <c r="O162" s="57">
        <v>3.96</v>
      </c>
      <c r="P162" s="56">
        <v>58011</v>
      </c>
      <c r="Q162" s="56">
        <v>229522</v>
      </c>
      <c r="R162" s="56">
        <v>447347</v>
      </c>
      <c r="S162" s="56">
        <v>125325</v>
      </c>
      <c r="T162" s="56">
        <v>218781</v>
      </c>
      <c r="U162" s="77">
        <v>2.11</v>
      </c>
      <c r="V162" s="81">
        <v>23</v>
      </c>
      <c r="W162" s="85">
        <v>20</v>
      </c>
      <c r="X162" s="81">
        <v>199016100</v>
      </c>
      <c r="Y162" s="69" t="s">
        <v>75</v>
      </c>
      <c r="Z162" s="81">
        <v>2659900</v>
      </c>
      <c r="AA162" s="56">
        <v>6431400</v>
      </c>
      <c r="AB162" s="56">
        <v>9448600</v>
      </c>
      <c r="AC162" s="56">
        <v>714600</v>
      </c>
      <c r="AD162" s="56">
        <v>4684600</v>
      </c>
      <c r="AE162" s="54" t="s">
        <v>12</v>
      </c>
      <c r="AF162" s="56">
        <v>3493600</v>
      </c>
      <c r="AG162" s="56">
        <v>2421700</v>
      </c>
      <c r="AH162" s="56">
        <v>9488300</v>
      </c>
      <c r="AI162" s="56">
        <v>22986300</v>
      </c>
      <c r="AJ162" s="56">
        <v>4406700</v>
      </c>
      <c r="AK162" s="56">
        <v>13140700</v>
      </c>
      <c r="AL162" s="56">
        <v>992500</v>
      </c>
      <c r="AM162" s="56">
        <v>2818700</v>
      </c>
      <c r="AN162" s="56">
        <v>3374500</v>
      </c>
      <c r="AO162" s="56">
        <v>23343600</v>
      </c>
      <c r="AP162" s="56">
        <v>158800</v>
      </c>
      <c r="AQ162" s="56">
        <v>22668700</v>
      </c>
      <c r="AR162" s="56">
        <v>0</v>
      </c>
      <c r="AS162" s="56">
        <v>714600</v>
      </c>
      <c r="AT162" s="56">
        <v>476400</v>
      </c>
      <c r="AU162" s="56">
        <v>595500</v>
      </c>
      <c r="AV162" s="56">
        <v>39819100</v>
      </c>
      <c r="AW162" s="56">
        <v>277900</v>
      </c>
      <c r="AX162" s="56">
        <v>8019400</v>
      </c>
      <c r="AY162" s="56">
        <v>2183500</v>
      </c>
      <c r="AZ162" s="54" t="s">
        <v>12</v>
      </c>
      <c r="BA162" s="56">
        <v>4764000</v>
      </c>
      <c r="BB162" s="56">
        <v>3334800</v>
      </c>
      <c r="BC162" s="56">
        <v>1945300</v>
      </c>
      <c r="BD162" s="56">
        <v>1230700</v>
      </c>
      <c r="BE162" s="56">
        <v>2421700</v>
      </c>
      <c r="BF162" s="89" t="s">
        <v>12</v>
      </c>
    </row>
    <row r="163" spans="1:58" x14ac:dyDescent="0.4">
      <c r="A163" s="63">
        <v>44665</v>
      </c>
      <c r="B163" s="53">
        <v>44665.458842928238</v>
      </c>
      <c r="C163" s="54" t="s">
        <v>89</v>
      </c>
      <c r="D163" s="55" t="s">
        <v>74</v>
      </c>
      <c r="E163" s="69" t="s">
        <v>90</v>
      </c>
      <c r="F163" s="73">
        <v>78.8</v>
      </c>
      <c r="G163" s="57">
        <v>45</v>
      </c>
      <c r="H163" s="57">
        <v>81</v>
      </c>
      <c r="I163" s="57">
        <v>77.430000000000007</v>
      </c>
      <c r="J163" s="77">
        <v>78.209999999999994</v>
      </c>
      <c r="K163" s="81">
        <v>2506500</v>
      </c>
      <c r="L163" s="56">
        <v>6051500</v>
      </c>
      <c r="M163" s="56">
        <v>78</v>
      </c>
      <c r="N163" s="56">
        <v>21</v>
      </c>
      <c r="O163" s="57">
        <v>3.71</v>
      </c>
      <c r="P163" s="56">
        <v>77583</v>
      </c>
      <c r="Q163" s="56">
        <v>288167</v>
      </c>
      <c r="R163" s="56">
        <v>508738</v>
      </c>
      <c r="S163" s="56">
        <v>167100</v>
      </c>
      <c r="T163" s="56">
        <v>294684</v>
      </c>
      <c r="U163" s="77">
        <v>2.41</v>
      </c>
      <c r="V163" s="81">
        <v>21</v>
      </c>
      <c r="W163" s="85">
        <v>15</v>
      </c>
      <c r="X163" s="81">
        <v>197512200</v>
      </c>
      <c r="Y163" s="69" t="s">
        <v>75</v>
      </c>
      <c r="Z163" s="81">
        <v>2639800</v>
      </c>
      <c r="AA163" s="56">
        <v>6382800</v>
      </c>
      <c r="AB163" s="56">
        <v>9377200</v>
      </c>
      <c r="AC163" s="56">
        <v>709200</v>
      </c>
      <c r="AD163" s="56">
        <v>4649200</v>
      </c>
      <c r="AE163" s="54" t="s">
        <v>12</v>
      </c>
      <c r="AF163" s="56">
        <v>3467200</v>
      </c>
      <c r="AG163" s="56">
        <v>2403400</v>
      </c>
      <c r="AH163" s="56">
        <v>9416600</v>
      </c>
      <c r="AI163" s="56">
        <v>22812600</v>
      </c>
      <c r="AJ163" s="56">
        <v>4373400</v>
      </c>
      <c r="AK163" s="56">
        <v>13041400</v>
      </c>
      <c r="AL163" s="56">
        <v>985000</v>
      </c>
      <c r="AM163" s="56">
        <v>2797400</v>
      </c>
      <c r="AN163" s="56">
        <v>3349000</v>
      </c>
      <c r="AO163" s="56">
        <v>23167200</v>
      </c>
      <c r="AP163" s="56">
        <v>157600</v>
      </c>
      <c r="AQ163" s="56">
        <v>22497400</v>
      </c>
      <c r="AR163" s="56">
        <v>0</v>
      </c>
      <c r="AS163" s="56">
        <v>709200</v>
      </c>
      <c r="AT163" s="56">
        <v>472800</v>
      </c>
      <c r="AU163" s="56">
        <v>591000</v>
      </c>
      <c r="AV163" s="56">
        <v>39518200</v>
      </c>
      <c r="AW163" s="56">
        <v>275800</v>
      </c>
      <c r="AX163" s="56">
        <v>7958800</v>
      </c>
      <c r="AY163" s="56">
        <v>2167000</v>
      </c>
      <c r="AZ163" s="54" t="s">
        <v>12</v>
      </c>
      <c r="BA163" s="56">
        <v>4728000</v>
      </c>
      <c r="BB163" s="56">
        <v>3309600</v>
      </c>
      <c r="BC163" s="56">
        <v>1930600</v>
      </c>
      <c r="BD163" s="56">
        <v>1221400</v>
      </c>
      <c r="BE163" s="56">
        <v>2403400</v>
      </c>
      <c r="BF163" s="89" t="s">
        <v>12</v>
      </c>
    </row>
    <row r="164" spans="1:58" x14ac:dyDescent="0.4">
      <c r="A164" s="63">
        <v>44664</v>
      </c>
      <c r="B164" s="53">
        <v>44664.458728981481</v>
      </c>
      <c r="C164" s="54" t="s">
        <v>92</v>
      </c>
      <c r="D164" s="55" t="s">
        <v>74</v>
      </c>
      <c r="E164" s="69" t="s">
        <v>90</v>
      </c>
      <c r="F164" s="73">
        <v>77.27</v>
      </c>
      <c r="G164" s="57">
        <v>45</v>
      </c>
      <c r="H164" s="57">
        <v>80</v>
      </c>
      <c r="I164" s="57">
        <v>76.41</v>
      </c>
      <c r="J164" s="77">
        <v>77.12</v>
      </c>
      <c r="K164" s="81">
        <v>3322500</v>
      </c>
      <c r="L164" s="56">
        <v>6624500</v>
      </c>
      <c r="M164" s="56">
        <v>87</v>
      </c>
      <c r="N164" s="56">
        <v>36</v>
      </c>
      <c r="O164" s="57">
        <v>4.1399999999999997</v>
      </c>
      <c r="P164" s="56">
        <v>76144</v>
      </c>
      <c r="Q164" s="56">
        <v>315452</v>
      </c>
      <c r="R164" s="56">
        <v>581101</v>
      </c>
      <c r="S164" s="56">
        <v>195441</v>
      </c>
      <c r="T164" s="56">
        <v>407837</v>
      </c>
      <c r="U164" s="77">
        <v>1.99</v>
      </c>
      <c r="V164" s="81">
        <v>21</v>
      </c>
      <c r="W164" s="85">
        <v>17</v>
      </c>
      <c r="X164" s="81">
        <v>256729575</v>
      </c>
      <c r="Y164" s="69" t="s">
        <v>79</v>
      </c>
      <c r="Z164" s="87" t="s">
        <v>12</v>
      </c>
      <c r="AA164" s="54" t="s">
        <v>12</v>
      </c>
      <c r="AB164" s="54" t="s">
        <v>12</v>
      </c>
      <c r="AC164" s="54" t="s">
        <v>12</v>
      </c>
      <c r="AD164" s="54" t="s">
        <v>12</v>
      </c>
      <c r="AE164" s="54" t="s">
        <v>12</v>
      </c>
      <c r="AF164" s="54" t="s">
        <v>12</v>
      </c>
      <c r="AG164" s="54" t="s">
        <v>12</v>
      </c>
      <c r="AH164" s="54" t="s">
        <v>12</v>
      </c>
      <c r="AI164" s="54" t="s">
        <v>12</v>
      </c>
      <c r="AJ164" s="54" t="s">
        <v>12</v>
      </c>
      <c r="AK164" s="54" t="s">
        <v>12</v>
      </c>
      <c r="AL164" s="54" t="s">
        <v>12</v>
      </c>
      <c r="AM164" s="54" t="s">
        <v>12</v>
      </c>
      <c r="AN164" s="54" t="s">
        <v>12</v>
      </c>
      <c r="AO164" s="54" t="s">
        <v>12</v>
      </c>
      <c r="AP164" s="54" t="s">
        <v>12</v>
      </c>
      <c r="AQ164" s="54" t="s">
        <v>12</v>
      </c>
      <c r="AR164" s="54" t="s">
        <v>12</v>
      </c>
      <c r="AS164" s="54" t="s">
        <v>12</v>
      </c>
      <c r="AT164" s="54" t="s">
        <v>12</v>
      </c>
      <c r="AU164" s="54" t="s">
        <v>12</v>
      </c>
      <c r="AV164" s="54" t="s">
        <v>12</v>
      </c>
      <c r="AW164" s="54" t="s">
        <v>12</v>
      </c>
      <c r="AX164" s="54" t="s">
        <v>12</v>
      </c>
      <c r="AY164" s="54" t="s">
        <v>12</v>
      </c>
      <c r="AZ164" s="56">
        <v>256729575</v>
      </c>
      <c r="BA164" s="54" t="s">
        <v>12</v>
      </c>
      <c r="BB164" s="54" t="s">
        <v>12</v>
      </c>
      <c r="BC164" s="54" t="s">
        <v>12</v>
      </c>
      <c r="BD164" s="54" t="s">
        <v>12</v>
      </c>
      <c r="BE164" s="54" t="s">
        <v>12</v>
      </c>
      <c r="BF164" s="89" t="s">
        <v>12</v>
      </c>
    </row>
    <row r="165" spans="1:58" x14ac:dyDescent="0.4">
      <c r="A165" s="63">
        <v>44663</v>
      </c>
      <c r="B165" s="53">
        <v>44663.458713969907</v>
      </c>
      <c r="C165" s="54" t="s">
        <v>89</v>
      </c>
      <c r="D165" s="55" t="s">
        <v>74</v>
      </c>
      <c r="E165" s="69" t="s">
        <v>90</v>
      </c>
      <c r="F165" s="73">
        <v>77.36</v>
      </c>
      <c r="G165" s="57">
        <v>45</v>
      </c>
      <c r="H165" s="57">
        <v>80</v>
      </c>
      <c r="I165" s="57">
        <v>76.67</v>
      </c>
      <c r="J165" s="77">
        <v>77.13</v>
      </c>
      <c r="K165" s="81">
        <v>2506500</v>
      </c>
      <c r="L165" s="56">
        <v>6079000</v>
      </c>
      <c r="M165" s="56">
        <v>91</v>
      </c>
      <c r="N165" s="56">
        <v>32</v>
      </c>
      <c r="O165" s="57">
        <v>3.5</v>
      </c>
      <c r="P165" s="56">
        <v>66802</v>
      </c>
      <c r="Q165" s="56">
        <v>233808</v>
      </c>
      <c r="R165" s="56">
        <v>429819</v>
      </c>
      <c r="S165" s="56">
        <v>139250</v>
      </c>
      <c r="T165" s="56">
        <v>200673</v>
      </c>
      <c r="U165" s="77">
        <v>2.4300000000000002</v>
      </c>
      <c r="V165" s="81">
        <v>26</v>
      </c>
      <c r="W165" s="85">
        <v>18</v>
      </c>
      <c r="X165" s="81">
        <v>193902840</v>
      </c>
      <c r="Y165" s="69" t="s">
        <v>75</v>
      </c>
      <c r="Z165" s="81">
        <v>2591560</v>
      </c>
      <c r="AA165" s="56">
        <v>6266160</v>
      </c>
      <c r="AB165" s="56">
        <v>9205840</v>
      </c>
      <c r="AC165" s="56">
        <v>696240</v>
      </c>
      <c r="AD165" s="56">
        <v>4564240</v>
      </c>
      <c r="AE165" s="54" t="s">
        <v>12</v>
      </c>
      <c r="AF165" s="56">
        <v>3403840</v>
      </c>
      <c r="AG165" s="56">
        <v>2359480</v>
      </c>
      <c r="AH165" s="56">
        <v>9244520</v>
      </c>
      <c r="AI165" s="56">
        <v>22395720</v>
      </c>
      <c r="AJ165" s="56">
        <v>4293480</v>
      </c>
      <c r="AK165" s="56">
        <v>12803080</v>
      </c>
      <c r="AL165" s="56">
        <v>967000</v>
      </c>
      <c r="AM165" s="56">
        <v>2746280</v>
      </c>
      <c r="AN165" s="56">
        <v>3287800</v>
      </c>
      <c r="AO165" s="56">
        <v>22743840</v>
      </c>
      <c r="AP165" s="56">
        <v>154720</v>
      </c>
      <c r="AQ165" s="56">
        <v>22086280</v>
      </c>
      <c r="AR165" s="56">
        <v>0</v>
      </c>
      <c r="AS165" s="56">
        <v>696240</v>
      </c>
      <c r="AT165" s="56">
        <v>464160</v>
      </c>
      <c r="AU165" s="56">
        <v>580200</v>
      </c>
      <c r="AV165" s="56">
        <v>38796040</v>
      </c>
      <c r="AW165" s="56">
        <v>270760</v>
      </c>
      <c r="AX165" s="56">
        <v>7813360</v>
      </c>
      <c r="AY165" s="56">
        <v>2127400</v>
      </c>
      <c r="AZ165" s="54" t="s">
        <v>12</v>
      </c>
      <c r="BA165" s="56">
        <v>4641600</v>
      </c>
      <c r="BB165" s="56">
        <v>3249120</v>
      </c>
      <c r="BC165" s="56">
        <v>1895320</v>
      </c>
      <c r="BD165" s="56">
        <v>1199080</v>
      </c>
      <c r="BE165" s="56">
        <v>2359480</v>
      </c>
      <c r="BF165" s="89" t="s">
        <v>12</v>
      </c>
    </row>
    <row r="166" spans="1:58" x14ac:dyDescent="0.4">
      <c r="A166" s="63">
        <v>44662</v>
      </c>
      <c r="B166" s="53">
        <v>44662.458876516204</v>
      </c>
      <c r="C166" s="54" t="s">
        <v>89</v>
      </c>
      <c r="D166" s="55" t="s">
        <v>74</v>
      </c>
      <c r="E166" s="69" t="s">
        <v>90</v>
      </c>
      <c r="F166" s="73">
        <v>79.02</v>
      </c>
      <c r="G166" s="57">
        <v>45</v>
      </c>
      <c r="H166" s="57">
        <v>81</v>
      </c>
      <c r="I166" s="57">
        <v>77.709999999999994</v>
      </c>
      <c r="J166" s="77">
        <v>78.16</v>
      </c>
      <c r="K166" s="81">
        <v>2506500</v>
      </c>
      <c r="L166" s="56">
        <v>5676500</v>
      </c>
      <c r="M166" s="56">
        <v>84</v>
      </c>
      <c r="N166" s="56">
        <v>13</v>
      </c>
      <c r="O166" s="57">
        <v>3.65</v>
      </c>
      <c r="P166" s="56">
        <v>67577</v>
      </c>
      <c r="Q166" s="56">
        <v>246804</v>
      </c>
      <c r="R166" s="56">
        <v>390047</v>
      </c>
      <c r="S166" s="56">
        <v>278500</v>
      </c>
      <c r="T166" s="56">
        <v>363043</v>
      </c>
      <c r="U166" s="77">
        <v>2.2599999999999998</v>
      </c>
      <c r="V166" s="81">
        <v>23</v>
      </c>
      <c r="W166" s="85">
        <v>9</v>
      </c>
      <c r="X166" s="81">
        <v>198063630</v>
      </c>
      <c r="Y166" s="69" t="s">
        <v>75</v>
      </c>
      <c r="Z166" s="81">
        <v>2647170</v>
      </c>
      <c r="AA166" s="56">
        <v>6400620</v>
      </c>
      <c r="AB166" s="56">
        <v>9403380</v>
      </c>
      <c r="AC166" s="56">
        <v>711180</v>
      </c>
      <c r="AD166" s="56">
        <v>4662180</v>
      </c>
      <c r="AE166" s="54" t="s">
        <v>12</v>
      </c>
      <c r="AF166" s="56">
        <v>3476880</v>
      </c>
      <c r="AG166" s="56">
        <v>2410110</v>
      </c>
      <c r="AH166" s="56">
        <v>9442890</v>
      </c>
      <c r="AI166" s="56">
        <v>22876290</v>
      </c>
      <c r="AJ166" s="56">
        <v>4385610</v>
      </c>
      <c r="AK166" s="56">
        <v>13077810</v>
      </c>
      <c r="AL166" s="56">
        <v>987750</v>
      </c>
      <c r="AM166" s="56">
        <v>2805210</v>
      </c>
      <c r="AN166" s="56">
        <v>3358350</v>
      </c>
      <c r="AO166" s="56">
        <v>23231880</v>
      </c>
      <c r="AP166" s="56">
        <v>158040</v>
      </c>
      <c r="AQ166" s="56">
        <v>22560210</v>
      </c>
      <c r="AR166" s="56">
        <v>0</v>
      </c>
      <c r="AS166" s="56">
        <v>711180</v>
      </c>
      <c r="AT166" s="56">
        <v>474120</v>
      </c>
      <c r="AU166" s="56">
        <v>592650</v>
      </c>
      <c r="AV166" s="56">
        <v>39628530</v>
      </c>
      <c r="AW166" s="56">
        <v>276570</v>
      </c>
      <c r="AX166" s="56">
        <v>7981020</v>
      </c>
      <c r="AY166" s="56">
        <v>2173050</v>
      </c>
      <c r="AZ166" s="54" t="s">
        <v>12</v>
      </c>
      <c r="BA166" s="56">
        <v>4741200</v>
      </c>
      <c r="BB166" s="56">
        <v>3318840</v>
      </c>
      <c r="BC166" s="56">
        <v>1935990</v>
      </c>
      <c r="BD166" s="56">
        <v>1224810</v>
      </c>
      <c r="BE166" s="56">
        <v>2410110</v>
      </c>
      <c r="BF166" s="89" t="s">
        <v>12</v>
      </c>
    </row>
    <row r="167" spans="1:58" x14ac:dyDescent="0.4">
      <c r="A167" s="63">
        <v>44659</v>
      </c>
      <c r="B167" s="53">
        <v>44659.45881945602</v>
      </c>
      <c r="C167" s="54" t="s">
        <v>91</v>
      </c>
      <c r="D167" s="55" t="s">
        <v>74</v>
      </c>
      <c r="E167" s="69" t="s">
        <v>90</v>
      </c>
      <c r="F167" s="73">
        <v>80.209999999999994</v>
      </c>
      <c r="G167" s="57">
        <v>45</v>
      </c>
      <c r="H167" s="57">
        <v>82</v>
      </c>
      <c r="I167" s="57">
        <v>79.41</v>
      </c>
      <c r="J167" s="77">
        <v>80.22</v>
      </c>
      <c r="K167" s="81">
        <v>1944000</v>
      </c>
      <c r="L167" s="56">
        <v>5456000</v>
      </c>
      <c r="M167" s="56">
        <v>80</v>
      </c>
      <c r="N167" s="56">
        <v>41</v>
      </c>
      <c r="O167" s="57">
        <v>3.64</v>
      </c>
      <c r="P167" s="56">
        <v>68200</v>
      </c>
      <c r="Q167" s="56">
        <v>248000</v>
      </c>
      <c r="R167" s="56">
        <v>462279</v>
      </c>
      <c r="S167" s="56">
        <v>97200</v>
      </c>
      <c r="T167" s="56">
        <v>151544</v>
      </c>
      <c r="U167" s="77">
        <v>2.81</v>
      </c>
      <c r="V167" s="81">
        <v>22</v>
      </c>
      <c r="W167" s="85">
        <v>20</v>
      </c>
      <c r="X167" s="81">
        <v>155928240</v>
      </c>
      <c r="Y167" s="69" t="s">
        <v>77</v>
      </c>
      <c r="Z167" s="87" t="s">
        <v>12</v>
      </c>
      <c r="AA167" s="54" t="s">
        <v>12</v>
      </c>
      <c r="AB167" s="54" t="s">
        <v>12</v>
      </c>
      <c r="AC167" s="54" t="s">
        <v>12</v>
      </c>
      <c r="AD167" s="54" t="s">
        <v>12</v>
      </c>
      <c r="AE167" s="56">
        <v>155928240</v>
      </c>
      <c r="AF167" s="54" t="s">
        <v>12</v>
      </c>
      <c r="AG167" s="54" t="s">
        <v>12</v>
      </c>
      <c r="AH167" s="54" t="s">
        <v>12</v>
      </c>
      <c r="AI167" s="54" t="s">
        <v>12</v>
      </c>
      <c r="AJ167" s="54" t="s">
        <v>12</v>
      </c>
      <c r="AK167" s="54" t="s">
        <v>12</v>
      </c>
      <c r="AL167" s="54" t="s">
        <v>12</v>
      </c>
      <c r="AM167" s="54" t="s">
        <v>12</v>
      </c>
      <c r="AN167" s="54" t="s">
        <v>12</v>
      </c>
      <c r="AO167" s="54" t="s">
        <v>12</v>
      </c>
      <c r="AP167" s="54" t="s">
        <v>12</v>
      </c>
      <c r="AQ167" s="54" t="s">
        <v>12</v>
      </c>
      <c r="AR167" s="54" t="s">
        <v>12</v>
      </c>
      <c r="AS167" s="54" t="s">
        <v>12</v>
      </c>
      <c r="AT167" s="54" t="s">
        <v>12</v>
      </c>
      <c r="AU167" s="54" t="s">
        <v>12</v>
      </c>
      <c r="AV167" s="54" t="s">
        <v>12</v>
      </c>
      <c r="AW167" s="54" t="s">
        <v>12</v>
      </c>
      <c r="AX167" s="54" t="s">
        <v>12</v>
      </c>
      <c r="AY167" s="54" t="s">
        <v>12</v>
      </c>
      <c r="AZ167" s="54" t="s">
        <v>12</v>
      </c>
      <c r="BA167" s="54" t="s">
        <v>12</v>
      </c>
      <c r="BB167" s="54" t="s">
        <v>12</v>
      </c>
      <c r="BC167" s="54" t="s">
        <v>12</v>
      </c>
      <c r="BD167" s="54" t="s">
        <v>12</v>
      </c>
      <c r="BE167" s="54" t="s">
        <v>12</v>
      </c>
      <c r="BF167" s="89" t="s">
        <v>12</v>
      </c>
    </row>
    <row r="168" spans="1:58" x14ac:dyDescent="0.4">
      <c r="A168" s="63">
        <v>44658</v>
      </c>
      <c r="B168" s="53">
        <v>44658.459127245369</v>
      </c>
      <c r="C168" s="54" t="s">
        <v>89</v>
      </c>
      <c r="D168" s="55" t="s">
        <v>74</v>
      </c>
      <c r="E168" s="69" t="s">
        <v>90</v>
      </c>
      <c r="F168" s="73">
        <v>77.13</v>
      </c>
      <c r="G168" s="57">
        <v>45</v>
      </c>
      <c r="H168" s="57">
        <v>90</v>
      </c>
      <c r="I168" s="57">
        <v>76.010000000000005</v>
      </c>
      <c r="J168" s="77">
        <v>76.23</v>
      </c>
      <c r="K168" s="81">
        <v>2506500</v>
      </c>
      <c r="L168" s="56">
        <v>6988000</v>
      </c>
      <c r="M168" s="56">
        <v>96</v>
      </c>
      <c r="N168" s="56">
        <v>18</v>
      </c>
      <c r="O168" s="57">
        <v>3.31</v>
      </c>
      <c r="P168" s="56">
        <v>72792</v>
      </c>
      <c r="Q168" s="56">
        <v>240966</v>
      </c>
      <c r="R168" s="56">
        <v>436328</v>
      </c>
      <c r="S168" s="56">
        <v>192808</v>
      </c>
      <c r="T168" s="56">
        <v>233982</v>
      </c>
      <c r="U168" s="77">
        <v>2.79</v>
      </c>
      <c r="V168" s="81">
        <v>29</v>
      </c>
      <c r="W168" s="85">
        <v>13</v>
      </c>
      <c r="X168" s="81">
        <v>193326345</v>
      </c>
      <c r="Y168" s="69" t="s">
        <v>75</v>
      </c>
      <c r="Z168" s="81">
        <v>2583855</v>
      </c>
      <c r="AA168" s="56">
        <v>6247530</v>
      </c>
      <c r="AB168" s="56">
        <v>9178470</v>
      </c>
      <c r="AC168" s="56">
        <v>694170</v>
      </c>
      <c r="AD168" s="56">
        <v>4550670</v>
      </c>
      <c r="AE168" s="54" t="s">
        <v>12</v>
      </c>
      <c r="AF168" s="56">
        <v>3393720</v>
      </c>
      <c r="AG168" s="56">
        <v>2352465</v>
      </c>
      <c r="AH168" s="56">
        <v>9217035</v>
      </c>
      <c r="AI168" s="56">
        <v>22329135</v>
      </c>
      <c r="AJ168" s="56">
        <v>4280715</v>
      </c>
      <c r="AK168" s="56">
        <v>12765015</v>
      </c>
      <c r="AL168" s="56">
        <v>964125</v>
      </c>
      <c r="AM168" s="56">
        <v>2738115</v>
      </c>
      <c r="AN168" s="56">
        <v>3278025</v>
      </c>
      <c r="AO168" s="56">
        <v>22676220</v>
      </c>
      <c r="AP168" s="56">
        <v>154260</v>
      </c>
      <c r="AQ168" s="56">
        <v>22020615</v>
      </c>
      <c r="AR168" s="56">
        <v>0</v>
      </c>
      <c r="AS168" s="56">
        <v>694170</v>
      </c>
      <c r="AT168" s="56">
        <v>462780</v>
      </c>
      <c r="AU168" s="56">
        <v>578475</v>
      </c>
      <c r="AV168" s="56">
        <v>38680695</v>
      </c>
      <c r="AW168" s="56">
        <v>269955</v>
      </c>
      <c r="AX168" s="56">
        <v>7790130</v>
      </c>
      <c r="AY168" s="56">
        <v>2121075</v>
      </c>
      <c r="AZ168" s="54" t="s">
        <v>12</v>
      </c>
      <c r="BA168" s="56">
        <v>4627800</v>
      </c>
      <c r="BB168" s="56">
        <v>3239460</v>
      </c>
      <c r="BC168" s="56">
        <v>1889685</v>
      </c>
      <c r="BD168" s="56">
        <v>1195515</v>
      </c>
      <c r="BE168" s="56">
        <v>2352465</v>
      </c>
      <c r="BF168" s="89" t="s">
        <v>12</v>
      </c>
    </row>
    <row r="169" spans="1:58" x14ac:dyDescent="0.4">
      <c r="A169" s="63">
        <v>44657</v>
      </c>
      <c r="B169" s="53">
        <v>44657.459182372688</v>
      </c>
      <c r="C169" s="54" t="s">
        <v>93</v>
      </c>
      <c r="D169" s="55" t="s">
        <v>81</v>
      </c>
      <c r="E169" s="69" t="s">
        <v>90</v>
      </c>
      <c r="F169" s="73">
        <v>78.34</v>
      </c>
      <c r="G169" s="57">
        <v>45</v>
      </c>
      <c r="H169" s="57">
        <v>79.3</v>
      </c>
      <c r="I169" s="57">
        <v>77.62</v>
      </c>
      <c r="J169" s="77">
        <v>78.5</v>
      </c>
      <c r="K169" s="81">
        <v>600000</v>
      </c>
      <c r="L169" s="56">
        <v>1541500</v>
      </c>
      <c r="M169" s="56">
        <v>37</v>
      </c>
      <c r="N169" s="56">
        <v>24</v>
      </c>
      <c r="O169" s="57">
        <v>4.63</v>
      </c>
      <c r="P169" s="56">
        <v>41662</v>
      </c>
      <c r="Q169" s="56">
        <v>192688</v>
      </c>
      <c r="R169" s="56">
        <v>231790</v>
      </c>
      <c r="S169" s="56">
        <v>85714</v>
      </c>
      <c r="T169" s="56">
        <v>128544</v>
      </c>
      <c r="U169" s="77">
        <v>2.57</v>
      </c>
      <c r="V169" s="81">
        <v>8</v>
      </c>
      <c r="W169" s="85">
        <v>7</v>
      </c>
      <c r="X169" s="81">
        <v>47004000</v>
      </c>
      <c r="Y169" s="69" t="s">
        <v>75</v>
      </c>
      <c r="Z169" s="81">
        <v>1214270</v>
      </c>
      <c r="AA169" s="56">
        <v>1684310</v>
      </c>
      <c r="AB169" s="56">
        <v>548380</v>
      </c>
      <c r="AC169" s="56">
        <v>391700</v>
      </c>
      <c r="AD169" s="56">
        <v>587550</v>
      </c>
      <c r="AE169" s="54" t="s">
        <v>12</v>
      </c>
      <c r="AF169" s="56">
        <v>1488460</v>
      </c>
      <c r="AG169" s="56">
        <v>156680</v>
      </c>
      <c r="AH169" s="56">
        <v>3016090</v>
      </c>
      <c r="AI169" s="56">
        <v>8617400</v>
      </c>
      <c r="AJ169" s="56">
        <v>1253440</v>
      </c>
      <c r="AK169" s="56">
        <v>6541390</v>
      </c>
      <c r="AL169" s="56">
        <v>430870</v>
      </c>
      <c r="AM169" s="56">
        <v>548380</v>
      </c>
      <c r="AN169" s="56">
        <v>1135930</v>
      </c>
      <c r="AO169" s="54" t="s">
        <v>12</v>
      </c>
      <c r="AP169" s="56">
        <v>548380</v>
      </c>
      <c r="AQ169" s="56">
        <v>7128940</v>
      </c>
      <c r="AR169" s="56">
        <v>0</v>
      </c>
      <c r="AS169" s="56">
        <v>274190</v>
      </c>
      <c r="AT169" s="56">
        <v>195850</v>
      </c>
      <c r="AU169" s="56">
        <v>313360</v>
      </c>
      <c r="AV169" s="54" t="s">
        <v>12</v>
      </c>
      <c r="AW169" s="56">
        <v>352530</v>
      </c>
      <c r="AX169" s="56">
        <v>2467710</v>
      </c>
      <c r="AY169" s="56">
        <v>2428540</v>
      </c>
      <c r="AZ169" s="54" t="s">
        <v>12</v>
      </c>
      <c r="BA169" s="56">
        <v>2271860</v>
      </c>
      <c r="BB169" s="56">
        <v>1096760</v>
      </c>
      <c r="BC169" s="56">
        <v>2154350</v>
      </c>
      <c r="BD169" s="56">
        <v>78340</v>
      </c>
      <c r="BE169" s="56">
        <v>78340</v>
      </c>
      <c r="BF169" s="89" t="s">
        <v>12</v>
      </c>
    </row>
    <row r="170" spans="1:58" x14ac:dyDescent="0.4">
      <c r="A170" s="63">
        <v>44656</v>
      </c>
      <c r="B170" s="53">
        <v>44656.458782824076</v>
      </c>
      <c r="C170" s="54" t="s">
        <v>89</v>
      </c>
      <c r="D170" s="55" t="s">
        <v>74</v>
      </c>
      <c r="E170" s="69" t="s">
        <v>90</v>
      </c>
      <c r="F170" s="73">
        <v>78.33</v>
      </c>
      <c r="G170" s="57">
        <v>62.53</v>
      </c>
      <c r="H170" s="57">
        <v>83.1</v>
      </c>
      <c r="I170" s="57">
        <v>78.05</v>
      </c>
      <c r="J170" s="77">
        <v>77.959999999999994</v>
      </c>
      <c r="K170" s="81">
        <v>2506500</v>
      </c>
      <c r="L170" s="56">
        <v>6060500</v>
      </c>
      <c r="M170" s="56">
        <v>102</v>
      </c>
      <c r="N170" s="56">
        <v>30</v>
      </c>
      <c r="O170" s="57">
        <v>4.43</v>
      </c>
      <c r="P170" s="56">
        <v>59417</v>
      </c>
      <c r="Q170" s="56">
        <v>263500</v>
      </c>
      <c r="R170" s="56">
        <v>454923</v>
      </c>
      <c r="S170" s="56">
        <v>179036</v>
      </c>
      <c r="T170" s="56">
        <v>249672</v>
      </c>
      <c r="U170" s="77">
        <v>2.42</v>
      </c>
      <c r="V170" s="81">
        <v>23</v>
      </c>
      <c r="W170" s="85">
        <v>14</v>
      </c>
      <c r="X170" s="81">
        <v>196334145</v>
      </c>
      <c r="Y170" s="69" t="s">
        <v>75</v>
      </c>
      <c r="Z170" s="81">
        <v>2624055</v>
      </c>
      <c r="AA170" s="56">
        <v>6344730</v>
      </c>
      <c r="AB170" s="56">
        <v>9321270</v>
      </c>
      <c r="AC170" s="56">
        <v>704970</v>
      </c>
      <c r="AD170" s="56">
        <v>4621470</v>
      </c>
      <c r="AE170" s="54" t="s">
        <v>12</v>
      </c>
      <c r="AF170" s="56">
        <v>3446520</v>
      </c>
      <c r="AG170" s="56">
        <v>2389065</v>
      </c>
      <c r="AH170" s="56">
        <v>9360435</v>
      </c>
      <c r="AI170" s="56">
        <v>22676535</v>
      </c>
      <c r="AJ170" s="56">
        <v>4347315</v>
      </c>
      <c r="AK170" s="56">
        <v>12963615</v>
      </c>
      <c r="AL170" s="56">
        <v>979125</v>
      </c>
      <c r="AM170" s="56">
        <v>2780715</v>
      </c>
      <c r="AN170" s="56">
        <v>3329025</v>
      </c>
      <c r="AO170" s="56">
        <v>23029020</v>
      </c>
      <c r="AP170" s="56">
        <v>156660</v>
      </c>
      <c r="AQ170" s="56">
        <v>22363215</v>
      </c>
      <c r="AR170" s="56">
        <v>0</v>
      </c>
      <c r="AS170" s="56">
        <v>704970</v>
      </c>
      <c r="AT170" s="56">
        <v>469980</v>
      </c>
      <c r="AU170" s="56">
        <v>587475</v>
      </c>
      <c r="AV170" s="56">
        <v>39282495</v>
      </c>
      <c r="AW170" s="56">
        <v>274155</v>
      </c>
      <c r="AX170" s="56">
        <v>7911330</v>
      </c>
      <c r="AY170" s="56">
        <v>2154075</v>
      </c>
      <c r="AZ170" s="54" t="s">
        <v>12</v>
      </c>
      <c r="BA170" s="56">
        <v>4699800</v>
      </c>
      <c r="BB170" s="56">
        <v>3289860</v>
      </c>
      <c r="BC170" s="56">
        <v>1919085</v>
      </c>
      <c r="BD170" s="56">
        <v>1214115</v>
      </c>
      <c r="BE170" s="56">
        <v>2389065</v>
      </c>
      <c r="BF170" s="89" t="s">
        <v>12</v>
      </c>
    </row>
    <row r="171" spans="1:58" x14ac:dyDescent="0.4">
      <c r="A171" s="63">
        <v>44655</v>
      </c>
      <c r="B171" s="53">
        <v>44655.458705358797</v>
      </c>
      <c r="C171" s="54" t="s">
        <v>89</v>
      </c>
      <c r="D171" s="55" t="s">
        <v>74</v>
      </c>
      <c r="E171" s="69" t="s">
        <v>90</v>
      </c>
      <c r="F171" s="73">
        <v>77.5</v>
      </c>
      <c r="G171" s="57">
        <v>45</v>
      </c>
      <c r="H171" s="57">
        <v>82.5</v>
      </c>
      <c r="I171" s="57">
        <v>77.02</v>
      </c>
      <c r="J171" s="77">
        <v>77.2</v>
      </c>
      <c r="K171" s="81">
        <v>2506500</v>
      </c>
      <c r="L171" s="56">
        <v>6633500</v>
      </c>
      <c r="M171" s="56">
        <v>107</v>
      </c>
      <c r="N171" s="56">
        <v>36</v>
      </c>
      <c r="O171" s="57">
        <v>4.12</v>
      </c>
      <c r="P171" s="56">
        <v>61995</v>
      </c>
      <c r="Q171" s="56">
        <v>255135</v>
      </c>
      <c r="R171" s="56">
        <v>436163</v>
      </c>
      <c r="S171" s="56">
        <v>156656</v>
      </c>
      <c r="T171" s="56">
        <v>247285</v>
      </c>
      <c r="U171" s="77">
        <v>2.65</v>
      </c>
      <c r="V171" s="81">
        <v>26</v>
      </c>
      <c r="W171" s="85">
        <v>16</v>
      </c>
      <c r="X171" s="81">
        <v>194253750</v>
      </c>
      <c r="Y171" s="69" t="s">
        <v>75</v>
      </c>
      <c r="Z171" s="81">
        <v>2596250</v>
      </c>
      <c r="AA171" s="56">
        <v>6277500</v>
      </c>
      <c r="AB171" s="56">
        <v>9222500</v>
      </c>
      <c r="AC171" s="56">
        <v>697500</v>
      </c>
      <c r="AD171" s="56">
        <v>4572500</v>
      </c>
      <c r="AE171" s="54" t="s">
        <v>12</v>
      </c>
      <c r="AF171" s="56">
        <v>3410000</v>
      </c>
      <c r="AG171" s="56">
        <v>2363750</v>
      </c>
      <c r="AH171" s="56">
        <v>9261250</v>
      </c>
      <c r="AI171" s="56">
        <v>22436250</v>
      </c>
      <c r="AJ171" s="56">
        <v>4301250</v>
      </c>
      <c r="AK171" s="56">
        <v>12826250</v>
      </c>
      <c r="AL171" s="56">
        <v>968750</v>
      </c>
      <c r="AM171" s="56">
        <v>2751250</v>
      </c>
      <c r="AN171" s="56">
        <v>3293750</v>
      </c>
      <c r="AO171" s="56">
        <v>22785000</v>
      </c>
      <c r="AP171" s="56">
        <v>155000</v>
      </c>
      <c r="AQ171" s="56">
        <v>22126250</v>
      </c>
      <c r="AR171" s="56">
        <v>0</v>
      </c>
      <c r="AS171" s="56">
        <v>697500</v>
      </c>
      <c r="AT171" s="56">
        <v>465000</v>
      </c>
      <c r="AU171" s="56">
        <v>581250</v>
      </c>
      <c r="AV171" s="56">
        <v>38866250</v>
      </c>
      <c r="AW171" s="56">
        <v>271250</v>
      </c>
      <c r="AX171" s="56">
        <v>7827500</v>
      </c>
      <c r="AY171" s="56">
        <v>2131250</v>
      </c>
      <c r="AZ171" s="54" t="s">
        <v>12</v>
      </c>
      <c r="BA171" s="56">
        <v>4650000</v>
      </c>
      <c r="BB171" s="56">
        <v>3255000</v>
      </c>
      <c r="BC171" s="56">
        <v>1898750</v>
      </c>
      <c r="BD171" s="56">
        <v>1201250</v>
      </c>
      <c r="BE171" s="56">
        <v>2363750</v>
      </c>
      <c r="BF171" s="89" t="s">
        <v>12</v>
      </c>
    </row>
    <row r="172" spans="1:58" x14ac:dyDescent="0.4">
      <c r="A172" s="63">
        <v>44652</v>
      </c>
      <c r="B172" s="53">
        <v>44652.459423310182</v>
      </c>
      <c r="C172" s="54" t="s">
        <v>91</v>
      </c>
      <c r="D172" s="55" t="s">
        <v>74</v>
      </c>
      <c r="E172" s="69" t="s">
        <v>90</v>
      </c>
      <c r="F172" s="73">
        <v>78</v>
      </c>
      <c r="G172" s="57">
        <v>45</v>
      </c>
      <c r="H172" s="57">
        <v>83</v>
      </c>
      <c r="I172" s="57">
        <v>78.52</v>
      </c>
      <c r="J172" s="77">
        <v>79.2</v>
      </c>
      <c r="K172" s="81">
        <v>1944000</v>
      </c>
      <c r="L172" s="56">
        <v>3985500</v>
      </c>
      <c r="M172" s="56">
        <v>68</v>
      </c>
      <c r="N172" s="56">
        <v>62</v>
      </c>
      <c r="O172" s="57">
        <v>3.4</v>
      </c>
      <c r="P172" s="56">
        <v>58610</v>
      </c>
      <c r="Q172" s="56">
        <v>199275</v>
      </c>
      <c r="R172" s="56">
        <v>453902</v>
      </c>
      <c r="S172" s="56">
        <v>102316</v>
      </c>
      <c r="T172" s="56">
        <v>155381</v>
      </c>
      <c r="U172" s="77">
        <v>2.0499999999999998</v>
      </c>
      <c r="V172" s="81">
        <v>20</v>
      </c>
      <c r="W172" s="85">
        <v>19</v>
      </c>
      <c r="X172" s="81">
        <v>151632000</v>
      </c>
      <c r="Y172" s="69" t="s">
        <v>77</v>
      </c>
      <c r="Z172" s="87" t="s">
        <v>12</v>
      </c>
      <c r="AA172" s="54" t="s">
        <v>12</v>
      </c>
      <c r="AB172" s="54" t="s">
        <v>12</v>
      </c>
      <c r="AC172" s="54" t="s">
        <v>12</v>
      </c>
      <c r="AD172" s="54" t="s">
        <v>12</v>
      </c>
      <c r="AE172" s="56">
        <v>151632000</v>
      </c>
      <c r="AF172" s="54" t="s">
        <v>12</v>
      </c>
      <c r="AG172" s="54" t="s">
        <v>12</v>
      </c>
      <c r="AH172" s="54" t="s">
        <v>12</v>
      </c>
      <c r="AI172" s="54" t="s">
        <v>12</v>
      </c>
      <c r="AJ172" s="54" t="s">
        <v>12</v>
      </c>
      <c r="AK172" s="54" t="s">
        <v>12</v>
      </c>
      <c r="AL172" s="54" t="s">
        <v>12</v>
      </c>
      <c r="AM172" s="54" t="s">
        <v>12</v>
      </c>
      <c r="AN172" s="54" t="s">
        <v>12</v>
      </c>
      <c r="AO172" s="54" t="s">
        <v>12</v>
      </c>
      <c r="AP172" s="54" t="s">
        <v>12</v>
      </c>
      <c r="AQ172" s="54" t="s">
        <v>12</v>
      </c>
      <c r="AR172" s="54" t="s">
        <v>12</v>
      </c>
      <c r="AS172" s="54" t="s">
        <v>12</v>
      </c>
      <c r="AT172" s="54" t="s">
        <v>12</v>
      </c>
      <c r="AU172" s="54" t="s">
        <v>12</v>
      </c>
      <c r="AV172" s="54" t="s">
        <v>12</v>
      </c>
      <c r="AW172" s="54" t="s">
        <v>12</v>
      </c>
      <c r="AX172" s="54" t="s">
        <v>12</v>
      </c>
      <c r="AY172" s="54" t="s">
        <v>12</v>
      </c>
      <c r="AZ172" s="54" t="s">
        <v>12</v>
      </c>
      <c r="BA172" s="54" t="s">
        <v>12</v>
      </c>
      <c r="BB172" s="54" t="s">
        <v>12</v>
      </c>
      <c r="BC172" s="54" t="s">
        <v>12</v>
      </c>
      <c r="BD172" s="54" t="s">
        <v>12</v>
      </c>
      <c r="BE172" s="54" t="s">
        <v>12</v>
      </c>
      <c r="BF172" s="89" t="s">
        <v>12</v>
      </c>
    </row>
    <row r="173" spans="1:58" x14ac:dyDescent="0.4">
      <c r="A173" s="63">
        <v>44651</v>
      </c>
      <c r="B173" s="53">
        <v>44651.458808506941</v>
      </c>
      <c r="C173" s="54" t="s">
        <v>89</v>
      </c>
      <c r="D173" s="55" t="s">
        <v>74</v>
      </c>
      <c r="E173" s="69" t="s">
        <v>90</v>
      </c>
      <c r="F173" s="73">
        <v>79.25</v>
      </c>
      <c r="G173" s="57">
        <v>45</v>
      </c>
      <c r="H173" s="57">
        <v>84.6</v>
      </c>
      <c r="I173" s="57">
        <v>78.62</v>
      </c>
      <c r="J173" s="77">
        <v>79.010000000000005</v>
      </c>
      <c r="K173" s="81">
        <v>2506500</v>
      </c>
      <c r="L173" s="56">
        <v>5863500</v>
      </c>
      <c r="M173" s="56">
        <v>82</v>
      </c>
      <c r="N173" s="56">
        <v>31</v>
      </c>
      <c r="O173" s="57">
        <v>3.9</v>
      </c>
      <c r="P173" s="56">
        <v>71506</v>
      </c>
      <c r="Q173" s="56">
        <v>279214</v>
      </c>
      <c r="R173" s="56">
        <v>491241</v>
      </c>
      <c r="S173" s="56">
        <v>179036</v>
      </c>
      <c r="T173" s="56">
        <v>257985</v>
      </c>
      <c r="U173" s="77">
        <v>2.34</v>
      </c>
      <c r="V173" s="81">
        <v>21</v>
      </c>
      <c r="W173" s="85">
        <v>14</v>
      </c>
      <c r="X173" s="81">
        <v>198640125</v>
      </c>
      <c r="Y173" s="69" t="s">
        <v>75</v>
      </c>
      <c r="Z173" s="81">
        <v>2654875</v>
      </c>
      <c r="AA173" s="56">
        <v>6419250</v>
      </c>
      <c r="AB173" s="56">
        <v>9430750</v>
      </c>
      <c r="AC173" s="56">
        <v>713250</v>
      </c>
      <c r="AD173" s="56">
        <v>4675750</v>
      </c>
      <c r="AE173" s="54" t="s">
        <v>12</v>
      </c>
      <c r="AF173" s="56">
        <v>3487000</v>
      </c>
      <c r="AG173" s="56">
        <v>2417125</v>
      </c>
      <c r="AH173" s="56">
        <v>9470375</v>
      </c>
      <c r="AI173" s="56">
        <v>22942875</v>
      </c>
      <c r="AJ173" s="56">
        <v>4398375</v>
      </c>
      <c r="AK173" s="56">
        <v>13115875</v>
      </c>
      <c r="AL173" s="56">
        <v>990625</v>
      </c>
      <c r="AM173" s="56">
        <v>2813375</v>
      </c>
      <c r="AN173" s="56">
        <v>3368125</v>
      </c>
      <c r="AO173" s="56">
        <v>23299500</v>
      </c>
      <c r="AP173" s="56">
        <v>158500</v>
      </c>
      <c r="AQ173" s="56">
        <v>22625875</v>
      </c>
      <c r="AR173" s="56">
        <v>0</v>
      </c>
      <c r="AS173" s="56">
        <v>713250</v>
      </c>
      <c r="AT173" s="56">
        <v>475500</v>
      </c>
      <c r="AU173" s="56">
        <v>594375</v>
      </c>
      <c r="AV173" s="56">
        <v>39743875</v>
      </c>
      <c r="AW173" s="56">
        <v>277375</v>
      </c>
      <c r="AX173" s="56">
        <v>8004250</v>
      </c>
      <c r="AY173" s="56">
        <v>2179375</v>
      </c>
      <c r="AZ173" s="54" t="s">
        <v>12</v>
      </c>
      <c r="BA173" s="56">
        <v>4755000</v>
      </c>
      <c r="BB173" s="56">
        <v>3328500</v>
      </c>
      <c r="BC173" s="56">
        <v>1941625</v>
      </c>
      <c r="BD173" s="56">
        <v>1228375</v>
      </c>
      <c r="BE173" s="56">
        <v>2417125</v>
      </c>
      <c r="BF173" s="89" t="s">
        <v>12</v>
      </c>
    </row>
    <row r="174" spans="1:58" x14ac:dyDescent="0.4">
      <c r="A174" s="63">
        <v>44650</v>
      </c>
      <c r="B174" s="53">
        <v>44650.45891465278</v>
      </c>
      <c r="C174" s="54" t="s">
        <v>92</v>
      </c>
      <c r="D174" s="55" t="s">
        <v>74</v>
      </c>
      <c r="E174" s="69" t="s">
        <v>90</v>
      </c>
      <c r="F174" s="73">
        <v>77.22</v>
      </c>
      <c r="G174" s="57">
        <v>45</v>
      </c>
      <c r="H174" s="57">
        <v>88</v>
      </c>
      <c r="I174" s="57">
        <v>76.87</v>
      </c>
      <c r="J174" s="77">
        <v>77.349999999999994</v>
      </c>
      <c r="K174" s="81">
        <v>3322500</v>
      </c>
      <c r="L174" s="56">
        <v>6254000</v>
      </c>
      <c r="M174" s="56">
        <v>87</v>
      </c>
      <c r="N174" s="56">
        <v>50</v>
      </c>
      <c r="O174" s="57">
        <v>3.63</v>
      </c>
      <c r="P174" s="56">
        <v>71885</v>
      </c>
      <c r="Q174" s="56">
        <v>260583</v>
      </c>
      <c r="R174" s="56">
        <v>482328</v>
      </c>
      <c r="S174" s="56">
        <v>151023</v>
      </c>
      <c r="T174" s="56">
        <v>261961</v>
      </c>
      <c r="U174" s="77">
        <v>1.88</v>
      </c>
      <c r="V174" s="81">
        <v>24</v>
      </c>
      <c r="W174" s="85">
        <v>22</v>
      </c>
      <c r="X174" s="81">
        <v>256563450</v>
      </c>
      <c r="Y174" s="69" t="s">
        <v>79</v>
      </c>
      <c r="Z174" s="87" t="s">
        <v>12</v>
      </c>
      <c r="AA174" s="54" t="s">
        <v>12</v>
      </c>
      <c r="AB174" s="54" t="s">
        <v>12</v>
      </c>
      <c r="AC174" s="54" t="s">
        <v>12</v>
      </c>
      <c r="AD174" s="54" t="s">
        <v>12</v>
      </c>
      <c r="AE174" s="54" t="s">
        <v>12</v>
      </c>
      <c r="AF174" s="54" t="s">
        <v>12</v>
      </c>
      <c r="AG174" s="54" t="s">
        <v>12</v>
      </c>
      <c r="AH174" s="54" t="s">
        <v>12</v>
      </c>
      <c r="AI174" s="54" t="s">
        <v>12</v>
      </c>
      <c r="AJ174" s="54" t="s">
        <v>12</v>
      </c>
      <c r="AK174" s="54" t="s">
        <v>12</v>
      </c>
      <c r="AL174" s="54" t="s">
        <v>12</v>
      </c>
      <c r="AM174" s="54" t="s">
        <v>12</v>
      </c>
      <c r="AN174" s="54" t="s">
        <v>12</v>
      </c>
      <c r="AO174" s="54" t="s">
        <v>12</v>
      </c>
      <c r="AP174" s="54" t="s">
        <v>12</v>
      </c>
      <c r="AQ174" s="54" t="s">
        <v>12</v>
      </c>
      <c r="AR174" s="54" t="s">
        <v>12</v>
      </c>
      <c r="AS174" s="54" t="s">
        <v>12</v>
      </c>
      <c r="AT174" s="54" t="s">
        <v>12</v>
      </c>
      <c r="AU174" s="54" t="s">
        <v>12</v>
      </c>
      <c r="AV174" s="54" t="s">
        <v>12</v>
      </c>
      <c r="AW174" s="54" t="s">
        <v>12</v>
      </c>
      <c r="AX174" s="54" t="s">
        <v>12</v>
      </c>
      <c r="AY174" s="54" t="s">
        <v>12</v>
      </c>
      <c r="AZ174" s="56">
        <v>256563450</v>
      </c>
      <c r="BA174" s="54" t="s">
        <v>12</v>
      </c>
      <c r="BB174" s="54" t="s">
        <v>12</v>
      </c>
      <c r="BC174" s="54" t="s">
        <v>12</v>
      </c>
      <c r="BD174" s="54" t="s">
        <v>12</v>
      </c>
      <c r="BE174" s="54" t="s">
        <v>12</v>
      </c>
      <c r="BF174" s="89" t="s">
        <v>12</v>
      </c>
    </row>
    <row r="175" spans="1:58" x14ac:dyDescent="0.4">
      <c r="A175" s="63">
        <v>44649</v>
      </c>
      <c r="B175" s="53">
        <v>44649.458688888888</v>
      </c>
      <c r="C175" s="54" t="s">
        <v>89</v>
      </c>
      <c r="D175" s="55" t="s">
        <v>74</v>
      </c>
      <c r="E175" s="69" t="s">
        <v>90</v>
      </c>
      <c r="F175" s="73">
        <v>80.510000000000005</v>
      </c>
      <c r="G175" s="57">
        <v>40</v>
      </c>
      <c r="H175" s="57">
        <v>84.6</v>
      </c>
      <c r="I175" s="57">
        <v>79.25</v>
      </c>
      <c r="J175" s="77">
        <v>80.48</v>
      </c>
      <c r="K175" s="81">
        <v>2506500</v>
      </c>
      <c r="L175" s="56">
        <v>5750500</v>
      </c>
      <c r="M175" s="56">
        <v>74</v>
      </c>
      <c r="N175" s="56">
        <v>36</v>
      </c>
      <c r="O175" s="57">
        <v>4.3499999999999996</v>
      </c>
      <c r="P175" s="56">
        <v>77709</v>
      </c>
      <c r="Q175" s="56">
        <v>338265</v>
      </c>
      <c r="R175" s="56">
        <v>523258</v>
      </c>
      <c r="S175" s="56">
        <v>192808</v>
      </c>
      <c r="T175" s="56">
        <v>254157</v>
      </c>
      <c r="U175" s="77">
        <v>2.29</v>
      </c>
      <c r="V175" s="81">
        <v>17</v>
      </c>
      <c r="W175" s="85">
        <v>13</v>
      </c>
      <c r="X175" s="81">
        <v>201798315</v>
      </c>
      <c r="Y175" s="69" t="s">
        <v>75</v>
      </c>
      <c r="Z175" s="81">
        <v>2697085</v>
      </c>
      <c r="AA175" s="56">
        <v>6521310</v>
      </c>
      <c r="AB175" s="56">
        <v>9580690</v>
      </c>
      <c r="AC175" s="56">
        <v>724590</v>
      </c>
      <c r="AD175" s="56">
        <v>4750090</v>
      </c>
      <c r="AE175" s="54" t="s">
        <v>12</v>
      </c>
      <c r="AF175" s="56">
        <v>3542440</v>
      </c>
      <c r="AG175" s="56">
        <v>2455555</v>
      </c>
      <c r="AH175" s="56">
        <v>9620945</v>
      </c>
      <c r="AI175" s="56">
        <v>23307645</v>
      </c>
      <c r="AJ175" s="56">
        <v>4468305</v>
      </c>
      <c r="AK175" s="56">
        <v>13324405</v>
      </c>
      <c r="AL175" s="56">
        <v>1006375</v>
      </c>
      <c r="AM175" s="56">
        <v>2858105</v>
      </c>
      <c r="AN175" s="56">
        <v>3421675</v>
      </c>
      <c r="AO175" s="56">
        <v>23669940</v>
      </c>
      <c r="AP175" s="56">
        <v>161020</v>
      </c>
      <c r="AQ175" s="56">
        <v>22985605</v>
      </c>
      <c r="AR175" s="56">
        <v>0</v>
      </c>
      <c r="AS175" s="56">
        <v>724590</v>
      </c>
      <c r="AT175" s="56">
        <v>483060</v>
      </c>
      <c r="AU175" s="56">
        <v>603825</v>
      </c>
      <c r="AV175" s="56">
        <v>40375765</v>
      </c>
      <c r="AW175" s="56">
        <v>281785</v>
      </c>
      <c r="AX175" s="56">
        <v>8131510</v>
      </c>
      <c r="AY175" s="56">
        <v>2214025</v>
      </c>
      <c r="AZ175" s="54" t="s">
        <v>12</v>
      </c>
      <c r="BA175" s="56">
        <v>4830600</v>
      </c>
      <c r="BB175" s="56">
        <v>3381420</v>
      </c>
      <c r="BC175" s="56">
        <v>1972495</v>
      </c>
      <c r="BD175" s="56">
        <v>1247905</v>
      </c>
      <c r="BE175" s="56">
        <v>2455555</v>
      </c>
      <c r="BF175" s="89" t="s">
        <v>12</v>
      </c>
    </row>
    <row r="176" spans="1:58" x14ac:dyDescent="0.4">
      <c r="A176" s="63">
        <v>44648</v>
      </c>
      <c r="B176" s="53">
        <v>44648.458743553238</v>
      </c>
      <c r="C176" s="54" t="s">
        <v>89</v>
      </c>
      <c r="D176" s="55" t="s">
        <v>74</v>
      </c>
      <c r="E176" s="69" t="s">
        <v>90</v>
      </c>
      <c r="F176" s="73">
        <v>80.760000000000005</v>
      </c>
      <c r="G176" s="57">
        <v>60</v>
      </c>
      <c r="H176" s="57">
        <v>88</v>
      </c>
      <c r="I176" s="57">
        <v>79.930000000000007</v>
      </c>
      <c r="J176" s="77">
        <v>80.13</v>
      </c>
      <c r="K176" s="81">
        <v>2506500</v>
      </c>
      <c r="L176" s="56">
        <v>6232000</v>
      </c>
      <c r="M176" s="56">
        <v>74</v>
      </c>
      <c r="N176" s="56">
        <v>22</v>
      </c>
      <c r="O176" s="57">
        <v>4.3499999999999996</v>
      </c>
      <c r="P176" s="56">
        <v>84216</v>
      </c>
      <c r="Q176" s="56">
        <v>366588</v>
      </c>
      <c r="R176" s="56">
        <v>519513</v>
      </c>
      <c r="S176" s="56">
        <v>278500</v>
      </c>
      <c r="T176" s="56">
        <v>279481</v>
      </c>
      <c r="U176" s="77">
        <v>2.4900000000000002</v>
      </c>
      <c r="V176" s="81">
        <v>17</v>
      </c>
      <c r="W176" s="85">
        <v>9</v>
      </c>
      <c r="X176" s="81">
        <v>202424940</v>
      </c>
      <c r="Y176" s="69" t="s">
        <v>75</v>
      </c>
      <c r="Z176" s="81">
        <v>2705460</v>
      </c>
      <c r="AA176" s="56">
        <v>6541560</v>
      </c>
      <c r="AB176" s="56">
        <v>9610440</v>
      </c>
      <c r="AC176" s="56">
        <v>726840</v>
      </c>
      <c r="AD176" s="56">
        <v>4764840</v>
      </c>
      <c r="AE176" s="54" t="s">
        <v>12</v>
      </c>
      <c r="AF176" s="56">
        <v>3553440</v>
      </c>
      <c r="AG176" s="56">
        <v>2463180</v>
      </c>
      <c r="AH176" s="56">
        <v>9650820</v>
      </c>
      <c r="AI176" s="56">
        <v>23380020</v>
      </c>
      <c r="AJ176" s="56">
        <v>4482180</v>
      </c>
      <c r="AK176" s="56">
        <v>13365780</v>
      </c>
      <c r="AL176" s="56">
        <v>1009500</v>
      </c>
      <c r="AM176" s="56">
        <v>2866980</v>
      </c>
      <c r="AN176" s="56">
        <v>3432300</v>
      </c>
      <c r="AO176" s="56">
        <v>23743440</v>
      </c>
      <c r="AP176" s="56">
        <v>161520</v>
      </c>
      <c r="AQ176" s="56">
        <v>23056980</v>
      </c>
      <c r="AR176" s="56">
        <v>0</v>
      </c>
      <c r="AS176" s="56">
        <v>726840</v>
      </c>
      <c r="AT176" s="56">
        <v>484560</v>
      </c>
      <c r="AU176" s="56">
        <v>605700</v>
      </c>
      <c r="AV176" s="56">
        <v>40501140</v>
      </c>
      <c r="AW176" s="56">
        <v>282660</v>
      </c>
      <c r="AX176" s="56">
        <v>8156760</v>
      </c>
      <c r="AY176" s="56">
        <v>2220900</v>
      </c>
      <c r="AZ176" s="54" t="s">
        <v>12</v>
      </c>
      <c r="BA176" s="56">
        <v>4845600</v>
      </c>
      <c r="BB176" s="56">
        <v>3391920</v>
      </c>
      <c r="BC176" s="56">
        <v>1978620</v>
      </c>
      <c r="BD176" s="56">
        <v>1251780</v>
      </c>
      <c r="BE176" s="56">
        <v>2463180</v>
      </c>
      <c r="BF176" s="89" t="s">
        <v>12</v>
      </c>
    </row>
    <row r="177" spans="1:58" x14ac:dyDescent="0.4">
      <c r="A177" s="63">
        <v>44645</v>
      </c>
      <c r="B177" s="53">
        <v>44645.458930567132</v>
      </c>
      <c r="C177" s="54" t="s">
        <v>91</v>
      </c>
      <c r="D177" s="55" t="s">
        <v>74</v>
      </c>
      <c r="E177" s="69" t="s">
        <v>90</v>
      </c>
      <c r="F177" s="73">
        <v>78.5</v>
      </c>
      <c r="G177" s="57">
        <v>62.41</v>
      </c>
      <c r="H177" s="57">
        <v>86</v>
      </c>
      <c r="I177" s="57">
        <v>77.87</v>
      </c>
      <c r="J177" s="77">
        <v>78.010000000000005</v>
      </c>
      <c r="K177" s="81">
        <v>1944000</v>
      </c>
      <c r="L177" s="56">
        <v>5028000</v>
      </c>
      <c r="M177" s="56">
        <v>71</v>
      </c>
      <c r="N177" s="56">
        <v>20</v>
      </c>
      <c r="O177" s="57">
        <v>3.74</v>
      </c>
      <c r="P177" s="56">
        <v>70817</v>
      </c>
      <c r="Q177" s="56">
        <v>264632</v>
      </c>
      <c r="R177" s="56">
        <v>464564</v>
      </c>
      <c r="S177" s="56">
        <v>176727</v>
      </c>
      <c r="T177" s="56">
        <v>170408</v>
      </c>
      <c r="U177" s="77">
        <v>2.59</v>
      </c>
      <c r="V177" s="81">
        <v>19</v>
      </c>
      <c r="W177" s="85">
        <v>11</v>
      </c>
      <c r="X177" s="81">
        <v>152604000</v>
      </c>
      <c r="Y177" s="69" t="s">
        <v>77</v>
      </c>
      <c r="Z177" s="87" t="s">
        <v>12</v>
      </c>
      <c r="AA177" s="54" t="s">
        <v>12</v>
      </c>
      <c r="AB177" s="54" t="s">
        <v>12</v>
      </c>
      <c r="AC177" s="54" t="s">
        <v>12</v>
      </c>
      <c r="AD177" s="54" t="s">
        <v>12</v>
      </c>
      <c r="AE177" s="56">
        <v>152604000</v>
      </c>
      <c r="AF177" s="54" t="s">
        <v>12</v>
      </c>
      <c r="AG177" s="54" t="s">
        <v>12</v>
      </c>
      <c r="AH177" s="54" t="s">
        <v>12</v>
      </c>
      <c r="AI177" s="54" t="s">
        <v>12</v>
      </c>
      <c r="AJ177" s="54" t="s">
        <v>12</v>
      </c>
      <c r="AK177" s="54" t="s">
        <v>12</v>
      </c>
      <c r="AL177" s="54" t="s">
        <v>12</v>
      </c>
      <c r="AM177" s="54" t="s">
        <v>12</v>
      </c>
      <c r="AN177" s="54" t="s">
        <v>12</v>
      </c>
      <c r="AO177" s="54" t="s">
        <v>12</v>
      </c>
      <c r="AP177" s="54" t="s">
        <v>12</v>
      </c>
      <c r="AQ177" s="54" t="s">
        <v>12</v>
      </c>
      <c r="AR177" s="54" t="s">
        <v>12</v>
      </c>
      <c r="AS177" s="54" t="s">
        <v>12</v>
      </c>
      <c r="AT177" s="54" t="s">
        <v>12</v>
      </c>
      <c r="AU177" s="54" t="s">
        <v>12</v>
      </c>
      <c r="AV177" s="54" t="s">
        <v>12</v>
      </c>
      <c r="AW177" s="54" t="s">
        <v>12</v>
      </c>
      <c r="AX177" s="54" t="s">
        <v>12</v>
      </c>
      <c r="AY177" s="54" t="s">
        <v>12</v>
      </c>
      <c r="AZ177" s="54" t="s">
        <v>12</v>
      </c>
      <c r="BA177" s="54" t="s">
        <v>12</v>
      </c>
      <c r="BB177" s="54" t="s">
        <v>12</v>
      </c>
      <c r="BC177" s="54" t="s">
        <v>12</v>
      </c>
      <c r="BD177" s="54" t="s">
        <v>12</v>
      </c>
      <c r="BE177" s="54" t="s">
        <v>12</v>
      </c>
      <c r="BF177" s="89" t="s">
        <v>12</v>
      </c>
    </row>
    <row r="178" spans="1:58" x14ac:dyDescent="0.4">
      <c r="A178" s="63">
        <v>44644</v>
      </c>
      <c r="B178" s="53">
        <v>44644.458776516207</v>
      </c>
      <c r="C178" s="54" t="s">
        <v>89</v>
      </c>
      <c r="D178" s="55" t="s">
        <v>74</v>
      </c>
      <c r="E178" s="69" t="s">
        <v>90</v>
      </c>
      <c r="F178" s="73">
        <v>76.150000000000006</v>
      </c>
      <c r="G178" s="57">
        <v>65</v>
      </c>
      <c r="H178" s="57">
        <v>80</v>
      </c>
      <c r="I178" s="57">
        <v>75.94</v>
      </c>
      <c r="J178" s="77">
        <v>75.75</v>
      </c>
      <c r="K178" s="81">
        <v>2507500</v>
      </c>
      <c r="L178" s="56">
        <v>4753000</v>
      </c>
      <c r="M178" s="56">
        <v>82</v>
      </c>
      <c r="N178" s="56">
        <v>25</v>
      </c>
      <c r="O178" s="57">
        <v>4.0999999999999996</v>
      </c>
      <c r="P178" s="56">
        <v>57963</v>
      </c>
      <c r="Q178" s="56">
        <v>237650</v>
      </c>
      <c r="R178" s="56">
        <v>313676</v>
      </c>
      <c r="S178" s="56">
        <v>227955</v>
      </c>
      <c r="T178" s="56">
        <v>213942</v>
      </c>
      <c r="U178" s="77">
        <v>1.9</v>
      </c>
      <c r="V178" s="81">
        <v>20</v>
      </c>
      <c r="W178" s="85">
        <v>11</v>
      </c>
      <c r="X178" s="81">
        <v>190946125</v>
      </c>
      <c r="Y178" s="69" t="s">
        <v>75</v>
      </c>
      <c r="Z178" s="81">
        <v>2551025</v>
      </c>
      <c r="AA178" s="56">
        <v>6168150</v>
      </c>
      <c r="AB178" s="56">
        <v>9061850</v>
      </c>
      <c r="AC178" s="56">
        <v>685350</v>
      </c>
      <c r="AD178" s="56">
        <v>4492850</v>
      </c>
      <c r="AE178" s="54" t="s">
        <v>12</v>
      </c>
      <c r="AF178" s="56">
        <v>3350600</v>
      </c>
      <c r="AG178" s="56">
        <v>2322575</v>
      </c>
      <c r="AH178" s="56">
        <v>9099925</v>
      </c>
      <c r="AI178" s="56">
        <v>22045425</v>
      </c>
      <c r="AJ178" s="56">
        <v>4226325</v>
      </c>
      <c r="AK178" s="56">
        <v>12602825</v>
      </c>
      <c r="AL178" s="56">
        <v>951875</v>
      </c>
      <c r="AM178" s="56">
        <v>2703325</v>
      </c>
      <c r="AN178" s="56">
        <v>3236375</v>
      </c>
      <c r="AO178" s="56">
        <v>22388100</v>
      </c>
      <c r="AP178" s="56">
        <v>152300</v>
      </c>
      <c r="AQ178" s="56">
        <v>21740825</v>
      </c>
      <c r="AR178" s="56">
        <v>76150</v>
      </c>
      <c r="AS178" s="56">
        <v>685350</v>
      </c>
      <c r="AT178" s="56">
        <v>456900</v>
      </c>
      <c r="AU178" s="56">
        <v>571125</v>
      </c>
      <c r="AV178" s="56">
        <v>38189225</v>
      </c>
      <c r="AW178" s="56">
        <v>266525</v>
      </c>
      <c r="AX178" s="56">
        <v>7691150</v>
      </c>
      <c r="AY178" s="56">
        <v>2094125</v>
      </c>
      <c r="AZ178" s="54" t="s">
        <v>12</v>
      </c>
      <c r="BA178" s="56">
        <v>4569000</v>
      </c>
      <c r="BB178" s="56">
        <v>3198300</v>
      </c>
      <c r="BC178" s="56">
        <v>1865675</v>
      </c>
      <c r="BD178" s="56">
        <v>1180325</v>
      </c>
      <c r="BE178" s="56">
        <v>2322575</v>
      </c>
      <c r="BF178" s="89" t="s">
        <v>12</v>
      </c>
    </row>
    <row r="179" spans="1:58" x14ac:dyDescent="0.4">
      <c r="A179" s="63">
        <v>44642</v>
      </c>
      <c r="B179" s="53">
        <v>44642.458874467593</v>
      </c>
      <c r="C179" s="54" t="s">
        <v>89</v>
      </c>
      <c r="D179" s="55" t="s">
        <v>74</v>
      </c>
      <c r="E179" s="69" t="s">
        <v>90</v>
      </c>
      <c r="F179" s="73">
        <v>79.05</v>
      </c>
      <c r="G179" s="57">
        <v>64.92</v>
      </c>
      <c r="H179" s="57">
        <v>82</v>
      </c>
      <c r="I179" s="57">
        <v>78.89</v>
      </c>
      <c r="J179" s="77">
        <v>78.989999999999995</v>
      </c>
      <c r="K179" s="81">
        <v>2506500</v>
      </c>
      <c r="L179" s="56">
        <v>4971000</v>
      </c>
      <c r="M179" s="56">
        <v>90</v>
      </c>
      <c r="N179" s="56">
        <v>41</v>
      </c>
      <c r="O179" s="57">
        <v>4.09</v>
      </c>
      <c r="P179" s="56">
        <v>55233</v>
      </c>
      <c r="Q179" s="56">
        <v>225955</v>
      </c>
      <c r="R179" s="56">
        <v>360827</v>
      </c>
      <c r="S179" s="56">
        <v>139250</v>
      </c>
      <c r="T179" s="56">
        <v>203189</v>
      </c>
      <c r="U179" s="77">
        <v>1.98</v>
      </c>
      <c r="V179" s="81">
        <v>22</v>
      </c>
      <c r="W179" s="85">
        <v>18</v>
      </c>
      <c r="X179" s="81">
        <v>198138825</v>
      </c>
      <c r="Y179" s="69" t="s">
        <v>75</v>
      </c>
      <c r="Z179" s="81">
        <v>2648175</v>
      </c>
      <c r="AA179" s="56">
        <v>6403050</v>
      </c>
      <c r="AB179" s="56">
        <v>9406950</v>
      </c>
      <c r="AC179" s="56">
        <v>711450</v>
      </c>
      <c r="AD179" s="56">
        <v>4663950</v>
      </c>
      <c r="AE179" s="54" t="s">
        <v>12</v>
      </c>
      <c r="AF179" s="56">
        <v>3478200</v>
      </c>
      <c r="AG179" s="56">
        <v>2411025</v>
      </c>
      <c r="AH179" s="56">
        <v>9446475</v>
      </c>
      <c r="AI179" s="56">
        <v>22884975</v>
      </c>
      <c r="AJ179" s="56">
        <v>4387275</v>
      </c>
      <c r="AK179" s="56">
        <v>13082775</v>
      </c>
      <c r="AL179" s="56">
        <v>988125</v>
      </c>
      <c r="AM179" s="56">
        <v>2806275</v>
      </c>
      <c r="AN179" s="56">
        <v>3359625</v>
      </c>
      <c r="AO179" s="56">
        <v>23240700</v>
      </c>
      <c r="AP179" s="56">
        <v>158100</v>
      </c>
      <c r="AQ179" s="56">
        <v>22568775</v>
      </c>
      <c r="AR179" s="56">
        <v>0</v>
      </c>
      <c r="AS179" s="56">
        <v>711450</v>
      </c>
      <c r="AT179" s="56">
        <v>474300</v>
      </c>
      <c r="AU179" s="56">
        <v>592875</v>
      </c>
      <c r="AV179" s="56">
        <v>39643575</v>
      </c>
      <c r="AW179" s="56">
        <v>276675</v>
      </c>
      <c r="AX179" s="56">
        <v>7984050</v>
      </c>
      <c r="AY179" s="56">
        <v>2173875</v>
      </c>
      <c r="AZ179" s="54" t="s">
        <v>12</v>
      </c>
      <c r="BA179" s="56">
        <v>4743000</v>
      </c>
      <c r="BB179" s="56">
        <v>3320100</v>
      </c>
      <c r="BC179" s="56">
        <v>1936725</v>
      </c>
      <c r="BD179" s="56">
        <v>1225275</v>
      </c>
      <c r="BE179" s="56">
        <v>2411025</v>
      </c>
      <c r="BF179" s="89" t="s">
        <v>12</v>
      </c>
    </row>
    <row r="180" spans="1:58" x14ac:dyDescent="0.4">
      <c r="A180" s="63">
        <v>44641</v>
      </c>
      <c r="B180" s="53">
        <v>44641.458792094905</v>
      </c>
      <c r="C180" s="54" t="s">
        <v>89</v>
      </c>
      <c r="D180" s="55" t="s">
        <v>74</v>
      </c>
      <c r="E180" s="69" t="s">
        <v>90</v>
      </c>
      <c r="F180" s="73">
        <v>77.760000000000005</v>
      </c>
      <c r="G180" s="57">
        <v>62.03</v>
      </c>
      <c r="H180" s="57">
        <v>81.5</v>
      </c>
      <c r="I180" s="57">
        <v>77.180000000000007</v>
      </c>
      <c r="J180" s="77">
        <v>77.319999999999993</v>
      </c>
      <c r="K180" s="81">
        <v>2506500</v>
      </c>
      <c r="L180" s="56">
        <v>5761500</v>
      </c>
      <c r="M180" s="56">
        <v>81</v>
      </c>
      <c r="N180" s="56">
        <v>27</v>
      </c>
      <c r="O180" s="57">
        <v>4.26</v>
      </c>
      <c r="P180" s="56">
        <v>71130</v>
      </c>
      <c r="Q180" s="56">
        <v>303237</v>
      </c>
      <c r="R180" s="56">
        <v>502224</v>
      </c>
      <c r="S180" s="56">
        <v>167100</v>
      </c>
      <c r="T180" s="56">
        <v>263886</v>
      </c>
      <c r="U180" s="77">
        <v>2.2999999999999998</v>
      </c>
      <c r="V180" s="81">
        <v>19</v>
      </c>
      <c r="W180" s="85">
        <v>15</v>
      </c>
      <c r="X180" s="81">
        <v>194905440</v>
      </c>
      <c r="Y180" s="69" t="s">
        <v>75</v>
      </c>
      <c r="Z180" s="81">
        <v>2604960</v>
      </c>
      <c r="AA180" s="56">
        <v>6298560</v>
      </c>
      <c r="AB180" s="56">
        <v>9253440</v>
      </c>
      <c r="AC180" s="56">
        <v>699840</v>
      </c>
      <c r="AD180" s="56">
        <v>4587840</v>
      </c>
      <c r="AE180" s="54" t="s">
        <v>12</v>
      </c>
      <c r="AF180" s="56">
        <v>3421440</v>
      </c>
      <c r="AG180" s="56">
        <v>2371680</v>
      </c>
      <c r="AH180" s="56">
        <v>9292320</v>
      </c>
      <c r="AI180" s="56">
        <v>22511520</v>
      </c>
      <c r="AJ180" s="56">
        <v>4315680</v>
      </c>
      <c r="AK180" s="56">
        <v>12869280</v>
      </c>
      <c r="AL180" s="56">
        <v>972000</v>
      </c>
      <c r="AM180" s="56">
        <v>2760480</v>
      </c>
      <c r="AN180" s="56">
        <v>3304800</v>
      </c>
      <c r="AO180" s="56">
        <v>22861440</v>
      </c>
      <c r="AP180" s="56">
        <v>155520</v>
      </c>
      <c r="AQ180" s="56">
        <v>22200480</v>
      </c>
      <c r="AR180" s="56">
        <v>0</v>
      </c>
      <c r="AS180" s="56">
        <v>699840</v>
      </c>
      <c r="AT180" s="56">
        <v>466560</v>
      </c>
      <c r="AU180" s="56">
        <v>583200</v>
      </c>
      <c r="AV180" s="56">
        <v>38996640</v>
      </c>
      <c r="AW180" s="56">
        <v>272160</v>
      </c>
      <c r="AX180" s="56">
        <v>7853760</v>
      </c>
      <c r="AY180" s="56">
        <v>2138400</v>
      </c>
      <c r="AZ180" s="54" t="s">
        <v>12</v>
      </c>
      <c r="BA180" s="56">
        <v>4665600</v>
      </c>
      <c r="BB180" s="56">
        <v>3265920</v>
      </c>
      <c r="BC180" s="56">
        <v>1905120</v>
      </c>
      <c r="BD180" s="56">
        <v>1205280</v>
      </c>
      <c r="BE180" s="56">
        <v>2371680</v>
      </c>
      <c r="BF180" s="89" t="s">
        <v>12</v>
      </c>
    </row>
    <row r="181" spans="1:58" x14ac:dyDescent="0.4">
      <c r="A181" s="63">
        <v>44638</v>
      </c>
      <c r="B181" s="53">
        <v>44638.458892754628</v>
      </c>
      <c r="C181" s="54" t="s">
        <v>91</v>
      </c>
      <c r="D181" s="55" t="s">
        <v>74</v>
      </c>
      <c r="E181" s="69" t="s">
        <v>90</v>
      </c>
      <c r="F181" s="73">
        <v>79.209999999999994</v>
      </c>
      <c r="G181" s="57">
        <v>66.78</v>
      </c>
      <c r="H181" s="57">
        <v>86</v>
      </c>
      <c r="I181" s="57">
        <v>79.540000000000006</v>
      </c>
      <c r="J181" s="77">
        <v>79.28</v>
      </c>
      <c r="K181" s="81">
        <v>1944000</v>
      </c>
      <c r="L181" s="56">
        <v>4063500</v>
      </c>
      <c r="M181" s="56">
        <v>62</v>
      </c>
      <c r="N181" s="56">
        <v>35</v>
      </c>
      <c r="O181" s="57">
        <v>3.44</v>
      </c>
      <c r="P181" s="56">
        <v>65540</v>
      </c>
      <c r="Q181" s="56">
        <v>225750</v>
      </c>
      <c r="R181" s="56">
        <v>336147</v>
      </c>
      <c r="S181" s="56">
        <v>121500</v>
      </c>
      <c r="T181" s="56">
        <v>180582</v>
      </c>
      <c r="U181" s="77">
        <v>2.09</v>
      </c>
      <c r="V181" s="81">
        <v>18</v>
      </c>
      <c r="W181" s="85">
        <v>16</v>
      </c>
      <c r="X181" s="81">
        <v>153984240</v>
      </c>
      <c r="Y181" s="69" t="s">
        <v>77</v>
      </c>
      <c r="Z181" s="87" t="s">
        <v>12</v>
      </c>
      <c r="AA181" s="54" t="s">
        <v>12</v>
      </c>
      <c r="AB181" s="54" t="s">
        <v>12</v>
      </c>
      <c r="AC181" s="54" t="s">
        <v>12</v>
      </c>
      <c r="AD181" s="54" t="s">
        <v>12</v>
      </c>
      <c r="AE181" s="56">
        <v>153984240</v>
      </c>
      <c r="AF181" s="54" t="s">
        <v>12</v>
      </c>
      <c r="AG181" s="54" t="s">
        <v>12</v>
      </c>
      <c r="AH181" s="54" t="s">
        <v>12</v>
      </c>
      <c r="AI181" s="54" t="s">
        <v>12</v>
      </c>
      <c r="AJ181" s="54" t="s">
        <v>12</v>
      </c>
      <c r="AK181" s="54" t="s">
        <v>12</v>
      </c>
      <c r="AL181" s="54" t="s">
        <v>12</v>
      </c>
      <c r="AM181" s="54" t="s">
        <v>12</v>
      </c>
      <c r="AN181" s="54" t="s">
        <v>12</v>
      </c>
      <c r="AO181" s="54" t="s">
        <v>12</v>
      </c>
      <c r="AP181" s="54" t="s">
        <v>12</v>
      </c>
      <c r="AQ181" s="54" t="s">
        <v>12</v>
      </c>
      <c r="AR181" s="54" t="s">
        <v>12</v>
      </c>
      <c r="AS181" s="54" t="s">
        <v>12</v>
      </c>
      <c r="AT181" s="54" t="s">
        <v>12</v>
      </c>
      <c r="AU181" s="54" t="s">
        <v>12</v>
      </c>
      <c r="AV181" s="54" t="s">
        <v>12</v>
      </c>
      <c r="AW181" s="54" t="s">
        <v>12</v>
      </c>
      <c r="AX181" s="54" t="s">
        <v>12</v>
      </c>
      <c r="AY181" s="54" t="s">
        <v>12</v>
      </c>
      <c r="AZ181" s="54" t="s">
        <v>12</v>
      </c>
      <c r="BA181" s="54" t="s">
        <v>12</v>
      </c>
      <c r="BB181" s="54" t="s">
        <v>12</v>
      </c>
      <c r="BC181" s="54" t="s">
        <v>12</v>
      </c>
      <c r="BD181" s="54" t="s">
        <v>12</v>
      </c>
      <c r="BE181" s="54" t="s">
        <v>12</v>
      </c>
      <c r="BF181" s="89" t="s">
        <v>12</v>
      </c>
    </row>
    <row r="182" spans="1:58" x14ac:dyDescent="0.4">
      <c r="A182" s="63">
        <v>44637</v>
      </c>
      <c r="B182" s="53">
        <v>44637.459804965278</v>
      </c>
      <c r="C182" s="54" t="s">
        <v>89</v>
      </c>
      <c r="D182" s="55" t="s">
        <v>74</v>
      </c>
      <c r="E182" s="69" t="s">
        <v>90</v>
      </c>
      <c r="F182" s="73">
        <v>76.87</v>
      </c>
      <c r="G182" s="57">
        <v>45</v>
      </c>
      <c r="H182" s="57">
        <v>80</v>
      </c>
      <c r="I182" s="57">
        <v>75.22</v>
      </c>
      <c r="J182" s="77">
        <v>76.28</v>
      </c>
      <c r="K182" s="81">
        <v>2449000</v>
      </c>
      <c r="L182" s="56">
        <v>6609500</v>
      </c>
      <c r="M182" s="56">
        <v>90</v>
      </c>
      <c r="N182" s="56">
        <v>21</v>
      </c>
      <c r="O182" s="57">
        <v>3.21</v>
      </c>
      <c r="P182" s="56">
        <v>73439</v>
      </c>
      <c r="Q182" s="56">
        <v>236054</v>
      </c>
      <c r="R182" s="56">
        <v>441178</v>
      </c>
      <c r="S182" s="56">
        <v>163267</v>
      </c>
      <c r="T182" s="56">
        <v>278599</v>
      </c>
      <c r="U182" s="77">
        <v>2.7</v>
      </c>
      <c r="V182" s="81">
        <v>28</v>
      </c>
      <c r="W182" s="85">
        <v>15</v>
      </c>
      <c r="X182" s="81">
        <v>188254630</v>
      </c>
      <c r="Y182" s="69" t="s">
        <v>75</v>
      </c>
      <c r="Z182" s="81">
        <v>2575145</v>
      </c>
      <c r="AA182" s="56">
        <v>6226470</v>
      </c>
      <c r="AB182" s="56">
        <v>4727505</v>
      </c>
      <c r="AC182" s="56">
        <v>691830</v>
      </c>
      <c r="AD182" s="56">
        <v>4535330</v>
      </c>
      <c r="AE182" s="54" t="s">
        <v>12</v>
      </c>
      <c r="AF182" s="56">
        <v>3382280</v>
      </c>
      <c r="AG182" s="56">
        <v>2344535</v>
      </c>
      <c r="AH182" s="56">
        <v>9185965</v>
      </c>
      <c r="AI182" s="56">
        <v>22253865</v>
      </c>
      <c r="AJ182" s="56">
        <v>4266285</v>
      </c>
      <c r="AK182" s="56">
        <v>12721985</v>
      </c>
      <c r="AL182" s="56">
        <v>960875</v>
      </c>
      <c r="AM182" s="56">
        <v>2728885</v>
      </c>
      <c r="AN182" s="56">
        <v>3266975</v>
      </c>
      <c r="AO182" s="56">
        <v>22599780</v>
      </c>
      <c r="AP182" s="56">
        <v>153740</v>
      </c>
      <c r="AQ182" s="56">
        <v>21946385</v>
      </c>
      <c r="AR182" s="56">
        <v>0</v>
      </c>
      <c r="AS182" s="56">
        <v>691830</v>
      </c>
      <c r="AT182" s="56">
        <v>461220</v>
      </c>
      <c r="AU182" s="56">
        <v>576525</v>
      </c>
      <c r="AV182" s="56">
        <v>38550305</v>
      </c>
      <c r="AW182" s="56">
        <v>269045</v>
      </c>
      <c r="AX182" s="56">
        <v>7763870</v>
      </c>
      <c r="AY182" s="56">
        <v>2113925</v>
      </c>
      <c r="AZ182" s="54" t="s">
        <v>12</v>
      </c>
      <c r="BA182" s="56">
        <v>4612200</v>
      </c>
      <c r="BB182" s="56">
        <v>3228540</v>
      </c>
      <c r="BC182" s="56">
        <v>1883315</v>
      </c>
      <c r="BD182" s="56">
        <v>1191485</v>
      </c>
      <c r="BE182" s="56">
        <v>2344535</v>
      </c>
      <c r="BF182" s="89" t="s">
        <v>12</v>
      </c>
    </row>
    <row r="183" spans="1:58" x14ac:dyDescent="0.4">
      <c r="A183" s="63">
        <v>44636</v>
      </c>
      <c r="B183" s="53">
        <v>44636.458838865743</v>
      </c>
      <c r="C183" s="54" t="s">
        <v>92</v>
      </c>
      <c r="D183" s="55" t="s">
        <v>74</v>
      </c>
      <c r="E183" s="69" t="s">
        <v>90</v>
      </c>
      <c r="F183" s="73">
        <v>75.25</v>
      </c>
      <c r="G183" s="57">
        <v>45</v>
      </c>
      <c r="H183" s="57">
        <v>81</v>
      </c>
      <c r="I183" s="57">
        <v>75.040000000000006</v>
      </c>
      <c r="J183" s="77">
        <v>75.06</v>
      </c>
      <c r="K183" s="81">
        <v>3322500</v>
      </c>
      <c r="L183" s="56">
        <v>6506000</v>
      </c>
      <c r="M183" s="56">
        <v>91</v>
      </c>
      <c r="N183" s="56">
        <v>41</v>
      </c>
      <c r="O183" s="57">
        <v>4.1399999999999997</v>
      </c>
      <c r="P183" s="56">
        <v>71495</v>
      </c>
      <c r="Q183" s="56">
        <v>295727</v>
      </c>
      <c r="R183" s="56">
        <v>493224</v>
      </c>
      <c r="S183" s="56">
        <v>174868</v>
      </c>
      <c r="T183" s="56">
        <v>301098</v>
      </c>
      <c r="U183" s="77">
        <v>1.96</v>
      </c>
      <c r="V183" s="81">
        <v>22</v>
      </c>
      <c r="W183" s="85">
        <v>19</v>
      </c>
      <c r="X183" s="81">
        <v>250018125</v>
      </c>
      <c r="Y183" s="69" t="s">
        <v>79</v>
      </c>
      <c r="Z183" s="87" t="s">
        <v>12</v>
      </c>
      <c r="AA183" s="54" t="s">
        <v>12</v>
      </c>
      <c r="AB183" s="54" t="s">
        <v>12</v>
      </c>
      <c r="AC183" s="54" t="s">
        <v>12</v>
      </c>
      <c r="AD183" s="54" t="s">
        <v>12</v>
      </c>
      <c r="AE183" s="54" t="s">
        <v>12</v>
      </c>
      <c r="AF183" s="54" t="s">
        <v>12</v>
      </c>
      <c r="AG183" s="54" t="s">
        <v>12</v>
      </c>
      <c r="AH183" s="54" t="s">
        <v>12</v>
      </c>
      <c r="AI183" s="54" t="s">
        <v>12</v>
      </c>
      <c r="AJ183" s="54" t="s">
        <v>12</v>
      </c>
      <c r="AK183" s="54" t="s">
        <v>12</v>
      </c>
      <c r="AL183" s="54" t="s">
        <v>12</v>
      </c>
      <c r="AM183" s="54" t="s">
        <v>12</v>
      </c>
      <c r="AN183" s="54" t="s">
        <v>12</v>
      </c>
      <c r="AO183" s="54" t="s">
        <v>12</v>
      </c>
      <c r="AP183" s="54" t="s">
        <v>12</v>
      </c>
      <c r="AQ183" s="54" t="s">
        <v>12</v>
      </c>
      <c r="AR183" s="54" t="s">
        <v>12</v>
      </c>
      <c r="AS183" s="54" t="s">
        <v>12</v>
      </c>
      <c r="AT183" s="54" t="s">
        <v>12</v>
      </c>
      <c r="AU183" s="54" t="s">
        <v>12</v>
      </c>
      <c r="AV183" s="54" t="s">
        <v>12</v>
      </c>
      <c r="AW183" s="54" t="s">
        <v>12</v>
      </c>
      <c r="AX183" s="54" t="s">
        <v>12</v>
      </c>
      <c r="AY183" s="54" t="s">
        <v>12</v>
      </c>
      <c r="AZ183" s="56">
        <v>250018125</v>
      </c>
      <c r="BA183" s="54" t="s">
        <v>12</v>
      </c>
      <c r="BB183" s="54" t="s">
        <v>12</v>
      </c>
      <c r="BC183" s="54" t="s">
        <v>12</v>
      </c>
      <c r="BD183" s="54" t="s">
        <v>12</v>
      </c>
      <c r="BE183" s="54" t="s">
        <v>12</v>
      </c>
      <c r="BF183" s="89" t="s">
        <v>12</v>
      </c>
    </row>
    <row r="184" spans="1:58" x14ac:dyDescent="0.4">
      <c r="A184" s="63">
        <v>44635</v>
      </c>
      <c r="B184" s="53">
        <v>44635.459233993053</v>
      </c>
      <c r="C184" s="54" t="s">
        <v>89</v>
      </c>
      <c r="D184" s="55" t="s">
        <v>74</v>
      </c>
      <c r="E184" s="69" t="s">
        <v>90</v>
      </c>
      <c r="F184" s="73">
        <v>75.55</v>
      </c>
      <c r="G184" s="57">
        <v>45</v>
      </c>
      <c r="H184" s="57">
        <v>88</v>
      </c>
      <c r="I184" s="57">
        <v>75.47</v>
      </c>
      <c r="J184" s="77">
        <v>75.900000000000006</v>
      </c>
      <c r="K184" s="81">
        <v>2449000</v>
      </c>
      <c r="L184" s="56">
        <v>4723000</v>
      </c>
      <c r="M184" s="56">
        <v>61</v>
      </c>
      <c r="N184" s="56">
        <v>41</v>
      </c>
      <c r="O184" s="57">
        <v>3.05</v>
      </c>
      <c r="P184" s="56">
        <v>77426</v>
      </c>
      <c r="Q184" s="56">
        <v>236150</v>
      </c>
      <c r="R184" s="56">
        <v>474606</v>
      </c>
      <c r="S184" s="56">
        <v>136056</v>
      </c>
      <c r="T184" s="56">
        <v>221977</v>
      </c>
      <c r="U184" s="77">
        <v>1.93</v>
      </c>
      <c r="V184" s="81">
        <v>20</v>
      </c>
      <c r="W184" s="85">
        <v>18</v>
      </c>
      <c r="X184" s="81">
        <v>185021950</v>
      </c>
      <c r="Y184" s="69" t="s">
        <v>75</v>
      </c>
      <c r="Z184" s="81">
        <v>2530925</v>
      </c>
      <c r="AA184" s="56">
        <v>6119550</v>
      </c>
      <c r="AB184" s="56">
        <v>4646325</v>
      </c>
      <c r="AC184" s="56">
        <v>679950</v>
      </c>
      <c r="AD184" s="56">
        <v>4457450</v>
      </c>
      <c r="AE184" s="54" t="s">
        <v>12</v>
      </c>
      <c r="AF184" s="56">
        <v>3324200</v>
      </c>
      <c r="AG184" s="56">
        <v>2304275</v>
      </c>
      <c r="AH184" s="56">
        <v>9028225</v>
      </c>
      <c r="AI184" s="56">
        <v>21871725</v>
      </c>
      <c r="AJ184" s="56">
        <v>4193025</v>
      </c>
      <c r="AK184" s="56">
        <v>12503525</v>
      </c>
      <c r="AL184" s="56">
        <v>944375</v>
      </c>
      <c r="AM184" s="56">
        <v>2682025</v>
      </c>
      <c r="AN184" s="56">
        <v>3210875</v>
      </c>
      <c r="AO184" s="56">
        <v>22211700</v>
      </c>
      <c r="AP184" s="56">
        <v>151100</v>
      </c>
      <c r="AQ184" s="56">
        <v>21569525</v>
      </c>
      <c r="AR184" s="56">
        <v>0</v>
      </c>
      <c r="AS184" s="56">
        <v>679950</v>
      </c>
      <c r="AT184" s="56">
        <v>453300</v>
      </c>
      <c r="AU184" s="56">
        <v>566625</v>
      </c>
      <c r="AV184" s="56">
        <v>37888325</v>
      </c>
      <c r="AW184" s="56">
        <v>264425</v>
      </c>
      <c r="AX184" s="56">
        <v>7630550</v>
      </c>
      <c r="AY184" s="56">
        <v>2077625</v>
      </c>
      <c r="AZ184" s="54" t="s">
        <v>12</v>
      </c>
      <c r="BA184" s="56">
        <v>4533000</v>
      </c>
      <c r="BB184" s="56">
        <v>3173100</v>
      </c>
      <c r="BC184" s="56">
        <v>1850975</v>
      </c>
      <c r="BD184" s="56">
        <v>1171025</v>
      </c>
      <c r="BE184" s="56">
        <v>2304275</v>
      </c>
      <c r="BF184" s="89" t="s">
        <v>12</v>
      </c>
    </row>
    <row r="185" spans="1:58" x14ac:dyDescent="0.4">
      <c r="A185" s="63">
        <v>44634</v>
      </c>
      <c r="B185" s="53">
        <v>44634.458760925925</v>
      </c>
      <c r="C185" s="54" t="s">
        <v>89</v>
      </c>
      <c r="D185" s="55" t="s">
        <v>74</v>
      </c>
      <c r="E185" s="69" t="s">
        <v>90</v>
      </c>
      <c r="F185" s="73">
        <v>78.599999999999994</v>
      </c>
      <c r="G185" s="57">
        <v>45</v>
      </c>
      <c r="H185" s="57">
        <v>90</v>
      </c>
      <c r="I185" s="57">
        <v>77.180000000000007</v>
      </c>
      <c r="J185" s="77">
        <v>77.95</v>
      </c>
      <c r="K185" s="81">
        <v>2449000</v>
      </c>
      <c r="L185" s="56">
        <v>5636000</v>
      </c>
      <c r="M185" s="56">
        <v>75</v>
      </c>
      <c r="N185" s="56">
        <v>22</v>
      </c>
      <c r="O185" s="57">
        <v>3.75</v>
      </c>
      <c r="P185" s="56">
        <v>75147</v>
      </c>
      <c r="Q185" s="56">
        <v>281800</v>
      </c>
      <c r="R185" s="56">
        <v>556162</v>
      </c>
      <c r="S185" s="56">
        <v>188385</v>
      </c>
      <c r="T185" s="56">
        <v>413891</v>
      </c>
      <c r="U185" s="77">
        <v>2.2999999999999998</v>
      </c>
      <c r="V185" s="81">
        <v>20</v>
      </c>
      <c r="W185" s="85">
        <v>13</v>
      </c>
      <c r="X185" s="81">
        <v>192491400</v>
      </c>
      <c r="Y185" s="69" t="s">
        <v>75</v>
      </c>
      <c r="Z185" s="81">
        <v>2633100</v>
      </c>
      <c r="AA185" s="56">
        <v>6366600</v>
      </c>
      <c r="AB185" s="56">
        <v>4833900</v>
      </c>
      <c r="AC185" s="56">
        <v>707400</v>
      </c>
      <c r="AD185" s="56">
        <v>4637400</v>
      </c>
      <c r="AE185" s="54" t="s">
        <v>12</v>
      </c>
      <c r="AF185" s="56">
        <v>3458400</v>
      </c>
      <c r="AG185" s="56">
        <v>2397300</v>
      </c>
      <c r="AH185" s="56">
        <v>9392700</v>
      </c>
      <c r="AI185" s="56">
        <v>22754700</v>
      </c>
      <c r="AJ185" s="56">
        <v>4362300</v>
      </c>
      <c r="AK185" s="56">
        <v>13008300</v>
      </c>
      <c r="AL185" s="56">
        <v>982500</v>
      </c>
      <c r="AM185" s="56">
        <v>2790300</v>
      </c>
      <c r="AN185" s="56">
        <v>3340500</v>
      </c>
      <c r="AO185" s="56">
        <v>23108400</v>
      </c>
      <c r="AP185" s="56">
        <v>157200</v>
      </c>
      <c r="AQ185" s="56">
        <v>22440300</v>
      </c>
      <c r="AR185" s="56">
        <v>0</v>
      </c>
      <c r="AS185" s="56">
        <v>707400</v>
      </c>
      <c r="AT185" s="56">
        <v>471600</v>
      </c>
      <c r="AU185" s="56">
        <v>589500</v>
      </c>
      <c r="AV185" s="56">
        <v>39417900</v>
      </c>
      <c r="AW185" s="56">
        <v>275100</v>
      </c>
      <c r="AX185" s="56">
        <v>7938600</v>
      </c>
      <c r="AY185" s="56">
        <v>2161500</v>
      </c>
      <c r="AZ185" s="54" t="s">
        <v>12</v>
      </c>
      <c r="BA185" s="56">
        <v>4716000</v>
      </c>
      <c r="BB185" s="56">
        <v>3301200</v>
      </c>
      <c r="BC185" s="56">
        <v>1925700</v>
      </c>
      <c r="BD185" s="56">
        <v>1218300</v>
      </c>
      <c r="BE185" s="56">
        <v>2397300</v>
      </c>
      <c r="BF185" s="89" t="s">
        <v>12</v>
      </c>
    </row>
    <row r="186" spans="1:58" x14ac:dyDescent="0.4">
      <c r="A186" s="63">
        <v>44631</v>
      </c>
      <c r="B186" s="53">
        <v>44631.459861909723</v>
      </c>
      <c r="C186" s="54" t="s">
        <v>91</v>
      </c>
      <c r="D186" s="55" t="s">
        <v>74</v>
      </c>
      <c r="E186" s="69" t="s">
        <v>90</v>
      </c>
      <c r="F186" s="73">
        <v>76.5</v>
      </c>
      <c r="G186" s="57">
        <v>45</v>
      </c>
      <c r="H186" s="57">
        <v>85</v>
      </c>
      <c r="I186" s="57">
        <v>75.23</v>
      </c>
      <c r="J186" s="77">
        <v>75.55</v>
      </c>
      <c r="K186" s="81">
        <v>1944000</v>
      </c>
      <c r="L186" s="56">
        <v>6001500</v>
      </c>
      <c r="M186" s="56">
        <v>82</v>
      </c>
      <c r="N186" s="56">
        <v>14</v>
      </c>
      <c r="O186" s="57">
        <v>3.57</v>
      </c>
      <c r="P186" s="56">
        <v>73189</v>
      </c>
      <c r="Q186" s="56">
        <v>260935</v>
      </c>
      <c r="R186" s="56">
        <v>437092</v>
      </c>
      <c r="S186" s="56">
        <v>216000</v>
      </c>
      <c r="T186" s="56">
        <v>262401</v>
      </c>
      <c r="U186" s="77">
        <v>3.09</v>
      </c>
      <c r="V186" s="81">
        <v>23</v>
      </c>
      <c r="W186" s="85">
        <v>9</v>
      </c>
      <c r="X186" s="81">
        <v>148716000</v>
      </c>
      <c r="Y186" s="69" t="s">
        <v>77</v>
      </c>
      <c r="Z186" s="87" t="s">
        <v>12</v>
      </c>
      <c r="AA186" s="54" t="s">
        <v>12</v>
      </c>
      <c r="AB186" s="54" t="s">
        <v>12</v>
      </c>
      <c r="AC186" s="54" t="s">
        <v>12</v>
      </c>
      <c r="AD186" s="54" t="s">
        <v>12</v>
      </c>
      <c r="AE186" s="56">
        <v>148716000</v>
      </c>
      <c r="AF186" s="54" t="s">
        <v>12</v>
      </c>
      <c r="AG186" s="54" t="s">
        <v>12</v>
      </c>
      <c r="AH186" s="54" t="s">
        <v>12</v>
      </c>
      <c r="AI186" s="54" t="s">
        <v>12</v>
      </c>
      <c r="AJ186" s="54" t="s">
        <v>12</v>
      </c>
      <c r="AK186" s="54" t="s">
        <v>12</v>
      </c>
      <c r="AL186" s="54" t="s">
        <v>12</v>
      </c>
      <c r="AM186" s="54" t="s">
        <v>12</v>
      </c>
      <c r="AN186" s="54" t="s">
        <v>12</v>
      </c>
      <c r="AO186" s="54" t="s">
        <v>12</v>
      </c>
      <c r="AP186" s="54" t="s">
        <v>12</v>
      </c>
      <c r="AQ186" s="54" t="s">
        <v>12</v>
      </c>
      <c r="AR186" s="54" t="s">
        <v>12</v>
      </c>
      <c r="AS186" s="54" t="s">
        <v>12</v>
      </c>
      <c r="AT186" s="54" t="s">
        <v>12</v>
      </c>
      <c r="AU186" s="54" t="s">
        <v>12</v>
      </c>
      <c r="AV186" s="54" t="s">
        <v>12</v>
      </c>
      <c r="AW186" s="54" t="s">
        <v>12</v>
      </c>
      <c r="AX186" s="54" t="s">
        <v>12</v>
      </c>
      <c r="AY186" s="54" t="s">
        <v>12</v>
      </c>
      <c r="AZ186" s="54" t="s">
        <v>12</v>
      </c>
      <c r="BA186" s="54" t="s">
        <v>12</v>
      </c>
      <c r="BB186" s="54" t="s">
        <v>12</v>
      </c>
      <c r="BC186" s="54" t="s">
        <v>12</v>
      </c>
      <c r="BD186" s="54" t="s">
        <v>12</v>
      </c>
      <c r="BE186" s="54" t="s">
        <v>12</v>
      </c>
      <c r="BF186" s="89" t="s">
        <v>12</v>
      </c>
    </row>
    <row r="187" spans="1:58" x14ac:dyDescent="0.4">
      <c r="A187" s="63">
        <v>44630</v>
      </c>
      <c r="B187" s="53">
        <v>44630.459485046296</v>
      </c>
      <c r="C187" s="54" t="s">
        <v>89</v>
      </c>
      <c r="D187" s="55" t="s">
        <v>74</v>
      </c>
      <c r="E187" s="69" t="s">
        <v>90</v>
      </c>
      <c r="F187" s="73">
        <v>70.040000000000006</v>
      </c>
      <c r="G187" s="57">
        <v>45</v>
      </c>
      <c r="H187" s="57">
        <v>100</v>
      </c>
      <c r="I187" s="57">
        <v>69.75</v>
      </c>
      <c r="J187" s="77">
        <v>69.45</v>
      </c>
      <c r="K187" s="81">
        <v>2449000</v>
      </c>
      <c r="L187" s="56">
        <v>6437500</v>
      </c>
      <c r="M187" s="56">
        <v>91</v>
      </c>
      <c r="N187" s="56">
        <v>22</v>
      </c>
      <c r="O187" s="57">
        <v>3.37</v>
      </c>
      <c r="P187" s="56">
        <v>70742</v>
      </c>
      <c r="Q187" s="56">
        <v>238426</v>
      </c>
      <c r="R187" s="56">
        <v>426595</v>
      </c>
      <c r="S187" s="56">
        <v>188385</v>
      </c>
      <c r="T187" s="56">
        <v>257566</v>
      </c>
      <c r="U187" s="77">
        <v>2.63</v>
      </c>
      <c r="V187" s="81">
        <v>27</v>
      </c>
      <c r="W187" s="85">
        <v>13</v>
      </c>
      <c r="X187" s="81">
        <v>171527960</v>
      </c>
      <c r="Y187" s="69" t="s">
        <v>75</v>
      </c>
      <c r="Z187" s="81">
        <v>2346340</v>
      </c>
      <c r="AA187" s="56">
        <v>5673240</v>
      </c>
      <c r="AB187" s="56">
        <v>4307460</v>
      </c>
      <c r="AC187" s="56">
        <v>630360</v>
      </c>
      <c r="AD187" s="56">
        <v>4132360</v>
      </c>
      <c r="AE187" s="54" t="s">
        <v>12</v>
      </c>
      <c r="AF187" s="56">
        <v>3081760</v>
      </c>
      <c r="AG187" s="56">
        <v>2136220</v>
      </c>
      <c r="AH187" s="56">
        <v>8369780</v>
      </c>
      <c r="AI187" s="56">
        <v>20276580</v>
      </c>
      <c r="AJ187" s="56">
        <v>3887220</v>
      </c>
      <c r="AK187" s="56">
        <v>11591620</v>
      </c>
      <c r="AL187" s="56">
        <v>875500</v>
      </c>
      <c r="AM187" s="56">
        <v>2486420</v>
      </c>
      <c r="AN187" s="56">
        <v>2976700</v>
      </c>
      <c r="AO187" s="56">
        <v>20591760</v>
      </c>
      <c r="AP187" s="56">
        <v>140080</v>
      </c>
      <c r="AQ187" s="56">
        <v>19996420</v>
      </c>
      <c r="AR187" s="56">
        <v>0</v>
      </c>
      <c r="AS187" s="56">
        <v>630360</v>
      </c>
      <c r="AT187" s="56">
        <v>420240</v>
      </c>
      <c r="AU187" s="56">
        <v>525300</v>
      </c>
      <c r="AV187" s="56">
        <v>35125060</v>
      </c>
      <c r="AW187" s="56">
        <v>245140</v>
      </c>
      <c r="AX187" s="56">
        <v>7074040</v>
      </c>
      <c r="AY187" s="56">
        <v>1926100</v>
      </c>
      <c r="AZ187" s="54" t="s">
        <v>12</v>
      </c>
      <c r="BA187" s="56">
        <v>4202400</v>
      </c>
      <c r="BB187" s="56">
        <v>2941680</v>
      </c>
      <c r="BC187" s="56">
        <v>1715980</v>
      </c>
      <c r="BD187" s="56">
        <v>1085620</v>
      </c>
      <c r="BE187" s="56">
        <v>2136220</v>
      </c>
      <c r="BF187" s="89" t="s">
        <v>12</v>
      </c>
    </row>
    <row r="188" spans="1:58" x14ac:dyDescent="0.4">
      <c r="A188" s="63">
        <v>44628</v>
      </c>
      <c r="B188" s="53">
        <v>44628.458872152776</v>
      </c>
      <c r="C188" s="54" t="s">
        <v>89</v>
      </c>
      <c r="D188" s="55" t="s">
        <v>74</v>
      </c>
      <c r="E188" s="69" t="s">
        <v>90</v>
      </c>
      <c r="F188" s="73">
        <v>62.01</v>
      </c>
      <c r="G188" s="57">
        <v>45</v>
      </c>
      <c r="H188" s="57">
        <v>70</v>
      </c>
      <c r="I188" s="57">
        <v>61.75</v>
      </c>
      <c r="J188" s="77">
        <v>62.01</v>
      </c>
      <c r="K188" s="81">
        <v>2449000</v>
      </c>
      <c r="L188" s="56">
        <v>5470000</v>
      </c>
      <c r="M188" s="56">
        <v>87</v>
      </c>
      <c r="N188" s="56">
        <v>44</v>
      </c>
      <c r="O188" s="57">
        <v>3.95</v>
      </c>
      <c r="P188" s="56">
        <v>62874</v>
      </c>
      <c r="Q188" s="56">
        <v>248636</v>
      </c>
      <c r="R188" s="56">
        <v>481862</v>
      </c>
      <c r="S188" s="56">
        <v>122450</v>
      </c>
      <c r="T188" s="56">
        <v>264098</v>
      </c>
      <c r="U188" s="77">
        <v>2.23</v>
      </c>
      <c r="V188" s="81">
        <v>22</v>
      </c>
      <c r="W188" s="85">
        <v>20</v>
      </c>
      <c r="X188" s="81">
        <v>151862490</v>
      </c>
      <c r="Y188" s="69" t="s">
        <v>75</v>
      </c>
      <c r="Z188" s="81">
        <v>2077335</v>
      </c>
      <c r="AA188" s="56">
        <v>5022810</v>
      </c>
      <c r="AB188" s="56">
        <v>3813615</v>
      </c>
      <c r="AC188" s="56">
        <v>558090</v>
      </c>
      <c r="AD188" s="56">
        <v>3658590</v>
      </c>
      <c r="AE188" s="54" t="s">
        <v>12</v>
      </c>
      <c r="AF188" s="56">
        <v>2728440</v>
      </c>
      <c r="AG188" s="56">
        <v>1891305</v>
      </c>
      <c r="AH188" s="56">
        <v>7410195</v>
      </c>
      <c r="AI188" s="56">
        <v>17951895</v>
      </c>
      <c r="AJ188" s="56">
        <v>3441555</v>
      </c>
      <c r="AK188" s="56">
        <v>10262655</v>
      </c>
      <c r="AL188" s="56">
        <v>775125</v>
      </c>
      <c r="AM188" s="56">
        <v>2201355</v>
      </c>
      <c r="AN188" s="56">
        <v>2635425</v>
      </c>
      <c r="AO188" s="56">
        <v>18230940</v>
      </c>
      <c r="AP188" s="56">
        <v>124020</v>
      </c>
      <c r="AQ188" s="56">
        <v>17703855</v>
      </c>
      <c r="AR188" s="56">
        <v>0</v>
      </c>
      <c r="AS188" s="56">
        <v>558090</v>
      </c>
      <c r="AT188" s="56">
        <v>372060</v>
      </c>
      <c r="AU188" s="56">
        <v>465075</v>
      </c>
      <c r="AV188" s="56">
        <v>31098015</v>
      </c>
      <c r="AW188" s="56">
        <v>217035</v>
      </c>
      <c r="AX188" s="56">
        <v>6263010</v>
      </c>
      <c r="AY188" s="56">
        <v>1705275</v>
      </c>
      <c r="AZ188" s="54" t="s">
        <v>12</v>
      </c>
      <c r="BA188" s="56">
        <v>3720600</v>
      </c>
      <c r="BB188" s="56">
        <v>2604420</v>
      </c>
      <c r="BC188" s="56">
        <v>1519245</v>
      </c>
      <c r="BD188" s="56">
        <v>961155</v>
      </c>
      <c r="BE188" s="56">
        <v>1891305</v>
      </c>
      <c r="BF188" s="89" t="s">
        <v>12</v>
      </c>
    </row>
    <row r="189" spans="1:58" x14ac:dyDescent="0.4">
      <c r="A189" s="63">
        <v>44627</v>
      </c>
      <c r="B189" s="53">
        <v>44627.45869255787</v>
      </c>
      <c r="C189" s="54" t="s">
        <v>89</v>
      </c>
      <c r="D189" s="55" t="s">
        <v>74</v>
      </c>
      <c r="E189" s="69" t="s">
        <v>90</v>
      </c>
      <c r="F189" s="73">
        <v>57.91</v>
      </c>
      <c r="G189" s="57">
        <v>25</v>
      </c>
      <c r="H189" s="57">
        <v>100</v>
      </c>
      <c r="I189" s="57">
        <v>58.09</v>
      </c>
      <c r="J189" s="77">
        <v>57.54</v>
      </c>
      <c r="K189" s="81">
        <v>2449000</v>
      </c>
      <c r="L189" s="56">
        <v>5852500</v>
      </c>
      <c r="M189" s="56">
        <v>84</v>
      </c>
      <c r="N189" s="56">
        <v>32</v>
      </c>
      <c r="O189" s="57">
        <v>4</v>
      </c>
      <c r="P189" s="56">
        <v>69673</v>
      </c>
      <c r="Q189" s="56">
        <v>278690</v>
      </c>
      <c r="R189" s="56">
        <v>589869</v>
      </c>
      <c r="S189" s="56">
        <v>136056</v>
      </c>
      <c r="T189" s="56">
        <v>284037</v>
      </c>
      <c r="U189" s="77">
        <v>2.39</v>
      </c>
      <c r="V189" s="81">
        <v>21</v>
      </c>
      <c r="W189" s="85">
        <v>18</v>
      </c>
      <c r="X189" s="81">
        <v>141821590</v>
      </c>
      <c r="Y189" s="69" t="s">
        <v>75</v>
      </c>
      <c r="Z189" s="81">
        <v>1939985</v>
      </c>
      <c r="AA189" s="56">
        <v>4690710</v>
      </c>
      <c r="AB189" s="56">
        <v>3561465</v>
      </c>
      <c r="AC189" s="56">
        <v>521190</v>
      </c>
      <c r="AD189" s="56">
        <v>3416690</v>
      </c>
      <c r="AE189" s="54" t="s">
        <v>12</v>
      </c>
      <c r="AF189" s="56">
        <v>2548040</v>
      </c>
      <c r="AG189" s="56">
        <v>1766255</v>
      </c>
      <c r="AH189" s="56">
        <v>6920245</v>
      </c>
      <c r="AI189" s="56">
        <v>16764945</v>
      </c>
      <c r="AJ189" s="56">
        <v>3214005</v>
      </c>
      <c r="AK189" s="56">
        <v>9584105</v>
      </c>
      <c r="AL189" s="56">
        <v>723875</v>
      </c>
      <c r="AM189" s="56">
        <v>2055805</v>
      </c>
      <c r="AN189" s="56">
        <v>2461175</v>
      </c>
      <c r="AO189" s="56">
        <v>17025540</v>
      </c>
      <c r="AP189" s="56">
        <v>115820</v>
      </c>
      <c r="AQ189" s="56">
        <v>16533305</v>
      </c>
      <c r="AR189" s="56">
        <v>0</v>
      </c>
      <c r="AS189" s="56">
        <v>521190</v>
      </c>
      <c r="AT189" s="56">
        <v>347460</v>
      </c>
      <c r="AU189" s="56">
        <v>434325</v>
      </c>
      <c r="AV189" s="56">
        <v>29041865</v>
      </c>
      <c r="AW189" s="56">
        <v>202685</v>
      </c>
      <c r="AX189" s="56">
        <v>5848910</v>
      </c>
      <c r="AY189" s="56">
        <v>1592525</v>
      </c>
      <c r="AZ189" s="54" t="s">
        <v>12</v>
      </c>
      <c r="BA189" s="56">
        <v>3474600</v>
      </c>
      <c r="BB189" s="56">
        <v>2432220</v>
      </c>
      <c r="BC189" s="56">
        <v>1418795</v>
      </c>
      <c r="BD189" s="56">
        <v>897605</v>
      </c>
      <c r="BE189" s="56">
        <v>1766255</v>
      </c>
      <c r="BF189" s="89" t="s">
        <v>12</v>
      </c>
    </row>
    <row r="190" spans="1:58" x14ac:dyDescent="0.4">
      <c r="A190" s="63">
        <v>44624</v>
      </c>
      <c r="B190" s="53">
        <v>44624.458730081016</v>
      </c>
      <c r="C190" s="54" t="s">
        <v>91</v>
      </c>
      <c r="D190" s="55" t="s">
        <v>74</v>
      </c>
      <c r="E190" s="69" t="s">
        <v>90</v>
      </c>
      <c r="F190" s="73">
        <v>67.22</v>
      </c>
      <c r="G190" s="57">
        <v>45</v>
      </c>
      <c r="H190" s="57">
        <v>80.05</v>
      </c>
      <c r="I190" s="57">
        <v>66.23</v>
      </c>
      <c r="J190" s="77">
        <v>66.930000000000007</v>
      </c>
      <c r="K190" s="81">
        <v>1944000</v>
      </c>
      <c r="L190" s="56">
        <v>4908500</v>
      </c>
      <c r="M190" s="56">
        <v>79</v>
      </c>
      <c r="N190" s="56">
        <v>27</v>
      </c>
      <c r="O190" s="57">
        <v>3.59</v>
      </c>
      <c r="P190" s="56">
        <v>62133</v>
      </c>
      <c r="Q190" s="56">
        <v>223114</v>
      </c>
      <c r="R190" s="56">
        <v>490364</v>
      </c>
      <c r="S190" s="56">
        <v>138857</v>
      </c>
      <c r="T190" s="56">
        <v>333767</v>
      </c>
      <c r="U190" s="77">
        <v>2.52</v>
      </c>
      <c r="V190" s="81">
        <v>22</v>
      </c>
      <c r="W190" s="85">
        <v>14</v>
      </c>
      <c r="X190" s="81">
        <v>130675680</v>
      </c>
      <c r="Y190" s="69" t="s">
        <v>77</v>
      </c>
      <c r="Z190" s="87" t="s">
        <v>12</v>
      </c>
      <c r="AA190" s="54" t="s">
        <v>12</v>
      </c>
      <c r="AB190" s="54" t="s">
        <v>12</v>
      </c>
      <c r="AC190" s="54" t="s">
        <v>12</v>
      </c>
      <c r="AD190" s="54" t="s">
        <v>12</v>
      </c>
      <c r="AE190" s="56">
        <v>130675680</v>
      </c>
      <c r="AF190" s="54" t="s">
        <v>12</v>
      </c>
      <c r="AG190" s="54" t="s">
        <v>12</v>
      </c>
      <c r="AH190" s="54" t="s">
        <v>12</v>
      </c>
      <c r="AI190" s="54" t="s">
        <v>12</v>
      </c>
      <c r="AJ190" s="54" t="s">
        <v>12</v>
      </c>
      <c r="AK190" s="54" t="s">
        <v>12</v>
      </c>
      <c r="AL190" s="54" t="s">
        <v>12</v>
      </c>
      <c r="AM190" s="54" t="s">
        <v>12</v>
      </c>
      <c r="AN190" s="54" t="s">
        <v>12</v>
      </c>
      <c r="AO190" s="54" t="s">
        <v>12</v>
      </c>
      <c r="AP190" s="54" t="s">
        <v>12</v>
      </c>
      <c r="AQ190" s="54" t="s">
        <v>12</v>
      </c>
      <c r="AR190" s="54" t="s">
        <v>12</v>
      </c>
      <c r="AS190" s="54" t="s">
        <v>12</v>
      </c>
      <c r="AT190" s="54" t="s">
        <v>12</v>
      </c>
      <c r="AU190" s="54" t="s">
        <v>12</v>
      </c>
      <c r="AV190" s="54" t="s">
        <v>12</v>
      </c>
      <c r="AW190" s="54" t="s">
        <v>12</v>
      </c>
      <c r="AX190" s="54" t="s">
        <v>12</v>
      </c>
      <c r="AY190" s="54" t="s">
        <v>12</v>
      </c>
      <c r="AZ190" s="54" t="s">
        <v>12</v>
      </c>
      <c r="BA190" s="54" t="s">
        <v>12</v>
      </c>
      <c r="BB190" s="54" t="s">
        <v>12</v>
      </c>
      <c r="BC190" s="54" t="s">
        <v>12</v>
      </c>
      <c r="BD190" s="54" t="s">
        <v>12</v>
      </c>
      <c r="BE190" s="54" t="s">
        <v>12</v>
      </c>
      <c r="BF190" s="89" t="s">
        <v>12</v>
      </c>
    </row>
    <row r="191" spans="1:58" x14ac:dyDescent="0.4">
      <c r="A191" s="63">
        <v>44623</v>
      </c>
      <c r="B191" s="53">
        <v>44623.458822881941</v>
      </c>
      <c r="C191" s="54" t="s">
        <v>89</v>
      </c>
      <c r="D191" s="55" t="s">
        <v>74</v>
      </c>
      <c r="E191" s="69" t="s">
        <v>90</v>
      </c>
      <c r="F191" s="73">
        <v>63.87</v>
      </c>
      <c r="G191" s="57">
        <v>45</v>
      </c>
      <c r="H191" s="57">
        <v>100</v>
      </c>
      <c r="I191" s="57">
        <v>64.17</v>
      </c>
      <c r="J191" s="77">
        <v>63.76</v>
      </c>
      <c r="K191" s="81">
        <v>2449000</v>
      </c>
      <c r="L191" s="56">
        <v>5535000</v>
      </c>
      <c r="M191" s="56">
        <v>89</v>
      </c>
      <c r="N191" s="56">
        <v>44</v>
      </c>
      <c r="O191" s="57">
        <v>4.05</v>
      </c>
      <c r="P191" s="56">
        <v>62191</v>
      </c>
      <c r="Q191" s="56">
        <v>251591</v>
      </c>
      <c r="R191" s="56">
        <v>489384</v>
      </c>
      <c r="S191" s="56">
        <v>136056</v>
      </c>
      <c r="T191" s="56">
        <v>235070</v>
      </c>
      <c r="U191" s="77">
        <v>2.2599999999999998</v>
      </c>
      <c r="V191" s="81">
        <v>22</v>
      </c>
      <c r="W191" s="85">
        <v>18</v>
      </c>
      <c r="X191" s="81">
        <v>156417630</v>
      </c>
      <c r="Y191" s="69" t="s">
        <v>75</v>
      </c>
      <c r="Z191" s="81">
        <v>2139645</v>
      </c>
      <c r="AA191" s="56">
        <v>5173470</v>
      </c>
      <c r="AB191" s="56">
        <v>3928005</v>
      </c>
      <c r="AC191" s="56">
        <v>574830</v>
      </c>
      <c r="AD191" s="56">
        <v>3768330</v>
      </c>
      <c r="AE191" s="54" t="s">
        <v>12</v>
      </c>
      <c r="AF191" s="56">
        <v>2810280</v>
      </c>
      <c r="AG191" s="56">
        <v>1948035</v>
      </c>
      <c r="AH191" s="56">
        <v>7632465</v>
      </c>
      <c r="AI191" s="56">
        <v>18490365</v>
      </c>
      <c r="AJ191" s="56">
        <v>3544785</v>
      </c>
      <c r="AK191" s="56">
        <v>10570485</v>
      </c>
      <c r="AL191" s="56">
        <v>798375</v>
      </c>
      <c r="AM191" s="56">
        <v>2267385</v>
      </c>
      <c r="AN191" s="56">
        <v>2714475</v>
      </c>
      <c r="AO191" s="56">
        <v>18777780</v>
      </c>
      <c r="AP191" s="56">
        <v>127740</v>
      </c>
      <c r="AQ191" s="56">
        <v>18234885</v>
      </c>
      <c r="AR191" s="56">
        <v>0</v>
      </c>
      <c r="AS191" s="56">
        <v>574830</v>
      </c>
      <c r="AT191" s="56">
        <v>383220</v>
      </c>
      <c r="AU191" s="56">
        <v>479025</v>
      </c>
      <c r="AV191" s="56">
        <v>32030805</v>
      </c>
      <c r="AW191" s="56">
        <v>223545</v>
      </c>
      <c r="AX191" s="56">
        <v>6450870</v>
      </c>
      <c r="AY191" s="56">
        <v>1756425</v>
      </c>
      <c r="AZ191" s="54" t="s">
        <v>12</v>
      </c>
      <c r="BA191" s="56">
        <v>3832200</v>
      </c>
      <c r="BB191" s="56">
        <v>2682540</v>
      </c>
      <c r="BC191" s="56">
        <v>1564815</v>
      </c>
      <c r="BD191" s="56">
        <v>989985</v>
      </c>
      <c r="BE191" s="56">
        <v>1948035</v>
      </c>
      <c r="BF191" s="89" t="s">
        <v>12</v>
      </c>
    </row>
    <row r="192" spans="1:58" x14ac:dyDescent="0.4">
      <c r="A192" s="63">
        <v>44622</v>
      </c>
      <c r="B192" s="53">
        <v>44622.459278564813</v>
      </c>
      <c r="C192" s="54" t="s">
        <v>92</v>
      </c>
      <c r="D192" s="55" t="s">
        <v>74</v>
      </c>
      <c r="E192" s="69" t="s">
        <v>97</v>
      </c>
      <c r="F192" s="73"/>
      <c r="G192" s="57"/>
      <c r="H192" s="57"/>
      <c r="I192" s="57"/>
      <c r="J192" s="77"/>
      <c r="K192" s="81">
        <v>2658000</v>
      </c>
      <c r="L192" s="56">
        <v>2327000</v>
      </c>
      <c r="M192" s="56">
        <v>45</v>
      </c>
      <c r="N192" s="56">
        <v>0</v>
      </c>
      <c r="O192" s="57">
        <v>2.65</v>
      </c>
      <c r="P192" s="56">
        <v>51711</v>
      </c>
      <c r="Q192" s="56">
        <v>136882</v>
      </c>
      <c r="R192" s="56">
        <v>233798</v>
      </c>
      <c r="S192" s="56"/>
      <c r="T192" s="56"/>
      <c r="U192" s="77">
        <v>0.88</v>
      </c>
      <c r="V192" s="81">
        <v>17</v>
      </c>
      <c r="W192" s="85">
        <v>0</v>
      </c>
      <c r="X192" s="81"/>
      <c r="Y192" s="69" t="s">
        <v>79</v>
      </c>
      <c r="Z192" s="87" t="s">
        <v>12</v>
      </c>
      <c r="AA192" s="54" t="s">
        <v>12</v>
      </c>
      <c r="AB192" s="54" t="s">
        <v>12</v>
      </c>
      <c r="AC192" s="54" t="s">
        <v>12</v>
      </c>
      <c r="AD192" s="54" t="s">
        <v>12</v>
      </c>
      <c r="AE192" s="54" t="s">
        <v>12</v>
      </c>
      <c r="AF192" s="54" t="s">
        <v>12</v>
      </c>
      <c r="AG192" s="54" t="s">
        <v>12</v>
      </c>
      <c r="AH192" s="54" t="s">
        <v>12</v>
      </c>
      <c r="AI192" s="54" t="s">
        <v>12</v>
      </c>
      <c r="AJ192" s="54" t="s">
        <v>12</v>
      </c>
      <c r="AK192" s="54" t="s">
        <v>12</v>
      </c>
      <c r="AL192" s="54" t="s">
        <v>12</v>
      </c>
      <c r="AM192" s="54" t="s">
        <v>12</v>
      </c>
      <c r="AN192" s="54" t="s">
        <v>12</v>
      </c>
      <c r="AO192" s="54" t="s">
        <v>12</v>
      </c>
      <c r="AP192" s="54" t="s">
        <v>12</v>
      </c>
      <c r="AQ192" s="54" t="s">
        <v>12</v>
      </c>
      <c r="AR192" s="54" t="s">
        <v>12</v>
      </c>
      <c r="AS192" s="54" t="s">
        <v>12</v>
      </c>
      <c r="AT192" s="54" t="s">
        <v>12</v>
      </c>
      <c r="AU192" s="54" t="s">
        <v>12</v>
      </c>
      <c r="AV192" s="54" t="s">
        <v>12</v>
      </c>
      <c r="AW192" s="54" t="s">
        <v>12</v>
      </c>
      <c r="AX192" s="54" t="s">
        <v>12</v>
      </c>
      <c r="AY192" s="54" t="s">
        <v>12</v>
      </c>
      <c r="AZ192" s="54" t="s">
        <v>12</v>
      </c>
      <c r="BA192" s="54" t="s">
        <v>12</v>
      </c>
      <c r="BB192" s="54" t="s">
        <v>12</v>
      </c>
      <c r="BC192" s="54" t="s">
        <v>12</v>
      </c>
      <c r="BD192" s="54" t="s">
        <v>12</v>
      </c>
      <c r="BE192" s="54" t="s">
        <v>12</v>
      </c>
      <c r="BF192" s="89" t="s">
        <v>12</v>
      </c>
    </row>
    <row r="193" spans="1:58" x14ac:dyDescent="0.4">
      <c r="A193" s="63">
        <v>44621</v>
      </c>
      <c r="B193" s="53">
        <v>44621.458913171293</v>
      </c>
      <c r="C193" s="54" t="s">
        <v>89</v>
      </c>
      <c r="D193" s="55" t="s">
        <v>74</v>
      </c>
      <c r="E193" s="69" t="s">
        <v>90</v>
      </c>
      <c r="F193" s="73">
        <v>79.959999999999994</v>
      </c>
      <c r="G193" s="57">
        <v>65</v>
      </c>
      <c r="H193" s="57">
        <v>95</v>
      </c>
      <c r="I193" s="57">
        <v>80.05</v>
      </c>
      <c r="J193" s="77">
        <v>79.7</v>
      </c>
      <c r="K193" s="81">
        <v>2449000</v>
      </c>
      <c r="L193" s="56">
        <v>3573000</v>
      </c>
      <c r="M193" s="56">
        <v>79</v>
      </c>
      <c r="N193" s="56">
        <v>25</v>
      </c>
      <c r="O193" s="57">
        <v>3.16</v>
      </c>
      <c r="P193" s="56">
        <v>45228</v>
      </c>
      <c r="Q193" s="56">
        <v>142920</v>
      </c>
      <c r="R193" s="56">
        <v>213370</v>
      </c>
      <c r="S193" s="56">
        <v>144059</v>
      </c>
      <c r="T193" s="56">
        <v>240300</v>
      </c>
      <c r="U193" s="77">
        <v>1.46</v>
      </c>
      <c r="V193" s="81">
        <v>25</v>
      </c>
      <c r="W193" s="85">
        <v>17</v>
      </c>
      <c r="X193" s="81">
        <v>195822040</v>
      </c>
      <c r="Y193" s="69" t="s">
        <v>75</v>
      </c>
      <c r="Z193" s="81">
        <v>2678660</v>
      </c>
      <c r="AA193" s="56">
        <v>6476760</v>
      </c>
      <c r="AB193" s="56">
        <v>4917540</v>
      </c>
      <c r="AC193" s="56">
        <v>719640</v>
      </c>
      <c r="AD193" s="56">
        <v>4717640</v>
      </c>
      <c r="AE193" s="54" t="s">
        <v>12</v>
      </c>
      <c r="AF193" s="56">
        <v>3518240</v>
      </c>
      <c r="AG193" s="56">
        <v>2438780</v>
      </c>
      <c r="AH193" s="56">
        <v>9555220</v>
      </c>
      <c r="AI193" s="56">
        <v>23148420</v>
      </c>
      <c r="AJ193" s="56">
        <v>4437780</v>
      </c>
      <c r="AK193" s="56">
        <v>13233380</v>
      </c>
      <c r="AL193" s="56">
        <v>999500</v>
      </c>
      <c r="AM193" s="56">
        <v>2838580</v>
      </c>
      <c r="AN193" s="56">
        <v>3398300</v>
      </c>
      <c r="AO193" s="56">
        <v>23508240</v>
      </c>
      <c r="AP193" s="56">
        <v>159920</v>
      </c>
      <c r="AQ193" s="56">
        <v>22828580</v>
      </c>
      <c r="AR193" s="56">
        <v>0</v>
      </c>
      <c r="AS193" s="56">
        <v>719640</v>
      </c>
      <c r="AT193" s="56">
        <v>479760</v>
      </c>
      <c r="AU193" s="56">
        <v>599700</v>
      </c>
      <c r="AV193" s="56">
        <v>40099940</v>
      </c>
      <c r="AW193" s="56">
        <v>279860</v>
      </c>
      <c r="AX193" s="56">
        <v>8075960</v>
      </c>
      <c r="AY193" s="56">
        <v>2198900</v>
      </c>
      <c r="AZ193" s="54" t="s">
        <v>12</v>
      </c>
      <c r="BA193" s="56">
        <v>4797600</v>
      </c>
      <c r="BB193" s="56">
        <v>3358320</v>
      </c>
      <c r="BC193" s="56">
        <v>1959020</v>
      </c>
      <c r="BD193" s="56">
        <v>1239380</v>
      </c>
      <c r="BE193" s="56">
        <v>2438780</v>
      </c>
      <c r="BF193" s="89" t="s">
        <v>12</v>
      </c>
    </row>
    <row r="194" spans="1:58" x14ac:dyDescent="0.4">
      <c r="A194" s="63">
        <v>44620</v>
      </c>
      <c r="B194" s="53">
        <v>44620.458778645836</v>
      </c>
      <c r="C194" s="54" t="s">
        <v>89</v>
      </c>
      <c r="D194" s="55" t="s">
        <v>74</v>
      </c>
      <c r="E194" s="69" t="s">
        <v>90</v>
      </c>
      <c r="F194" s="73">
        <v>80.92</v>
      </c>
      <c r="G194" s="57">
        <v>60</v>
      </c>
      <c r="H194" s="57">
        <v>100</v>
      </c>
      <c r="I194" s="57">
        <v>81.290000000000006</v>
      </c>
      <c r="J194" s="77">
        <v>81.069999999999993</v>
      </c>
      <c r="K194" s="81">
        <v>2449000</v>
      </c>
      <c r="L194" s="56">
        <v>3112000</v>
      </c>
      <c r="M194" s="56">
        <v>76</v>
      </c>
      <c r="N194" s="56">
        <v>45</v>
      </c>
      <c r="O194" s="57">
        <v>3.3</v>
      </c>
      <c r="P194" s="56">
        <v>40947</v>
      </c>
      <c r="Q194" s="56">
        <v>135304</v>
      </c>
      <c r="R194" s="56">
        <v>197053</v>
      </c>
      <c r="S194" s="56">
        <v>111318</v>
      </c>
      <c r="T194" s="56">
        <v>185017</v>
      </c>
      <c r="U194" s="77">
        <v>1.27</v>
      </c>
      <c r="V194" s="81">
        <v>23</v>
      </c>
      <c r="W194" s="85">
        <v>22</v>
      </c>
      <c r="X194" s="81">
        <v>198173080</v>
      </c>
      <c r="Y194" s="69" t="s">
        <v>75</v>
      </c>
      <c r="Z194" s="81">
        <v>2710820</v>
      </c>
      <c r="AA194" s="56">
        <v>6554520</v>
      </c>
      <c r="AB194" s="56">
        <v>4976580</v>
      </c>
      <c r="AC194" s="56">
        <v>728280</v>
      </c>
      <c r="AD194" s="56">
        <v>4774280</v>
      </c>
      <c r="AE194" s="54" t="s">
        <v>12</v>
      </c>
      <c r="AF194" s="56">
        <v>3560480</v>
      </c>
      <c r="AG194" s="56">
        <v>2468060</v>
      </c>
      <c r="AH194" s="56">
        <v>9669940</v>
      </c>
      <c r="AI194" s="56">
        <v>23426340</v>
      </c>
      <c r="AJ194" s="56">
        <v>4491060</v>
      </c>
      <c r="AK194" s="56">
        <v>13392260</v>
      </c>
      <c r="AL194" s="56">
        <v>1011500</v>
      </c>
      <c r="AM194" s="56">
        <v>2872660</v>
      </c>
      <c r="AN194" s="56">
        <v>3439100</v>
      </c>
      <c r="AO194" s="56">
        <v>23790480</v>
      </c>
      <c r="AP194" s="56">
        <v>161840</v>
      </c>
      <c r="AQ194" s="56">
        <v>23102660</v>
      </c>
      <c r="AR194" s="56">
        <v>0</v>
      </c>
      <c r="AS194" s="56">
        <v>728280</v>
      </c>
      <c r="AT194" s="56">
        <v>485520</v>
      </c>
      <c r="AU194" s="56">
        <v>606900</v>
      </c>
      <c r="AV194" s="56">
        <v>40581380</v>
      </c>
      <c r="AW194" s="56">
        <v>283220</v>
      </c>
      <c r="AX194" s="56">
        <v>8172920</v>
      </c>
      <c r="AY194" s="56">
        <v>2225300</v>
      </c>
      <c r="AZ194" s="54" t="s">
        <v>12</v>
      </c>
      <c r="BA194" s="56">
        <v>4855200</v>
      </c>
      <c r="BB194" s="56">
        <v>3398640</v>
      </c>
      <c r="BC194" s="56">
        <v>1982540</v>
      </c>
      <c r="BD194" s="56">
        <v>1254260</v>
      </c>
      <c r="BE194" s="56">
        <v>2468060</v>
      </c>
      <c r="BF194" s="89" t="s">
        <v>12</v>
      </c>
    </row>
    <row r="195" spans="1:58" x14ac:dyDescent="0.4">
      <c r="A195" s="63">
        <v>44617</v>
      </c>
      <c r="B195" s="53">
        <v>44617.458827719907</v>
      </c>
      <c r="C195" s="54" t="s">
        <v>91</v>
      </c>
      <c r="D195" s="55" t="s">
        <v>74</v>
      </c>
      <c r="E195" s="69" t="s">
        <v>90</v>
      </c>
      <c r="F195" s="73">
        <v>86.9</v>
      </c>
      <c r="G195" s="57">
        <v>70</v>
      </c>
      <c r="H195" s="57">
        <v>95</v>
      </c>
      <c r="I195" s="57">
        <v>86.65</v>
      </c>
      <c r="J195" s="77">
        <v>86.99</v>
      </c>
      <c r="K195" s="81">
        <v>1944000</v>
      </c>
      <c r="L195" s="56">
        <v>2743500</v>
      </c>
      <c r="M195" s="56">
        <v>60</v>
      </c>
      <c r="N195" s="56">
        <v>36</v>
      </c>
      <c r="O195" s="57">
        <v>3.33</v>
      </c>
      <c r="P195" s="56">
        <v>45725</v>
      </c>
      <c r="Q195" s="56">
        <v>152417</v>
      </c>
      <c r="R195" s="56">
        <v>169447</v>
      </c>
      <c r="S195" s="56">
        <v>138857</v>
      </c>
      <c r="T195" s="56">
        <v>179240</v>
      </c>
      <c r="U195" s="77">
        <v>1.41</v>
      </c>
      <c r="V195" s="81">
        <v>18</v>
      </c>
      <c r="W195" s="85">
        <v>14</v>
      </c>
      <c r="X195" s="81">
        <v>168933600</v>
      </c>
      <c r="Y195" s="69" t="s">
        <v>77</v>
      </c>
      <c r="Z195" s="87" t="s">
        <v>12</v>
      </c>
      <c r="AA195" s="54" t="s">
        <v>12</v>
      </c>
      <c r="AB195" s="54" t="s">
        <v>12</v>
      </c>
      <c r="AC195" s="54" t="s">
        <v>12</v>
      </c>
      <c r="AD195" s="54" t="s">
        <v>12</v>
      </c>
      <c r="AE195" s="56">
        <v>168933600</v>
      </c>
      <c r="AF195" s="54" t="s">
        <v>12</v>
      </c>
      <c r="AG195" s="54" t="s">
        <v>12</v>
      </c>
      <c r="AH195" s="54" t="s">
        <v>12</v>
      </c>
      <c r="AI195" s="54" t="s">
        <v>12</v>
      </c>
      <c r="AJ195" s="54" t="s">
        <v>12</v>
      </c>
      <c r="AK195" s="54" t="s">
        <v>12</v>
      </c>
      <c r="AL195" s="54" t="s">
        <v>12</v>
      </c>
      <c r="AM195" s="54" t="s">
        <v>12</v>
      </c>
      <c r="AN195" s="54" t="s">
        <v>12</v>
      </c>
      <c r="AO195" s="54" t="s">
        <v>12</v>
      </c>
      <c r="AP195" s="54" t="s">
        <v>12</v>
      </c>
      <c r="AQ195" s="54" t="s">
        <v>12</v>
      </c>
      <c r="AR195" s="54" t="s">
        <v>12</v>
      </c>
      <c r="AS195" s="54" t="s">
        <v>12</v>
      </c>
      <c r="AT195" s="54" t="s">
        <v>12</v>
      </c>
      <c r="AU195" s="54" t="s">
        <v>12</v>
      </c>
      <c r="AV195" s="54" t="s">
        <v>12</v>
      </c>
      <c r="AW195" s="54" t="s">
        <v>12</v>
      </c>
      <c r="AX195" s="54" t="s">
        <v>12</v>
      </c>
      <c r="AY195" s="54" t="s">
        <v>12</v>
      </c>
      <c r="AZ195" s="54" t="s">
        <v>12</v>
      </c>
      <c r="BA195" s="54" t="s">
        <v>12</v>
      </c>
      <c r="BB195" s="54" t="s">
        <v>12</v>
      </c>
      <c r="BC195" s="54" t="s">
        <v>12</v>
      </c>
      <c r="BD195" s="54" t="s">
        <v>12</v>
      </c>
      <c r="BE195" s="54" t="s">
        <v>12</v>
      </c>
      <c r="BF195" s="89" t="s">
        <v>12</v>
      </c>
    </row>
    <row r="196" spans="1:58" x14ac:dyDescent="0.4">
      <c r="A196" s="63">
        <v>44616</v>
      </c>
      <c r="B196" s="53">
        <v>44616.458912233793</v>
      </c>
      <c r="C196" s="54" t="s">
        <v>89</v>
      </c>
      <c r="D196" s="55" t="s">
        <v>74</v>
      </c>
      <c r="E196" s="69" t="s">
        <v>90</v>
      </c>
      <c r="F196" s="73">
        <v>88</v>
      </c>
      <c r="G196" s="57">
        <v>70</v>
      </c>
      <c r="H196" s="57">
        <v>93</v>
      </c>
      <c r="I196" s="57">
        <v>88.38</v>
      </c>
      <c r="J196" s="77">
        <v>89.07</v>
      </c>
      <c r="K196" s="81">
        <v>2449000</v>
      </c>
      <c r="L196" s="56">
        <v>3223000</v>
      </c>
      <c r="M196" s="56">
        <v>56</v>
      </c>
      <c r="N196" s="56">
        <v>50</v>
      </c>
      <c r="O196" s="57">
        <v>3.29</v>
      </c>
      <c r="P196" s="56">
        <v>57554</v>
      </c>
      <c r="Q196" s="56">
        <v>189588</v>
      </c>
      <c r="R196" s="56">
        <v>253613</v>
      </c>
      <c r="S196" s="56">
        <v>144059</v>
      </c>
      <c r="T196" s="56">
        <v>199354</v>
      </c>
      <c r="U196" s="77">
        <v>1.32</v>
      </c>
      <c r="V196" s="81">
        <v>17</v>
      </c>
      <c r="W196" s="85">
        <v>17</v>
      </c>
      <c r="X196" s="81">
        <v>215512000</v>
      </c>
      <c r="Y196" s="69" t="s">
        <v>75</v>
      </c>
      <c r="Z196" s="81">
        <v>2948000</v>
      </c>
      <c r="AA196" s="56">
        <v>7128000</v>
      </c>
      <c r="AB196" s="56">
        <v>5412000</v>
      </c>
      <c r="AC196" s="56">
        <v>792000</v>
      </c>
      <c r="AD196" s="56">
        <v>5192000</v>
      </c>
      <c r="AE196" s="54" t="s">
        <v>12</v>
      </c>
      <c r="AF196" s="56">
        <v>3872000</v>
      </c>
      <c r="AG196" s="56">
        <v>2684000</v>
      </c>
      <c r="AH196" s="56">
        <v>10516000</v>
      </c>
      <c r="AI196" s="56">
        <v>25476000</v>
      </c>
      <c r="AJ196" s="56">
        <v>4884000</v>
      </c>
      <c r="AK196" s="56">
        <v>14564000</v>
      </c>
      <c r="AL196" s="56">
        <v>1100000</v>
      </c>
      <c r="AM196" s="56">
        <v>3124000</v>
      </c>
      <c r="AN196" s="56">
        <v>3740000</v>
      </c>
      <c r="AO196" s="56">
        <v>25872000</v>
      </c>
      <c r="AP196" s="56">
        <v>176000</v>
      </c>
      <c r="AQ196" s="56">
        <v>25124000</v>
      </c>
      <c r="AR196" s="56">
        <v>0</v>
      </c>
      <c r="AS196" s="56">
        <v>792000</v>
      </c>
      <c r="AT196" s="56">
        <v>528000</v>
      </c>
      <c r="AU196" s="56">
        <v>660000</v>
      </c>
      <c r="AV196" s="56">
        <v>44132000</v>
      </c>
      <c r="AW196" s="56">
        <v>308000</v>
      </c>
      <c r="AX196" s="56">
        <v>8888000</v>
      </c>
      <c r="AY196" s="56">
        <v>2420000</v>
      </c>
      <c r="AZ196" s="54" t="s">
        <v>12</v>
      </c>
      <c r="BA196" s="56">
        <v>5280000</v>
      </c>
      <c r="BB196" s="56">
        <v>3696000</v>
      </c>
      <c r="BC196" s="56">
        <v>2156000</v>
      </c>
      <c r="BD196" s="56">
        <v>1364000</v>
      </c>
      <c r="BE196" s="56">
        <v>2684000</v>
      </c>
      <c r="BF196" s="89" t="s">
        <v>12</v>
      </c>
    </row>
    <row r="197" spans="1:58" x14ac:dyDescent="0.4">
      <c r="A197" s="63">
        <v>44615</v>
      </c>
      <c r="B197" s="53">
        <v>44615.458740196758</v>
      </c>
      <c r="C197" s="54" t="s">
        <v>94</v>
      </c>
      <c r="D197" s="55" t="s">
        <v>74</v>
      </c>
      <c r="E197" s="69" t="s">
        <v>90</v>
      </c>
      <c r="F197" s="73">
        <v>92.8</v>
      </c>
      <c r="G197" s="57">
        <v>70</v>
      </c>
      <c r="H197" s="57">
        <v>95</v>
      </c>
      <c r="I197" s="57">
        <v>91.53</v>
      </c>
      <c r="J197" s="77">
        <v>92.25</v>
      </c>
      <c r="K197" s="81">
        <v>1108500</v>
      </c>
      <c r="L197" s="56">
        <v>2375500</v>
      </c>
      <c r="M197" s="56">
        <v>64</v>
      </c>
      <c r="N197" s="56">
        <v>12</v>
      </c>
      <c r="O197" s="57">
        <v>3.56</v>
      </c>
      <c r="P197" s="56">
        <v>37117</v>
      </c>
      <c r="Q197" s="56">
        <v>131972</v>
      </c>
      <c r="R197" s="56">
        <v>182257</v>
      </c>
      <c r="S197" s="56">
        <v>110850</v>
      </c>
      <c r="T197" s="56">
        <v>217502</v>
      </c>
      <c r="U197" s="77">
        <v>2.14</v>
      </c>
      <c r="V197" s="81">
        <v>18</v>
      </c>
      <c r="W197" s="85">
        <v>10</v>
      </c>
      <c r="X197" s="81">
        <v>102868800</v>
      </c>
      <c r="Y197" s="69" t="s">
        <v>95</v>
      </c>
      <c r="Z197" s="87" t="s">
        <v>12</v>
      </c>
      <c r="AA197" s="54" t="s">
        <v>12</v>
      </c>
      <c r="AB197" s="54" t="s">
        <v>12</v>
      </c>
      <c r="AC197" s="54" t="s">
        <v>12</v>
      </c>
      <c r="AD197" s="54" t="s">
        <v>12</v>
      </c>
      <c r="AE197" s="54" t="s">
        <v>12</v>
      </c>
      <c r="AF197" s="54" t="s">
        <v>12</v>
      </c>
      <c r="AG197" s="54" t="s">
        <v>12</v>
      </c>
      <c r="AH197" s="54" t="s">
        <v>12</v>
      </c>
      <c r="AI197" s="54" t="s">
        <v>12</v>
      </c>
      <c r="AJ197" s="54" t="s">
        <v>12</v>
      </c>
      <c r="AK197" s="54" t="s">
        <v>12</v>
      </c>
      <c r="AL197" s="54" t="s">
        <v>12</v>
      </c>
      <c r="AM197" s="54" t="s">
        <v>12</v>
      </c>
      <c r="AN197" s="54" t="s">
        <v>12</v>
      </c>
      <c r="AO197" s="54" t="s">
        <v>12</v>
      </c>
      <c r="AP197" s="54" t="s">
        <v>12</v>
      </c>
      <c r="AQ197" s="54" t="s">
        <v>12</v>
      </c>
      <c r="AR197" s="54" t="s">
        <v>12</v>
      </c>
      <c r="AS197" s="54" t="s">
        <v>12</v>
      </c>
      <c r="AT197" s="54" t="s">
        <v>12</v>
      </c>
      <c r="AU197" s="54" t="s">
        <v>12</v>
      </c>
      <c r="AV197" s="54" t="s">
        <v>12</v>
      </c>
      <c r="AW197" s="54" t="s">
        <v>12</v>
      </c>
      <c r="AX197" s="54" t="s">
        <v>12</v>
      </c>
      <c r="AY197" s="54" t="s">
        <v>12</v>
      </c>
      <c r="AZ197" s="54" t="s">
        <v>12</v>
      </c>
      <c r="BA197" s="54" t="s">
        <v>12</v>
      </c>
      <c r="BB197" s="54" t="s">
        <v>12</v>
      </c>
      <c r="BC197" s="54" t="s">
        <v>12</v>
      </c>
      <c r="BD197" s="54" t="s">
        <v>12</v>
      </c>
      <c r="BE197" s="54" t="s">
        <v>12</v>
      </c>
      <c r="BF197" s="85">
        <v>102868800</v>
      </c>
    </row>
    <row r="198" spans="1:58" x14ac:dyDescent="0.4">
      <c r="A198" s="63">
        <v>44614</v>
      </c>
      <c r="B198" s="53">
        <v>44614.459122245367</v>
      </c>
      <c r="C198" s="54" t="s">
        <v>89</v>
      </c>
      <c r="D198" s="55" t="s">
        <v>74</v>
      </c>
      <c r="E198" s="69" t="s">
        <v>90</v>
      </c>
      <c r="F198" s="73">
        <v>88.4</v>
      </c>
      <c r="G198" s="57">
        <v>70</v>
      </c>
      <c r="H198" s="57">
        <v>100</v>
      </c>
      <c r="I198" s="57">
        <v>87.96</v>
      </c>
      <c r="J198" s="77">
        <v>88.13</v>
      </c>
      <c r="K198" s="81">
        <v>2449000</v>
      </c>
      <c r="L198" s="56">
        <v>3701500</v>
      </c>
      <c r="M198" s="56">
        <v>83</v>
      </c>
      <c r="N198" s="56">
        <v>34</v>
      </c>
      <c r="O198" s="57">
        <v>3.46</v>
      </c>
      <c r="P198" s="56">
        <v>44596</v>
      </c>
      <c r="Q198" s="56">
        <v>154229</v>
      </c>
      <c r="R198" s="56">
        <v>224298</v>
      </c>
      <c r="S198" s="56">
        <v>122450</v>
      </c>
      <c r="T198" s="56">
        <v>203147</v>
      </c>
      <c r="U198" s="77">
        <v>1.51</v>
      </c>
      <c r="V198" s="81">
        <v>24</v>
      </c>
      <c r="W198" s="85">
        <v>20</v>
      </c>
      <c r="X198" s="81">
        <v>216491600</v>
      </c>
      <c r="Y198" s="69" t="s">
        <v>75</v>
      </c>
      <c r="Z198" s="81">
        <v>2961400</v>
      </c>
      <c r="AA198" s="56">
        <v>7160400</v>
      </c>
      <c r="AB198" s="56">
        <v>5436600</v>
      </c>
      <c r="AC198" s="56">
        <v>795600</v>
      </c>
      <c r="AD198" s="56">
        <v>5215600</v>
      </c>
      <c r="AE198" s="54" t="s">
        <v>12</v>
      </c>
      <c r="AF198" s="56">
        <v>3889600</v>
      </c>
      <c r="AG198" s="56">
        <v>2696200</v>
      </c>
      <c r="AH198" s="56">
        <v>10563800</v>
      </c>
      <c r="AI198" s="56">
        <v>25591800</v>
      </c>
      <c r="AJ198" s="56">
        <v>4906200</v>
      </c>
      <c r="AK198" s="56">
        <v>14630200</v>
      </c>
      <c r="AL198" s="56">
        <v>1105000</v>
      </c>
      <c r="AM198" s="56">
        <v>3138200</v>
      </c>
      <c r="AN198" s="56">
        <v>3757000</v>
      </c>
      <c r="AO198" s="56">
        <v>25989600</v>
      </c>
      <c r="AP198" s="56">
        <v>176800</v>
      </c>
      <c r="AQ198" s="56">
        <v>25238200</v>
      </c>
      <c r="AR198" s="56">
        <v>0</v>
      </c>
      <c r="AS198" s="56">
        <v>795600</v>
      </c>
      <c r="AT198" s="56">
        <v>530400</v>
      </c>
      <c r="AU198" s="56">
        <v>663000</v>
      </c>
      <c r="AV198" s="56">
        <v>44332600</v>
      </c>
      <c r="AW198" s="56">
        <v>309400</v>
      </c>
      <c r="AX198" s="56">
        <v>8928400</v>
      </c>
      <c r="AY198" s="56">
        <v>2431000</v>
      </c>
      <c r="AZ198" s="54" t="s">
        <v>12</v>
      </c>
      <c r="BA198" s="56">
        <v>5304000</v>
      </c>
      <c r="BB198" s="56">
        <v>3712800</v>
      </c>
      <c r="BC198" s="56">
        <v>2165800</v>
      </c>
      <c r="BD198" s="56">
        <v>1370200</v>
      </c>
      <c r="BE198" s="56">
        <v>2696200</v>
      </c>
      <c r="BF198" s="89" t="s">
        <v>12</v>
      </c>
    </row>
    <row r="199" spans="1:58" x14ac:dyDescent="0.4">
      <c r="A199" s="63">
        <v>44613</v>
      </c>
      <c r="B199" s="53">
        <v>44613.459517488423</v>
      </c>
      <c r="C199" s="54" t="s">
        <v>89</v>
      </c>
      <c r="D199" s="55" t="s">
        <v>74</v>
      </c>
      <c r="E199" s="69" t="s">
        <v>90</v>
      </c>
      <c r="F199" s="73">
        <v>87.99</v>
      </c>
      <c r="G199" s="57">
        <v>70</v>
      </c>
      <c r="H199" s="57">
        <v>99</v>
      </c>
      <c r="I199" s="57">
        <v>87.56</v>
      </c>
      <c r="J199" s="77">
        <v>87.6</v>
      </c>
      <c r="K199" s="81">
        <v>2449000</v>
      </c>
      <c r="L199" s="56">
        <v>3855500</v>
      </c>
      <c r="M199" s="56">
        <v>76</v>
      </c>
      <c r="N199" s="56">
        <v>22</v>
      </c>
      <c r="O199" s="57">
        <v>3.45</v>
      </c>
      <c r="P199" s="56">
        <v>50730</v>
      </c>
      <c r="Q199" s="56">
        <v>175250</v>
      </c>
      <c r="R199" s="56">
        <v>263104</v>
      </c>
      <c r="S199" s="56">
        <v>174929</v>
      </c>
      <c r="T199" s="56">
        <v>265904</v>
      </c>
      <c r="U199" s="77">
        <v>1.57</v>
      </c>
      <c r="V199" s="81">
        <v>22</v>
      </c>
      <c r="W199" s="85">
        <v>14</v>
      </c>
      <c r="X199" s="81">
        <v>215487510</v>
      </c>
      <c r="Y199" s="69" t="s">
        <v>75</v>
      </c>
      <c r="Z199" s="81">
        <v>2947665</v>
      </c>
      <c r="AA199" s="56">
        <v>7127190</v>
      </c>
      <c r="AB199" s="56">
        <v>5411385</v>
      </c>
      <c r="AC199" s="56">
        <v>791910</v>
      </c>
      <c r="AD199" s="56">
        <v>5191410</v>
      </c>
      <c r="AE199" s="54" t="s">
        <v>12</v>
      </c>
      <c r="AF199" s="56">
        <v>3871560</v>
      </c>
      <c r="AG199" s="56">
        <v>2683695</v>
      </c>
      <c r="AH199" s="56">
        <v>10514805</v>
      </c>
      <c r="AI199" s="56">
        <v>25473105</v>
      </c>
      <c r="AJ199" s="56">
        <v>4883445</v>
      </c>
      <c r="AK199" s="56">
        <v>14562345</v>
      </c>
      <c r="AL199" s="56">
        <v>1099875</v>
      </c>
      <c r="AM199" s="56">
        <v>3123645</v>
      </c>
      <c r="AN199" s="56">
        <v>3739575</v>
      </c>
      <c r="AO199" s="56">
        <v>25869060</v>
      </c>
      <c r="AP199" s="56">
        <v>175980</v>
      </c>
      <c r="AQ199" s="56">
        <v>25121145</v>
      </c>
      <c r="AR199" s="56">
        <v>0</v>
      </c>
      <c r="AS199" s="56">
        <v>791910</v>
      </c>
      <c r="AT199" s="56">
        <v>527940</v>
      </c>
      <c r="AU199" s="56">
        <v>659925</v>
      </c>
      <c r="AV199" s="56">
        <v>44126985</v>
      </c>
      <c r="AW199" s="56">
        <v>307965</v>
      </c>
      <c r="AX199" s="56">
        <v>8886990</v>
      </c>
      <c r="AY199" s="56">
        <v>2419725</v>
      </c>
      <c r="AZ199" s="54" t="s">
        <v>12</v>
      </c>
      <c r="BA199" s="56">
        <v>5279400</v>
      </c>
      <c r="BB199" s="56">
        <v>3695580</v>
      </c>
      <c r="BC199" s="56">
        <v>2155755</v>
      </c>
      <c r="BD199" s="56">
        <v>1363845</v>
      </c>
      <c r="BE199" s="56">
        <v>2683695</v>
      </c>
      <c r="BF199" s="89" t="s">
        <v>12</v>
      </c>
    </row>
    <row r="200" spans="1:58" x14ac:dyDescent="0.4">
      <c r="A200" s="63">
        <v>44610</v>
      </c>
      <c r="B200" s="53">
        <v>44610.45909931713</v>
      </c>
      <c r="C200" s="54" t="s">
        <v>91</v>
      </c>
      <c r="D200" s="55" t="s">
        <v>74</v>
      </c>
      <c r="E200" s="69" t="s">
        <v>90</v>
      </c>
      <c r="F200" s="73">
        <v>87.65</v>
      </c>
      <c r="G200" s="57">
        <v>70</v>
      </c>
      <c r="H200" s="57">
        <v>95</v>
      </c>
      <c r="I200" s="57">
        <v>87.42</v>
      </c>
      <c r="J200" s="77">
        <v>87.51</v>
      </c>
      <c r="K200" s="81">
        <v>1944000</v>
      </c>
      <c r="L200" s="56">
        <v>3175000</v>
      </c>
      <c r="M200" s="56">
        <v>80</v>
      </c>
      <c r="N200" s="56">
        <v>32</v>
      </c>
      <c r="O200" s="57">
        <v>3.48</v>
      </c>
      <c r="P200" s="56">
        <v>39688</v>
      </c>
      <c r="Q200" s="56">
        <v>138043</v>
      </c>
      <c r="R200" s="56">
        <v>171924</v>
      </c>
      <c r="S200" s="56">
        <v>114353</v>
      </c>
      <c r="T200" s="56">
        <v>164625</v>
      </c>
      <c r="U200" s="77">
        <v>1.63</v>
      </c>
      <c r="V200" s="81">
        <v>23</v>
      </c>
      <c r="W200" s="85">
        <v>17</v>
      </c>
      <c r="X200" s="81">
        <v>170391600</v>
      </c>
      <c r="Y200" s="69" t="s">
        <v>77</v>
      </c>
      <c r="Z200" s="87" t="s">
        <v>12</v>
      </c>
      <c r="AA200" s="54" t="s">
        <v>12</v>
      </c>
      <c r="AB200" s="54" t="s">
        <v>12</v>
      </c>
      <c r="AC200" s="54" t="s">
        <v>12</v>
      </c>
      <c r="AD200" s="54" t="s">
        <v>12</v>
      </c>
      <c r="AE200" s="56">
        <v>170391600</v>
      </c>
      <c r="AF200" s="54" t="s">
        <v>12</v>
      </c>
      <c r="AG200" s="54" t="s">
        <v>12</v>
      </c>
      <c r="AH200" s="54" t="s">
        <v>12</v>
      </c>
      <c r="AI200" s="54" t="s">
        <v>12</v>
      </c>
      <c r="AJ200" s="54" t="s">
        <v>12</v>
      </c>
      <c r="AK200" s="54" t="s">
        <v>12</v>
      </c>
      <c r="AL200" s="54" t="s">
        <v>12</v>
      </c>
      <c r="AM200" s="54" t="s">
        <v>12</v>
      </c>
      <c r="AN200" s="54" t="s">
        <v>12</v>
      </c>
      <c r="AO200" s="54" t="s">
        <v>12</v>
      </c>
      <c r="AP200" s="54" t="s">
        <v>12</v>
      </c>
      <c r="AQ200" s="54" t="s">
        <v>12</v>
      </c>
      <c r="AR200" s="54" t="s">
        <v>12</v>
      </c>
      <c r="AS200" s="54" t="s">
        <v>12</v>
      </c>
      <c r="AT200" s="54" t="s">
        <v>12</v>
      </c>
      <c r="AU200" s="54" t="s">
        <v>12</v>
      </c>
      <c r="AV200" s="54" t="s">
        <v>12</v>
      </c>
      <c r="AW200" s="54" t="s">
        <v>12</v>
      </c>
      <c r="AX200" s="54" t="s">
        <v>12</v>
      </c>
      <c r="AY200" s="54" t="s">
        <v>12</v>
      </c>
      <c r="AZ200" s="54" t="s">
        <v>12</v>
      </c>
      <c r="BA200" s="54" t="s">
        <v>12</v>
      </c>
      <c r="BB200" s="54" t="s">
        <v>12</v>
      </c>
      <c r="BC200" s="54" t="s">
        <v>12</v>
      </c>
      <c r="BD200" s="54" t="s">
        <v>12</v>
      </c>
      <c r="BE200" s="54" t="s">
        <v>12</v>
      </c>
      <c r="BF200" s="89" t="s">
        <v>12</v>
      </c>
    </row>
    <row r="201" spans="1:58" x14ac:dyDescent="0.4">
      <c r="A201" s="63">
        <v>44609</v>
      </c>
      <c r="B201" s="53">
        <v>44609.458735868058</v>
      </c>
      <c r="C201" s="54" t="s">
        <v>89</v>
      </c>
      <c r="D201" s="55" t="s">
        <v>74</v>
      </c>
      <c r="E201" s="69" t="s">
        <v>90</v>
      </c>
      <c r="F201" s="73">
        <v>87.5</v>
      </c>
      <c r="G201" s="57">
        <v>70</v>
      </c>
      <c r="H201" s="57">
        <v>99</v>
      </c>
      <c r="I201" s="57">
        <v>87.3</v>
      </c>
      <c r="J201" s="77">
        <v>87.44</v>
      </c>
      <c r="K201" s="81">
        <v>2449000</v>
      </c>
      <c r="L201" s="56">
        <v>3570000</v>
      </c>
      <c r="M201" s="56">
        <v>84</v>
      </c>
      <c r="N201" s="56">
        <v>40</v>
      </c>
      <c r="O201" s="57">
        <v>3.82</v>
      </c>
      <c r="P201" s="56">
        <v>42500</v>
      </c>
      <c r="Q201" s="56">
        <v>162273</v>
      </c>
      <c r="R201" s="56">
        <v>216158</v>
      </c>
      <c r="S201" s="56">
        <v>144059</v>
      </c>
      <c r="T201" s="56">
        <v>208814</v>
      </c>
      <c r="U201" s="77">
        <v>1.46</v>
      </c>
      <c r="V201" s="81">
        <v>22</v>
      </c>
      <c r="W201" s="85">
        <v>17</v>
      </c>
      <c r="X201" s="81">
        <v>214287500</v>
      </c>
      <c r="Y201" s="69" t="s">
        <v>75</v>
      </c>
      <c r="Z201" s="81">
        <v>2931250</v>
      </c>
      <c r="AA201" s="56">
        <v>7087500</v>
      </c>
      <c r="AB201" s="56">
        <v>5381250</v>
      </c>
      <c r="AC201" s="56">
        <v>787500</v>
      </c>
      <c r="AD201" s="56">
        <v>5162500</v>
      </c>
      <c r="AE201" s="54" t="s">
        <v>12</v>
      </c>
      <c r="AF201" s="56">
        <v>3850000</v>
      </c>
      <c r="AG201" s="56">
        <v>2668750</v>
      </c>
      <c r="AH201" s="56">
        <v>10456250</v>
      </c>
      <c r="AI201" s="56">
        <v>25331250</v>
      </c>
      <c r="AJ201" s="56">
        <v>4856250</v>
      </c>
      <c r="AK201" s="56">
        <v>14481250</v>
      </c>
      <c r="AL201" s="56">
        <v>1093750</v>
      </c>
      <c r="AM201" s="56">
        <v>3106250</v>
      </c>
      <c r="AN201" s="56">
        <v>3718750</v>
      </c>
      <c r="AO201" s="56">
        <v>25725000</v>
      </c>
      <c r="AP201" s="56">
        <v>175000</v>
      </c>
      <c r="AQ201" s="56">
        <v>24981250</v>
      </c>
      <c r="AR201" s="56">
        <v>0</v>
      </c>
      <c r="AS201" s="56">
        <v>787500</v>
      </c>
      <c r="AT201" s="56">
        <v>525000</v>
      </c>
      <c r="AU201" s="56">
        <v>656250</v>
      </c>
      <c r="AV201" s="56">
        <v>43881250</v>
      </c>
      <c r="AW201" s="56">
        <v>306250</v>
      </c>
      <c r="AX201" s="56">
        <v>8837500</v>
      </c>
      <c r="AY201" s="56">
        <v>2406250</v>
      </c>
      <c r="AZ201" s="54" t="s">
        <v>12</v>
      </c>
      <c r="BA201" s="56">
        <v>5250000</v>
      </c>
      <c r="BB201" s="56">
        <v>3675000</v>
      </c>
      <c r="BC201" s="56">
        <v>2143750</v>
      </c>
      <c r="BD201" s="56">
        <v>1356250</v>
      </c>
      <c r="BE201" s="56">
        <v>2668750</v>
      </c>
      <c r="BF201" s="89" t="s">
        <v>12</v>
      </c>
    </row>
    <row r="202" spans="1:58" x14ac:dyDescent="0.4">
      <c r="A202" s="63">
        <v>44608</v>
      </c>
      <c r="B202" s="53">
        <v>44608.458709548613</v>
      </c>
      <c r="C202" s="54" t="s">
        <v>92</v>
      </c>
      <c r="D202" s="55" t="s">
        <v>74</v>
      </c>
      <c r="E202" s="69" t="s">
        <v>90</v>
      </c>
      <c r="F202" s="73">
        <v>88.05</v>
      </c>
      <c r="G202" s="57">
        <v>70</v>
      </c>
      <c r="H202" s="57">
        <v>95</v>
      </c>
      <c r="I202" s="57">
        <v>88.09</v>
      </c>
      <c r="J202" s="77">
        <v>88.31</v>
      </c>
      <c r="K202" s="81">
        <v>2658000</v>
      </c>
      <c r="L202" s="56">
        <v>2992000</v>
      </c>
      <c r="M202" s="56">
        <v>71</v>
      </c>
      <c r="N202" s="56">
        <v>49</v>
      </c>
      <c r="O202" s="57">
        <v>3.09</v>
      </c>
      <c r="P202" s="56">
        <v>42141</v>
      </c>
      <c r="Q202" s="56">
        <v>130087</v>
      </c>
      <c r="R202" s="56">
        <v>235808</v>
      </c>
      <c r="S202" s="56">
        <v>126571</v>
      </c>
      <c r="T202" s="56">
        <v>241445</v>
      </c>
      <c r="U202" s="77">
        <v>1.1299999999999999</v>
      </c>
      <c r="V202" s="81">
        <v>23</v>
      </c>
      <c r="W202" s="85">
        <v>21</v>
      </c>
      <c r="X202" s="81">
        <v>234036900</v>
      </c>
      <c r="Y202" s="69" t="s">
        <v>79</v>
      </c>
      <c r="Z202" s="87" t="s">
        <v>12</v>
      </c>
      <c r="AA202" s="54" t="s">
        <v>12</v>
      </c>
      <c r="AB202" s="54" t="s">
        <v>12</v>
      </c>
      <c r="AC202" s="54" t="s">
        <v>12</v>
      </c>
      <c r="AD202" s="54" t="s">
        <v>12</v>
      </c>
      <c r="AE202" s="54" t="s">
        <v>12</v>
      </c>
      <c r="AF202" s="54" t="s">
        <v>12</v>
      </c>
      <c r="AG202" s="54" t="s">
        <v>12</v>
      </c>
      <c r="AH202" s="54" t="s">
        <v>12</v>
      </c>
      <c r="AI202" s="54" t="s">
        <v>12</v>
      </c>
      <c r="AJ202" s="54" t="s">
        <v>12</v>
      </c>
      <c r="AK202" s="54" t="s">
        <v>12</v>
      </c>
      <c r="AL202" s="54" t="s">
        <v>12</v>
      </c>
      <c r="AM202" s="54" t="s">
        <v>12</v>
      </c>
      <c r="AN202" s="54" t="s">
        <v>12</v>
      </c>
      <c r="AO202" s="54" t="s">
        <v>12</v>
      </c>
      <c r="AP202" s="54" t="s">
        <v>12</v>
      </c>
      <c r="AQ202" s="54" t="s">
        <v>12</v>
      </c>
      <c r="AR202" s="54" t="s">
        <v>12</v>
      </c>
      <c r="AS202" s="54" t="s">
        <v>12</v>
      </c>
      <c r="AT202" s="54" t="s">
        <v>12</v>
      </c>
      <c r="AU202" s="54" t="s">
        <v>12</v>
      </c>
      <c r="AV202" s="54" t="s">
        <v>12</v>
      </c>
      <c r="AW202" s="54" t="s">
        <v>12</v>
      </c>
      <c r="AX202" s="54" t="s">
        <v>12</v>
      </c>
      <c r="AY202" s="54" t="s">
        <v>12</v>
      </c>
      <c r="AZ202" s="56">
        <v>234036900</v>
      </c>
      <c r="BA202" s="54" t="s">
        <v>12</v>
      </c>
      <c r="BB202" s="54" t="s">
        <v>12</v>
      </c>
      <c r="BC202" s="54" t="s">
        <v>12</v>
      </c>
      <c r="BD202" s="54" t="s">
        <v>12</v>
      </c>
      <c r="BE202" s="54" t="s">
        <v>12</v>
      </c>
      <c r="BF202" s="89" t="s">
        <v>12</v>
      </c>
    </row>
    <row r="203" spans="1:58" x14ac:dyDescent="0.4">
      <c r="A203" s="63">
        <v>44607</v>
      </c>
      <c r="B203" s="53">
        <v>44607.458761180555</v>
      </c>
      <c r="C203" s="54" t="s">
        <v>89</v>
      </c>
      <c r="D203" s="55" t="s">
        <v>74</v>
      </c>
      <c r="E203" s="69" t="s">
        <v>90</v>
      </c>
      <c r="F203" s="73">
        <v>90.35</v>
      </c>
      <c r="G203" s="57">
        <v>70</v>
      </c>
      <c r="H203" s="57">
        <v>100</v>
      </c>
      <c r="I203" s="57">
        <v>88.84</v>
      </c>
      <c r="J203" s="77">
        <v>90.42</v>
      </c>
      <c r="K203" s="81">
        <v>2449000</v>
      </c>
      <c r="L203" s="56">
        <v>3005500</v>
      </c>
      <c r="M203" s="56">
        <v>77</v>
      </c>
      <c r="N203" s="56">
        <v>43</v>
      </c>
      <c r="O203" s="57">
        <v>3.67</v>
      </c>
      <c r="P203" s="56">
        <v>39032</v>
      </c>
      <c r="Q203" s="56">
        <v>143119</v>
      </c>
      <c r="R203" s="56">
        <v>266145</v>
      </c>
      <c r="S203" s="56">
        <v>128895</v>
      </c>
      <c r="T203" s="56">
        <v>259748</v>
      </c>
      <c r="U203" s="77">
        <v>1.23</v>
      </c>
      <c r="V203" s="81">
        <v>21</v>
      </c>
      <c r="W203" s="85">
        <v>19</v>
      </c>
      <c r="X203" s="81">
        <v>221267150</v>
      </c>
      <c r="Y203" s="69" t="s">
        <v>75</v>
      </c>
      <c r="Z203" s="81">
        <v>3026725</v>
      </c>
      <c r="AA203" s="56">
        <v>7318350</v>
      </c>
      <c r="AB203" s="56">
        <v>5556525</v>
      </c>
      <c r="AC203" s="56">
        <v>813150</v>
      </c>
      <c r="AD203" s="56">
        <v>5330650</v>
      </c>
      <c r="AE203" s="54" t="s">
        <v>12</v>
      </c>
      <c r="AF203" s="56">
        <v>3975400</v>
      </c>
      <c r="AG203" s="56">
        <v>2755675</v>
      </c>
      <c r="AH203" s="56">
        <v>10796825</v>
      </c>
      <c r="AI203" s="56">
        <v>26156325</v>
      </c>
      <c r="AJ203" s="56">
        <v>5014425</v>
      </c>
      <c r="AK203" s="56">
        <v>14952925</v>
      </c>
      <c r="AL203" s="56">
        <v>1129375</v>
      </c>
      <c r="AM203" s="56">
        <v>3207425</v>
      </c>
      <c r="AN203" s="56">
        <v>3839875</v>
      </c>
      <c r="AO203" s="56">
        <v>26562900</v>
      </c>
      <c r="AP203" s="56">
        <v>180700</v>
      </c>
      <c r="AQ203" s="56">
        <v>25794925</v>
      </c>
      <c r="AR203" s="56">
        <v>0</v>
      </c>
      <c r="AS203" s="56">
        <v>813150</v>
      </c>
      <c r="AT203" s="56">
        <v>542100</v>
      </c>
      <c r="AU203" s="56">
        <v>677625</v>
      </c>
      <c r="AV203" s="56">
        <v>45310525</v>
      </c>
      <c r="AW203" s="56">
        <v>316225</v>
      </c>
      <c r="AX203" s="56">
        <v>9125350</v>
      </c>
      <c r="AY203" s="56">
        <v>2484625</v>
      </c>
      <c r="AZ203" s="54" t="s">
        <v>12</v>
      </c>
      <c r="BA203" s="56">
        <v>5421000</v>
      </c>
      <c r="BB203" s="56">
        <v>3794700</v>
      </c>
      <c r="BC203" s="56">
        <v>2213575</v>
      </c>
      <c r="BD203" s="56">
        <v>1400425</v>
      </c>
      <c r="BE203" s="56">
        <v>2755675</v>
      </c>
      <c r="BF203" s="89" t="s">
        <v>12</v>
      </c>
    </row>
    <row r="204" spans="1:58" x14ac:dyDescent="0.4">
      <c r="A204" s="63">
        <v>44606</v>
      </c>
      <c r="B204" s="53">
        <v>44606.459077615742</v>
      </c>
      <c r="C204" s="54" t="s">
        <v>89</v>
      </c>
      <c r="D204" s="55" t="s">
        <v>74</v>
      </c>
      <c r="E204" s="69" t="s">
        <v>90</v>
      </c>
      <c r="F204" s="73">
        <v>90.73</v>
      </c>
      <c r="G204" s="57">
        <v>70</v>
      </c>
      <c r="H204" s="57">
        <v>93</v>
      </c>
      <c r="I204" s="57">
        <v>89.86</v>
      </c>
      <c r="J204" s="77">
        <v>90.78</v>
      </c>
      <c r="K204" s="81">
        <v>2449000</v>
      </c>
      <c r="L204" s="56">
        <v>2941000</v>
      </c>
      <c r="M204" s="56">
        <v>62</v>
      </c>
      <c r="N204" s="56">
        <v>34</v>
      </c>
      <c r="O204" s="57">
        <v>3.44</v>
      </c>
      <c r="P204" s="56">
        <v>47435</v>
      </c>
      <c r="Q204" s="56">
        <v>163389</v>
      </c>
      <c r="R204" s="56">
        <v>304863</v>
      </c>
      <c r="S204" s="56">
        <v>174929</v>
      </c>
      <c r="T204" s="56">
        <v>327733</v>
      </c>
      <c r="U204" s="77">
        <v>1.2</v>
      </c>
      <c r="V204" s="81">
        <v>18</v>
      </c>
      <c r="W204" s="85">
        <v>14</v>
      </c>
      <c r="X204" s="81">
        <v>222197770</v>
      </c>
      <c r="Y204" s="69" t="s">
        <v>75</v>
      </c>
      <c r="Z204" s="81">
        <v>3039455</v>
      </c>
      <c r="AA204" s="56">
        <v>7349130</v>
      </c>
      <c r="AB204" s="56">
        <v>5579895</v>
      </c>
      <c r="AC204" s="56">
        <v>816570</v>
      </c>
      <c r="AD204" s="56">
        <v>5353070</v>
      </c>
      <c r="AE204" s="54" t="s">
        <v>12</v>
      </c>
      <c r="AF204" s="56">
        <v>3992120</v>
      </c>
      <c r="AG204" s="56">
        <v>2767265</v>
      </c>
      <c r="AH204" s="56">
        <v>10842235</v>
      </c>
      <c r="AI204" s="56">
        <v>26266335</v>
      </c>
      <c r="AJ204" s="56">
        <v>5035515</v>
      </c>
      <c r="AK204" s="56">
        <v>15015815</v>
      </c>
      <c r="AL204" s="56">
        <v>1134125</v>
      </c>
      <c r="AM204" s="56">
        <v>3220915</v>
      </c>
      <c r="AN204" s="56">
        <v>3856025</v>
      </c>
      <c r="AO204" s="56">
        <v>26674620</v>
      </c>
      <c r="AP204" s="56">
        <v>181460</v>
      </c>
      <c r="AQ204" s="56">
        <v>25903415</v>
      </c>
      <c r="AR204" s="56">
        <v>0</v>
      </c>
      <c r="AS204" s="56">
        <v>816570</v>
      </c>
      <c r="AT204" s="56">
        <v>544380</v>
      </c>
      <c r="AU204" s="56">
        <v>680475</v>
      </c>
      <c r="AV204" s="56">
        <v>45501095</v>
      </c>
      <c r="AW204" s="56">
        <v>317555</v>
      </c>
      <c r="AX204" s="56">
        <v>9163730</v>
      </c>
      <c r="AY204" s="56">
        <v>2495075</v>
      </c>
      <c r="AZ204" s="54" t="s">
        <v>12</v>
      </c>
      <c r="BA204" s="56">
        <v>5443800</v>
      </c>
      <c r="BB204" s="56">
        <v>3810660</v>
      </c>
      <c r="BC204" s="56">
        <v>2222885</v>
      </c>
      <c r="BD204" s="56">
        <v>1406315</v>
      </c>
      <c r="BE204" s="56">
        <v>2767265</v>
      </c>
      <c r="BF204" s="89" t="s">
        <v>12</v>
      </c>
    </row>
    <row r="205" spans="1:58" x14ac:dyDescent="0.4">
      <c r="A205" s="63">
        <v>44603</v>
      </c>
      <c r="B205" s="53">
        <v>44603.458848518516</v>
      </c>
      <c r="C205" s="54" t="s">
        <v>91</v>
      </c>
      <c r="D205" s="55" t="s">
        <v>74</v>
      </c>
      <c r="E205" s="69" t="s">
        <v>90</v>
      </c>
      <c r="F205" s="73">
        <v>89.98</v>
      </c>
      <c r="G205" s="57">
        <v>70</v>
      </c>
      <c r="H205" s="57">
        <v>100</v>
      </c>
      <c r="I205" s="57">
        <v>89.7</v>
      </c>
      <c r="J205" s="77">
        <v>89.78</v>
      </c>
      <c r="K205" s="81">
        <v>1944000</v>
      </c>
      <c r="L205" s="56">
        <v>3015500</v>
      </c>
      <c r="M205" s="56">
        <v>73</v>
      </c>
      <c r="N205" s="56">
        <v>29</v>
      </c>
      <c r="O205" s="57">
        <v>3.17</v>
      </c>
      <c r="P205" s="56">
        <v>41308</v>
      </c>
      <c r="Q205" s="56">
        <v>131109</v>
      </c>
      <c r="R205" s="56">
        <v>200097</v>
      </c>
      <c r="S205" s="56">
        <v>102316</v>
      </c>
      <c r="T205" s="56">
        <v>181382</v>
      </c>
      <c r="U205" s="77">
        <v>1.55</v>
      </c>
      <c r="V205" s="81">
        <v>23</v>
      </c>
      <c r="W205" s="85">
        <v>19</v>
      </c>
      <c r="X205" s="81">
        <v>174921120</v>
      </c>
      <c r="Y205" s="69" t="s">
        <v>77</v>
      </c>
      <c r="Z205" s="87" t="s">
        <v>12</v>
      </c>
      <c r="AA205" s="54" t="s">
        <v>12</v>
      </c>
      <c r="AB205" s="54" t="s">
        <v>12</v>
      </c>
      <c r="AC205" s="54" t="s">
        <v>12</v>
      </c>
      <c r="AD205" s="54" t="s">
        <v>12</v>
      </c>
      <c r="AE205" s="56">
        <v>174921120</v>
      </c>
      <c r="AF205" s="54" t="s">
        <v>12</v>
      </c>
      <c r="AG205" s="54" t="s">
        <v>12</v>
      </c>
      <c r="AH205" s="54" t="s">
        <v>12</v>
      </c>
      <c r="AI205" s="54" t="s">
        <v>12</v>
      </c>
      <c r="AJ205" s="54" t="s">
        <v>12</v>
      </c>
      <c r="AK205" s="54" t="s">
        <v>12</v>
      </c>
      <c r="AL205" s="54" t="s">
        <v>12</v>
      </c>
      <c r="AM205" s="54" t="s">
        <v>12</v>
      </c>
      <c r="AN205" s="54" t="s">
        <v>12</v>
      </c>
      <c r="AO205" s="54" t="s">
        <v>12</v>
      </c>
      <c r="AP205" s="54" t="s">
        <v>12</v>
      </c>
      <c r="AQ205" s="54" t="s">
        <v>12</v>
      </c>
      <c r="AR205" s="54" t="s">
        <v>12</v>
      </c>
      <c r="AS205" s="54" t="s">
        <v>12</v>
      </c>
      <c r="AT205" s="54" t="s">
        <v>12</v>
      </c>
      <c r="AU205" s="54" t="s">
        <v>12</v>
      </c>
      <c r="AV205" s="54" t="s">
        <v>12</v>
      </c>
      <c r="AW205" s="54" t="s">
        <v>12</v>
      </c>
      <c r="AX205" s="54" t="s">
        <v>12</v>
      </c>
      <c r="AY205" s="54" t="s">
        <v>12</v>
      </c>
      <c r="AZ205" s="54" t="s">
        <v>12</v>
      </c>
      <c r="BA205" s="54" t="s">
        <v>12</v>
      </c>
      <c r="BB205" s="54" t="s">
        <v>12</v>
      </c>
      <c r="BC205" s="54" t="s">
        <v>12</v>
      </c>
      <c r="BD205" s="54" t="s">
        <v>12</v>
      </c>
      <c r="BE205" s="54" t="s">
        <v>12</v>
      </c>
      <c r="BF205" s="89" t="s">
        <v>12</v>
      </c>
    </row>
    <row r="206" spans="1:58" x14ac:dyDescent="0.4">
      <c r="A206" s="63">
        <v>44602</v>
      </c>
      <c r="B206" s="53">
        <v>44602.458858078702</v>
      </c>
      <c r="C206" s="54" t="s">
        <v>89</v>
      </c>
      <c r="D206" s="55" t="s">
        <v>74</v>
      </c>
      <c r="E206" s="69" t="s">
        <v>90</v>
      </c>
      <c r="F206" s="73">
        <v>90.6</v>
      </c>
      <c r="G206" s="57">
        <v>70</v>
      </c>
      <c r="H206" s="57">
        <v>100</v>
      </c>
      <c r="I206" s="57">
        <v>90.42</v>
      </c>
      <c r="J206" s="77">
        <v>90.79</v>
      </c>
      <c r="K206" s="81">
        <v>3059000</v>
      </c>
      <c r="L206" s="56">
        <v>3742000</v>
      </c>
      <c r="M206" s="56">
        <v>76</v>
      </c>
      <c r="N206" s="56">
        <v>44</v>
      </c>
      <c r="O206" s="57">
        <v>3.17</v>
      </c>
      <c r="P206" s="56">
        <v>49237</v>
      </c>
      <c r="Q206" s="56">
        <v>155917</v>
      </c>
      <c r="R206" s="56">
        <v>227190</v>
      </c>
      <c r="S206" s="56">
        <v>133000</v>
      </c>
      <c r="T206" s="56">
        <v>194682</v>
      </c>
      <c r="U206" s="77">
        <v>1.22</v>
      </c>
      <c r="V206" s="81">
        <v>24</v>
      </c>
      <c r="W206" s="85">
        <v>23</v>
      </c>
      <c r="X206" s="81">
        <v>277145400</v>
      </c>
      <c r="Y206" s="69" t="s">
        <v>75</v>
      </c>
      <c r="Z206" s="81">
        <v>3759900</v>
      </c>
      <c r="AA206" s="56">
        <v>9241200</v>
      </c>
      <c r="AB206" s="56">
        <v>6930900</v>
      </c>
      <c r="AC206" s="56">
        <v>951300</v>
      </c>
      <c r="AD206" s="56">
        <v>6749700</v>
      </c>
      <c r="AE206" s="54" t="s">
        <v>12</v>
      </c>
      <c r="AF206" s="56">
        <v>4983000</v>
      </c>
      <c r="AG206" s="56">
        <v>3488100</v>
      </c>
      <c r="AH206" s="56">
        <v>13499400</v>
      </c>
      <c r="AI206" s="56">
        <v>32751900</v>
      </c>
      <c r="AJ206" s="56">
        <v>6251400</v>
      </c>
      <c r="AK206" s="56">
        <v>18708900</v>
      </c>
      <c r="AL206" s="56">
        <v>1449600</v>
      </c>
      <c r="AM206" s="56">
        <v>3986400</v>
      </c>
      <c r="AN206" s="56">
        <v>4847100</v>
      </c>
      <c r="AO206" s="56">
        <v>33295500</v>
      </c>
      <c r="AP206" s="56">
        <v>226500</v>
      </c>
      <c r="AQ206" s="56">
        <v>32298900</v>
      </c>
      <c r="AR206" s="56">
        <v>0</v>
      </c>
      <c r="AS206" s="56">
        <v>951300</v>
      </c>
      <c r="AT206" s="56">
        <v>679500</v>
      </c>
      <c r="AU206" s="56">
        <v>815400</v>
      </c>
      <c r="AV206" s="56">
        <v>56760900</v>
      </c>
      <c r="AW206" s="56">
        <v>362400</v>
      </c>
      <c r="AX206" s="56">
        <v>11506200</v>
      </c>
      <c r="AY206" s="56">
        <v>3080400</v>
      </c>
      <c r="AZ206" s="54" t="s">
        <v>12</v>
      </c>
      <c r="BA206" s="56">
        <v>6795000</v>
      </c>
      <c r="BB206" s="56">
        <v>4756500</v>
      </c>
      <c r="BC206" s="56">
        <v>2808600</v>
      </c>
      <c r="BD206" s="56">
        <v>1721400</v>
      </c>
      <c r="BE206" s="56">
        <v>3488100</v>
      </c>
      <c r="BF206" s="89" t="s">
        <v>12</v>
      </c>
    </row>
    <row r="207" spans="1:58" x14ac:dyDescent="0.4">
      <c r="A207" s="63">
        <v>44601</v>
      </c>
      <c r="B207" s="53">
        <v>44601.45900826389</v>
      </c>
      <c r="C207" s="54" t="s">
        <v>93</v>
      </c>
      <c r="D207" s="55" t="s">
        <v>81</v>
      </c>
      <c r="E207" s="69" t="s">
        <v>90</v>
      </c>
      <c r="F207" s="73">
        <v>96.53</v>
      </c>
      <c r="G207" s="57">
        <v>94.5</v>
      </c>
      <c r="H207" s="57">
        <v>99</v>
      </c>
      <c r="I207" s="57">
        <v>96.46</v>
      </c>
      <c r="J207" s="77">
        <v>96.46</v>
      </c>
      <c r="K207" s="81">
        <v>600000</v>
      </c>
      <c r="L207" s="56">
        <v>1130500</v>
      </c>
      <c r="M207" s="56">
        <v>24</v>
      </c>
      <c r="N207" s="56">
        <v>10</v>
      </c>
      <c r="O207" s="57">
        <v>3.43</v>
      </c>
      <c r="P207" s="56">
        <v>47104</v>
      </c>
      <c r="Q207" s="56">
        <v>161500</v>
      </c>
      <c r="R207" s="56">
        <v>215120</v>
      </c>
      <c r="S207" s="56">
        <v>100000</v>
      </c>
      <c r="T207" s="56">
        <v>127577</v>
      </c>
      <c r="U207" s="77">
        <v>1.88</v>
      </c>
      <c r="V207" s="81">
        <v>7</v>
      </c>
      <c r="W207" s="85">
        <v>6</v>
      </c>
      <c r="X207" s="81">
        <v>57918000</v>
      </c>
      <c r="Y207" s="69" t="s">
        <v>75</v>
      </c>
      <c r="Z207" s="81">
        <v>1496215</v>
      </c>
      <c r="AA207" s="56">
        <v>2075395</v>
      </c>
      <c r="AB207" s="56">
        <v>675710</v>
      </c>
      <c r="AC207" s="56">
        <v>482650</v>
      </c>
      <c r="AD207" s="56">
        <v>723975</v>
      </c>
      <c r="AE207" s="54" t="s">
        <v>12</v>
      </c>
      <c r="AF207" s="56">
        <v>1834070</v>
      </c>
      <c r="AG207" s="56">
        <v>193060</v>
      </c>
      <c r="AH207" s="56">
        <v>3716405</v>
      </c>
      <c r="AI207" s="56">
        <v>10618300</v>
      </c>
      <c r="AJ207" s="56">
        <v>1544480</v>
      </c>
      <c r="AK207" s="56">
        <v>8060255</v>
      </c>
      <c r="AL207" s="56">
        <v>530915</v>
      </c>
      <c r="AM207" s="56">
        <v>675710</v>
      </c>
      <c r="AN207" s="56">
        <v>1399685</v>
      </c>
      <c r="AO207" s="54" t="s">
        <v>12</v>
      </c>
      <c r="AP207" s="56">
        <v>675710</v>
      </c>
      <c r="AQ207" s="56">
        <v>8784230</v>
      </c>
      <c r="AR207" s="56">
        <v>0</v>
      </c>
      <c r="AS207" s="56">
        <v>337855</v>
      </c>
      <c r="AT207" s="56">
        <v>241325</v>
      </c>
      <c r="AU207" s="56">
        <v>386120</v>
      </c>
      <c r="AV207" s="54" t="s">
        <v>12</v>
      </c>
      <c r="AW207" s="56">
        <v>434385</v>
      </c>
      <c r="AX207" s="56">
        <v>3040695</v>
      </c>
      <c r="AY207" s="56">
        <v>2992430</v>
      </c>
      <c r="AZ207" s="54" t="s">
        <v>12</v>
      </c>
      <c r="BA207" s="56">
        <v>2799370</v>
      </c>
      <c r="BB207" s="56">
        <v>1351420</v>
      </c>
      <c r="BC207" s="56">
        <v>2654575</v>
      </c>
      <c r="BD207" s="56">
        <v>96530</v>
      </c>
      <c r="BE207" s="56">
        <v>96530</v>
      </c>
      <c r="BF207" s="89" t="s">
        <v>12</v>
      </c>
    </row>
    <row r="208" spans="1:58" x14ac:dyDescent="0.4">
      <c r="A208" s="63">
        <v>44600</v>
      </c>
      <c r="B208" s="53">
        <v>44600.458877280093</v>
      </c>
      <c r="C208" s="54" t="s">
        <v>89</v>
      </c>
      <c r="D208" s="55" t="s">
        <v>74</v>
      </c>
      <c r="E208" s="69" t="s">
        <v>90</v>
      </c>
      <c r="F208" s="73">
        <v>97.51</v>
      </c>
      <c r="G208" s="57">
        <v>75</v>
      </c>
      <c r="H208" s="57">
        <v>102</v>
      </c>
      <c r="I208" s="57">
        <v>96.92</v>
      </c>
      <c r="J208" s="77">
        <v>97.34</v>
      </c>
      <c r="K208" s="81">
        <v>3062000</v>
      </c>
      <c r="L208" s="56">
        <v>4735500</v>
      </c>
      <c r="M208" s="56">
        <v>91</v>
      </c>
      <c r="N208" s="56">
        <v>34</v>
      </c>
      <c r="O208" s="57">
        <v>3.5</v>
      </c>
      <c r="P208" s="56">
        <v>52038</v>
      </c>
      <c r="Q208" s="56">
        <v>182135</v>
      </c>
      <c r="R208" s="56">
        <v>285232</v>
      </c>
      <c r="S208" s="56">
        <v>153100</v>
      </c>
      <c r="T208" s="56">
        <v>214454</v>
      </c>
      <c r="U208" s="77">
        <v>1.55</v>
      </c>
      <c r="V208" s="81">
        <v>26</v>
      </c>
      <c r="W208" s="85">
        <v>20</v>
      </c>
      <c r="X208" s="81">
        <v>298575620</v>
      </c>
      <c r="Y208" s="69" t="s">
        <v>75</v>
      </c>
      <c r="Z208" s="81">
        <v>4095420</v>
      </c>
      <c r="AA208" s="56">
        <v>9848510</v>
      </c>
      <c r="AB208" s="56">
        <v>7508270</v>
      </c>
      <c r="AC208" s="56">
        <v>1121365</v>
      </c>
      <c r="AD208" s="56">
        <v>7166985</v>
      </c>
      <c r="AE208" s="54" t="s">
        <v>12</v>
      </c>
      <c r="AF208" s="56">
        <v>5363050</v>
      </c>
      <c r="AG208" s="56">
        <v>3705380</v>
      </c>
      <c r="AH208" s="56">
        <v>14577745</v>
      </c>
      <c r="AI208" s="56">
        <v>35298620</v>
      </c>
      <c r="AJ208" s="56">
        <v>6776945</v>
      </c>
      <c r="AK208" s="56">
        <v>20184570</v>
      </c>
      <c r="AL208" s="56">
        <v>1511405</v>
      </c>
      <c r="AM208" s="56">
        <v>4339195</v>
      </c>
      <c r="AN208" s="56">
        <v>5168030</v>
      </c>
      <c r="AO208" s="56">
        <v>35834925</v>
      </c>
      <c r="AP208" s="56">
        <v>243775</v>
      </c>
      <c r="AQ208" s="56">
        <v>34811070</v>
      </c>
      <c r="AR208" s="56">
        <v>0</v>
      </c>
      <c r="AS208" s="56">
        <v>1121365</v>
      </c>
      <c r="AT208" s="56">
        <v>731325</v>
      </c>
      <c r="AU208" s="56">
        <v>926345</v>
      </c>
      <c r="AV208" s="56">
        <v>61138770</v>
      </c>
      <c r="AW208" s="56">
        <v>438795</v>
      </c>
      <c r="AX208" s="56">
        <v>12286260</v>
      </c>
      <c r="AY208" s="56">
        <v>3364095</v>
      </c>
      <c r="AZ208" s="54" t="s">
        <v>12</v>
      </c>
      <c r="BA208" s="56">
        <v>7313250</v>
      </c>
      <c r="BB208" s="56">
        <v>5119275</v>
      </c>
      <c r="BC208" s="56">
        <v>2974055</v>
      </c>
      <c r="BD208" s="56">
        <v>1901445</v>
      </c>
      <c r="BE208" s="56">
        <v>3705380</v>
      </c>
      <c r="BF208" s="89" t="s">
        <v>12</v>
      </c>
    </row>
    <row r="209" spans="1:58" x14ac:dyDescent="0.4">
      <c r="A209" s="63">
        <v>44599</v>
      </c>
      <c r="B209" s="53">
        <v>44599.45905597222</v>
      </c>
      <c r="C209" s="54" t="s">
        <v>89</v>
      </c>
      <c r="D209" s="55" t="s">
        <v>74</v>
      </c>
      <c r="E209" s="69" t="s">
        <v>90</v>
      </c>
      <c r="F209" s="73">
        <v>93.5</v>
      </c>
      <c r="G209" s="57">
        <v>80</v>
      </c>
      <c r="H209" s="57">
        <v>99</v>
      </c>
      <c r="I209" s="57">
        <v>93.3</v>
      </c>
      <c r="J209" s="77">
        <v>93.45</v>
      </c>
      <c r="K209" s="81">
        <v>3062000</v>
      </c>
      <c r="L209" s="56">
        <v>4206500</v>
      </c>
      <c r="M209" s="56">
        <v>79</v>
      </c>
      <c r="N209" s="56">
        <v>39</v>
      </c>
      <c r="O209" s="57">
        <v>3.29</v>
      </c>
      <c r="P209" s="56">
        <v>53247</v>
      </c>
      <c r="Q209" s="56">
        <v>175271</v>
      </c>
      <c r="R209" s="56">
        <v>332899</v>
      </c>
      <c r="S209" s="56">
        <v>153100</v>
      </c>
      <c r="T209" s="56">
        <v>317521</v>
      </c>
      <c r="U209" s="77">
        <v>1.37</v>
      </c>
      <c r="V209" s="81">
        <v>24</v>
      </c>
      <c r="W209" s="85">
        <v>20</v>
      </c>
      <c r="X209" s="81">
        <v>286297000</v>
      </c>
      <c r="Y209" s="69" t="s">
        <v>75</v>
      </c>
      <c r="Z209" s="81">
        <v>3927000</v>
      </c>
      <c r="AA209" s="56">
        <v>9443500</v>
      </c>
      <c r="AB209" s="56">
        <v>7199500</v>
      </c>
      <c r="AC209" s="56">
        <v>1075250</v>
      </c>
      <c r="AD209" s="56">
        <v>6872250</v>
      </c>
      <c r="AE209" s="54" t="s">
        <v>12</v>
      </c>
      <c r="AF209" s="56">
        <v>5142500</v>
      </c>
      <c r="AG209" s="56">
        <v>3553000</v>
      </c>
      <c r="AH209" s="56">
        <v>13978250</v>
      </c>
      <c r="AI209" s="56">
        <v>33847000</v>
      </c>
      <c r="AJ209" s="56">
        <v>6498250</v>
      </c>
      <c r="AK209" s="56">
        <v>19354500</v>
      </c>
      <c r="AL209" s="56">
        <v>1449250</v>
      </c>
      <c r="AM209" s="56">
        <v>4160750</v>
      </c>
      <c r="AN209" s="56">
        <v>4955500</v>
      </c>
      <c r="AO209" s="56">
        <v>34361250</v>
      </c>
      <c r="AP209" s="56">
        <v>233750</v>
      </c>
      <c r="AQ209" s="56">
        <v>33379500</v>
      </c>
      <c r="AR209" s="56">
        <v>0</v>
      </c>
      <c r="AS209" s="56">
        <v>1075250</v>
      </c>
      <c r="AT209" s="56">
        <v>701250</v>
      </c>
      <c r="AU209" s="56">
        <v>888250</v>
      </c>
      <c r="AV209" s="56">
        <v>58624500</v>
      </c>
      <c r="AW209" s="56">
        <v>420750</v>
      </c>
      <c r="AX209" s="56">
        <v>11781000</v>
      </c>
      <c r="AY209" s="56">
        <v>3225750</v>
      </c>
      <c r="AZ209" s="54" t="s">
        <v>12</v>
      </c>
      <c r="BA209" s="56">
        <v>7012500</v>
      </c>
      <c r="BB209" s="56">
        <v>4908750</v>
      </c>
      <c r="BC209" s="56">
        <v>2851750</v>
      </c>
      <c r="BD209" s="56">
        <v>1823250</v>
      </c>
      <c r="BE209" s="56">
        <v>3553000</v>
      </c>
      <c r="BF209" s="89" t="s">
        <v>12</v>
      </c>
    </row>
    <row r="210" spans="1:58" x14ac:dyDescent="0.4">
      <c r="A210" s="63">
        <v>44596</v>
      </c>
      <c r="B210" s="53">
        <v>44596.458977511575</v>
      </c>
      <c r="C210" s="54" t="s">
        <v>91</v>
      </c>
      <c r="D210" s="55" t="s">
        <v>74</v>
      </c>
      <c r="E210" s="69" t="s">
        <v>90</v>
      </c>
      <c r="F210" s="73">
        <v>94.65</v>
      </c>
      <c r="G210" s="57">
        <v>75</v>
      </c>
      <c r="H210" s="57">
        <v>99</v>
      </c>
      <c r="I210" s="57">
        <v>92.46</v>
      </c>
      <c r="J210" s="77">
        <v>94.38</v>
      </c>
      <c r="K210" s="81">
        <v>1944000</v>
      </c>
      <c r="L210" s="56">
        <v>3665000</v>
      </c>
      <c r="M210" s="56">
        <v>77</v>
      </c>
      <c r="N210" s="56">
        <v>20</v>
      </c>
      <c r="O210" s="57">
        <v>3.85</v>
      </c>
      <c r="P210" s="56">
        <v>47597</v>
      </c>
      <c r="Q210" s="56">
        <v>183250</v>
      </c>
      <c r="R210" s="56">
        <v>231091</v>
      </c>
      <c r="S210" s="56">
        <v>162000</v>
      </c>
      <c r="T210" s="56">
        <v>236327</v>
      </c>
      <c r="U210" s="77">
        <v>1.89</v>
      </c>
      <c r="V210" s="81">
        <v>20</v>
      </c>
      <c r="W210" s="85">
        <v>12</v>
      </c>
      <c r="X210" s="81">
        <v>183999600</v>
      </c>
      <c r="Y210" s="69" t="s">
        <v>77</v>
      </c>
      <c r="Z210" s="87" t="s">
        <v>12</v>
      </c>
      <c r="AA210" s="54" t="s">
        <v>12</v>
      </c>
      <c r="AB210" s="54" t="s">
        <v>12</v>
      </c>
      <c r="AC210" s="54" t="s">
        <v>12</v>
      </c>
      <c r="AD210" s="54" t="s">
        <v>12</v>
      </c>
      <c r="AE210" s="56">
        <v>183999600</v>
      </c>
      <c r="AF210" s="54" t="s">
        <v>12</v>
      </c>
      <c r="AG210" s="54" t="s">
        <v>12</v>
      </c>
      <c r="AH210" s="54" t="s">
        <v>12</v>
      </c>
      <c r="AI210" s="54" t="s">
        <v>12</v>
      </c>
      <c r="AJ210" s="54" t="s">
        <v>12</v>
      </c>
      <c r="AK210" s="54" t="s">
        <v>12</v>
      </c>
      <c r="AL210" s="54" t="s">
        <v>12</v>
      </c>
      <c r="AM210" s="54" t="s">
        <v>12</v>
      </c>
      <c r="AN210" s="54" t="s">
        <v>12</v>
      </c>
      <c r="AO210" s="54" t="s">
        <v>12</v>
      </c>
      <c r="AP210" s="54" t="s">
        <v>12</v>
      </c>
      <c r="AQ210" s="54" t="s">
        <v>12</v>
      </c>
      <c r="AR210" s="54" t="s">
        <v>12</v>
      </c>
      <c r="AS210" s="54" t="s">
        <v>12</v>
      </c>
      <c r="AT210" s="54" t="s">
        <v>12</v>
      </c>
      <c r="AU210" s="54" t="s">
        <v>12</v>
      </c>
      <c r="AV210" s="54" t="s">
        <v>12</v>
      </c>
      <c r="AW210" s="54" t="s">
        <v>12</v>
      </c>
      <c r="AX210" s="54" t="s">
        <v>12</v>
      </c>
      <c r="AY210" s="54" t="s">
        <v>12</v>
      </c>
      <c r="AZ210" s="54" t="s">
        <v>12</v>
      </c>
      <c r="BA210" s="54" t="s">
        <v>12</v>
      </c>
      <c r="BB210" s="54" t="s">
        <v>12</v>
      </c>
      <c r="BC210" s="54" t="s">
        <v>12</v>
      </c>
      <c r="BD210" s="54" t="s">
        <v>12</v>
      </c>
      <c r="BE210" s="54" t="s">
        <v>12</v>
      </c>
      <c r="BF210" s="89" t="s">
        <v>12</v>
      </c>
    </row>
    <row r="211" spans="1:58" x14ac:dyDescent="0.4">
      <c r="A211" s="63">
        <v>44595</v>
      </c>
      <c r="B211" s="53">
        <v>44595.459099872685</v>
      </c>
      <c r="C211" s="54" t="s">
        <v>89</v>
      </c>
      <c r="D211" s="55" t="s">
        <v>74</v>
      </c>
      <c r="E211" s="69" t="s">
        <v>90</v>
      </c>
      <c r="F211" s="73">
        <v>92.65</v>
      </c>
      <c r="G211" s="57">
        <v>88</v>
      </c>
      <c r="H211" s="57">
        <v>96.5</v>
      </c>
      <c r="I211" s="57">
        <v>93.15</v>
      </c>
      <c r="J211" s="77">
        <v>93</v>
      </c>
      <c r="K211" s="81">
        <v>3062000</v>
      </c>
      <c r="L211" s="56">
        <v>3552500</v>
      </c>
      <c r="M211" s="56">
        <v>78</v>
      </c>
      <c r="N211" s="56">
        <v>60</v>
      </c>
      <c r="O211" s="57">
        <v>3.55</v>
      </c>
      <c r="P211" s="56">
        <v>45545</v>
      </c>
      <c r="Q211" s="56">
        <v>161477</v>
      </c>
      <c r="R211" s="56">
        <v>227003</v>
      </c>
      <c r="S211" s="56">
        <v>145810</v>
      </c>
      <c r="T211" s="56">
        <v>215070</v>
      </c>
      <c r="U211" s="77">
        <v>1.1599999999999999</v>
      </c>
      <c r="V211" s="81">
        <v>22</v>
      </c>
      <c r="W211" s="85">
        <v>21</v>
      </c>
      <c r="X211" s="81">
        <v>283694300</v>
      </c>
      <c r="Y211" s="69" t="s">
        <v>75</v>
      </c>
      <c r="Z211" s="81">
        <v>3891300</v>
      </c>
      <c r="AA211" s="56">
        <v>9357650</v>
      </c>
      <c r="AB211" s="56">
        <v>7134050</v>
      </c>
      <c r="AC211" s="56">
        <v>1065475</v>
      </c>
      <c r="AD211" s="56">
        <v>6809775</v>
      </c>
      <c r="AE211" s="54" t="s">
        <v>12</v>
      </c>
      <c r="AF211" s="56">
        <v>5095750</v>
      </c>
      <c r="AG211" s="56">
        <v>3520700</v>
      </c>
      <c r="AH211" s="56">
        <v>13851175</v>
      </c>
      <c r="AI211" s="56">
        <v>33539300</v>
      </c>
      <c r="AJ211" s="56">
        <v>6439175</v>
      </c>
      <c r="AK211" s="56">
        <v>19178550</v>
      </c>
      <c r="AL211" s="56">
        <v>1436075</v>
      </c>
      <c r="AM211" s="56">
        <v>4122925</v>
      </c>
      <c r="AN211" s="56">
        <v>4910450</v>
      </c>
      <c r="AO211" s="56">
        <v>34048875</v>
      </c>
      <c r="AP211" s="56">
        <v>231625</v>
      </c>
      <c r="AQ211" s="56">
        <v>33076050</v>
      </c>
      <c r="AR211" s="56">
        <v>0</v>
      </c>
      <c r="AS211" s="56">
        <v>1065475</v>
      </c>
      <c r="AT211" s="56">
        <v>694875</v>
      </c>
      <c r="AU211" s="56">
        <v>880175</v>
      </c>
      <c r="AV211" s="56">
        <v>58091550</v>
      </c>
      <c r="AW211" s="56">
        <v>416925</v>
      </c>
      <c r="AX211" s="56">
        <v>11673900</v>
      </c>
      <c r="AY211" s="56">
        <v>3196425</v>
      </c>
      <c r="AZ211" s="54" t="s">
        <v>12</v>
      </c>
      <c r="BA211" s="56">
        <v>6948750</v>
      </c>
      <c r="BB211" s="56">
        <v>4864125</v>
      </c>
      <c r="BC211" s="56">
        <v>2825825</v>
      </c>
      <c r="BD211" s="56">
        <v>1806675</v>
      </c>
      <c r="BE211" s="56">
        <v>3520700</v>
      </c>
      <c r="BF211" s="89" t="s">
        <v>12</v>
      </c>
    </row>
    <row r="212" spans="1:58" x14ac:dyDescent="0.4">
      <c r="A212" s="63">
        <v>44594</v>
      </c>
      <c r="B212" s="53">
        <v>44594.458823657405</v>
      </c>
      <c r="C212" s="54" t="s">
        <v>92</v>
      </c>
      <c r="D212" s="55" t="s">
        <v>74</v>
      </c>
      <c r="E212" s="69" t="s">
        <v>90</v>
      </c>
      <c r="F212" s="73">
        <v>91.61</v>
      </c>
      <c r="G212" s="57">
        <v>75</v>
      </c>
      <c r="H212" s="57">
        <v>120</v>
      </c>
      <c r="I212" s="57">
        <v>91.91</v>
      </c>
      <c r="J212" s="77">
        <v>91.81</v>
      </c>
      <c r="K212" s="81">
        <v>2658000</v>
      </c>
      <c r="L212" s="56">
        <v>2991500</v>
      </c>
      <c r="M212" s="56">
        <v>71</v>
      </c>
      <c r="N212" s="56">
        <v>54</v>
      </c>
      <c r="O212" s="57">
        <v>2.84</v>
      </c>
      <c r="P212" s="56">
        <v>42134</v>
      </c>
      <c r="Q212" s="56">
        <v>119660</v>
      </c>
      <c r="R212" s="56">
        <v>169477</v>
      </c>
      <c r="S212" s="56">
        <v>115565</v>
      </c>
      <c r="T212" s="56">
        <v>167612</v>
      </c>
      <c r="U212" s="77">
        <v>1.1299999999999999</v>
      </c>
      <c r="V212" s="81">
        <v>25</v>
      </c>
      <c r="W212" s="85">
        <v>23</v>
      </c>
      <c r="X212" s="81">
        <v>243499380</v>
      </c>
      <c r="Y212" s="69" t="s">
        <v>79</v>
      </c>
      <c r="Z212" s="87" t="s">
        <v>12</v>
      </c>
      <c r="AA212" s="54" t="s">
        <v>12</v>
      </c>
      <c r="AB212" s="54" t="s">
        <v>12</v>
      </c>
      <c r="AC212" s="54" t="s">
        <v>12</v>
      </c>
      <c r="AD212" s="54" t="s">
        <v>12</v>
      </c>
      <c r="AE212" s="54" t="s">
        <v>12</v>
      </c>
      <c r="AF212" s="54" t="s">
        <v>12</v>
      </c>
      <c r="AG212" s="54" t="s">
        <v>12</v>
      </c>
      <c r="AH212" s="54" t="s">
        <v>12</v>
      </c>
      <c r="AI212" s="54" t="s">
        <v>12</v>
      </c>
      <c r="AJ212" s="54" t="s">
        <v>12</v>
      </c>
      <c r="AK212" s="54" t="s">
        <v>12</v>
      </c>
      <c r="AL212" s="54" t="s">
        <v>12</v>
      </c>
      <c r="AM212" s="54" t="s">
        <v>12</v>
      </c>
      <c r="AN212" s="54" t="s">
        <v>12</v>
      </c>
      <c r="AO212" s="54" t="s">
        <v>12</v>
      </c>
      <c r="AP212" s="54" t="s">
        <v>12</v>
      </c>
      <c r="AQ212" s="54" t="s">
        <v>12</v>
      </c>
      <c r="AR212" s="54" t="s">
        <v>12</v>
      </c>
      <c r="AS212" s="54" t="s">
        <v>12</v>
      </c>
      <c r="AT212" s="54" t="s">
        <v>12</v>
      </c>
      <c r="AU212" s="54" t="s">
        <v>12</v>
      </c>
      <c r="AV212" s="54" t="s">
        <v>12</v>
      </c>
      <c r="AW212" s="54" t="s">
        <v>12</v>
      </c>
      <c r="AX212" s="54" t="s">
        <v>12</v>
      </c>
      <c r="AY212" s="54" t="s">
        <v>12</v>
      </c>
      <c r="AZ212" s="56">
        <v>243499380</v>
      </c>
      <c r="BA212" s="54" t="s">
        <v>12</v>
      </c>
      <c r="BB212" s="54" t="s">
        <v>12</v>
      </c>
      <c r="BC212" s="54" t="s">
        <v>12</v>
      </c>
      <c r="BD212" s="54" t="s">
        <v>12</v>
      </c>
      <c r="BE212" s="54" t="s">
        <v>12</v>
      </c>
      <c r="BF212" s="89" t="s">
        <v>12</v>
      </c>
    </row>
    <row r="213" spans="1:58" x14ac:dyDescent="0.4">
      <c r="A213" s="63">
        <v>44593</v>
      </c>
      <c r="B213" s="53">
        <v>44593.486748449075</v>
      </c>
      <c r="C213" s="54" t="s">
        <v>89</v>
      </c>
      <c r="D213" s="55" t="s">
        <v>74</v>
      </c>
      <c r="E213" s="69" t="s">
        <v>97</v>
      </c>
      <c r="F213" s="73"/>
      <c r="G213" s="57"/>
      <c r="H213" s="57"/>
      <c r="I213" s="57"/>
      <c r="J213" s="77"/>
      <c r="K213" s="81">
        <v>2449000</v>
      </c>
      <c r="L213" s="56">
        <v>1242500</v>
      </c>
      <c r="M213" s="56">
        <v>25</v>
      </c>
      <c r="N213" s="56">
        <v>0</v>
      </c>
      <c r="O213" s="57">
        <v>2.78</v>
      </c>
      <c r="P213" s="56">
        <v>49700</v>
      </c>
      <c r="Q213" s="56">
        <v>138056</v>
      </c>
      <c r="R213" s="56">
        <v>209034</v>
      </c>
      <c r="S213" s="56"/>
      <c r="T213" s="56"/>
      <c r="U213" s="77">
        <v>0.51</v>
      </c>
      <c r="V213" s="81">
        <v>9</v>
      </c>
      <c r="W213" s="85">
        <v>0</v>
      </c>
      <c r="X213" s="81"/>
      <c r="Y213" s="69" t="s">
        <v>75</v>
      </c>
      <c r="Z213" s="87" t="s">
        <v>12</v>
      </c>
      <c r="AA213" s="54" t="s">
        <v>12</v>
      </c>
      <c r="AB213" s="54" t="s">
        <v>12</v>
      </c>
      <c r="AC213" s="54" t="s">
        <v>12</v>
      </c>
      <c r="AD213" s="54" t="s">
        <v>12</v>
      </c>
      <c r="AE213" s="54" t="s">
        <v>12</v>
      </c>
      <c r="AF213" s="54" t="s">
        <v>12</v>
      </c>
      <c r="AG213" s="54" t="s">
        <v>12</v>
      </c>
      <c r="AH213" s="54" t="s">
        <v>12</v>
      </c>
      <c r="AI213" s="54" t="s">
        <v>12</v>
      </c>
      <c r="AJ213" s="54" t="s">
        <v>12</v>
      </c>
      <c r="AK213" s="54" t="s">
        <v>12</v>
      </c>
      <c r="AL213" s="54" t="s">
        <v>12</v>
      </c>
      <c r="AM213" s="54" t="s">
        <v>12</v>
      </c>
      <c r="AN213" s="54" t="s">
        <v>12</v>
      </c>
      <c r="AO213" s="54" t="s">
        <v>12</v>
      </c>
      <c r="AP213" s="54" t="s">
        <v>12</v>
      </c>
      <c r="AQ213" s="54" t="s">
        <v>12</v>
      </c>
      <c r="AR213" s="54" t="s">
        <v>12</v>
      </c>
      <c r="AS213" s="54" t="s">
        <v>12</v>
      </c>
      <c r="AT213" s="54" t="s">
        <v>12</v>
      </c>
      <c r="AU213" s="54" t="s">
        <v>12</v>
      </c>
      <c r="AV213" s="54" t="s">
        <v>12</v>
      </c>
      <c r="AW213" s="54" t="s">
        <v>12</v>
      </c>
      <c r="AX213" s="54" t="s">
        <v>12</v>
      </c>
      <c r="AY213" s="54" t="s">
        <v>12</v>
      </c>
      <c r="AZ213" s="54" t="s">
        <v>12</v>
      </c>
      <c r="BA213" s="54" t="s">
        <v>12</v>
      </c>
      <c r="BB213" s="54" t="s">
        <v>12</v>
      </c>
      <c r="BC213" s="54" t="s">
        <v>12</v>
      </c>
      <c r="BD213" s="54" t="s">
        <v>12</v>
      </c>
      <c r="BE213" s="54" t="s">
        <v>12</v>
      </c>
      <c r="BF213" s="89" t="s">
        <v>12</v>
      </c>
    </row>
    <row r="214" spans="1:58" x14ac:dyDescent="0.4">
      <c r="A214" s="63">
        <v>44592</v>
      </c>
      <c r="B214" s="53">
        <v>44592.458921516205</v>
      </c>
      <c r="C214" s="54" t="s">
        <v>89</v>
      </c>
      <c r="D214" s="55" t="s">
        <v>74</v>
      </c>
      <c r="E214" s="69" t="s">
        <v>90</v>
      </c>
      <c r="F214" s="73">
        <v>88.03</v>
      </c>
      <c r="G214" s="57">
        <v>80</v>
      </c>
      <c r="H214" s="57">
        <v>95</v>
      </c>
      <c r="I214" s="57">
        <v>88.31</v>
      </c>
      <c r="J214" s="77">
        <v>88.19</v>
      </c>
      <c r="K214" s="81">
        <v>2449000</v>
      </c>
      <c r="L214" s="56">
        <v>2920500</v>
      </c>
      <c r="M214" s="56">
        <v>65</v>
      </c>
      <c r="N214" s="56">
        <v>44</v>
      </c>
      <c r="O214" s="57">
        <v>2.6</v>
      </c>
      <c r="P214" s="56">
        <v>44931</v>
      </c>
      <c r="Q214" s="56">
        <v>116820</v>
      </c>
      <c r="R214" s="56">
        <v>181902</v>
      </c>
      <c r="S214" s="56">
        <v>111318</v>
      </c>
      <c r="T214" s="56">
        <v>181664</v>
      </c>
      <c r="U214" s="77">
        <v>1.19</v>
      </c>
      <c r="V214" s="81">
        <v>25</v>
      </c>
      <c r="W214" s="85">
        <v>22</v>
      </c>
      <c r="X214" s="81">
        <v>215585470</v>
      </c>
      <c r="Y214" s="69" t="s">
        <v>75</v>
      </c>
      <c r="Z214" s="81">
        <v>2949005</v>
      </c>
      <c r="AA214" s="56">
        <v>7130430</v>
      </c>
      <c r="AB214" s="56">
        <v>5413845</v>
      </c>
      <c r="AC214" s="56">
        <v>792270</v>
      </c>
      <c r="AD214" s="56">
        <v>5193770</v>
      </c>
      <c r="AE214" s="54" t="s">
        <v>12</v>
      </c>
      <c r="AF214" s="56">
        <v>3873320</v>
      </c>
      <c r="AG214" s="56">
        <v>2684915</v>
      </c>
      <c r="AH214" s="56">
        <v>10519585</v>
      </c>
      <c r="AI214" s="56">
        <v>25484685</v>
      </c>
      <c r="AJ214" s="56">
        <v>4885665</v>
      </c>
      <c r="AK214" s="56">
        <v>14568965</v>
      </c>
      <c r="AL214" s="56">
        <v>1100375</v>
      </c>
      <c r="AM214" s="56">
        <v>3125065</v>
      </c>
      <c r="AN214" s="56">
        <v>3741275</v>
      </c>
      <c r="AO214" s="56">
        <v>25880820</v>
      </c>
      <c r="AP214" s="56">
        <v>176060</v>
      </c>
      <c r="AQ214" s="56">
        <v>25132565</v>
      </c>
      <c r="AR214" s="56">
        <v>0</v>
      </c>
      <c r="AS214" s="56">
        <v>792270</v>
      </c>
      <c r="AT214" s="56">
        <v>528180</v>
      </c>
      <c r="AU214" s="56">
        <v>660225</v>
      </c>
      <c r="AV214" s="56">
        <v>44147045</v>
      </c>
      <c r="AW214" s="56">
        <v>308105</v>
      </c>
      <c r="AX214" s="56">
        <v>8891030</v>
      </c>
      <c r="AY214" s="56">
        <v>2420825</v>
      </c>
      <c r="AZ214" s="54" t="s">
        <v>12</v>
      </c>
      <c r="BA214" s="56">
        <v>5281800</v>
      </c>
      <c r="BB214" s="56">
        <v>3697260</v>
      </c>
      <c r="BC214" s="56">
        <v>2156735</v>
      </c>
      <c r="BD214" s="56">
        <v>1364465</v>
      </c>
      <c r="BE214" s="56">
        <v>2684915</v>
      </c>
      <c r="BF214" s="89" t="s">
        <v>12</v>
      </c>
    </row>
    <row r="215" spans="1:58" x14ac:dyDescent="0.4">
      <c r="A215" s="63">
        <v>44589</v>
      </c>
      <c r="B215" s="53">
        <v>44589.458973796296</v>
      </c>
      <c r="C215" s="54" t="s">
        <v>91</v>
      </c>
      <c r="D215" s="55" t="s">
        <v>74</v>
      </c>
      <c r="E215" s="69" t="s">
        <v>90</v>
      </c>
      <c r="F215" s="73">
        <v>89.25</v>
      </c>
      <c r="G215" s="57">
        <v>70</v>
      </c>
      <c r="H215" s="57">
        <v>95</v>
      </c>
      <c r="I215" s="57">
        <v>88.78</v>
      </c>
      <c r="J215" s="77">
        <v>89.32</v>
      </c>
      <c r="K215" s="81">
        <v>1944000</v>
      </c>
      <c r="L215" s="56">
        <v>2527500</v>
      </c>
      <c r="M215" s="56">
        <v>65</v>
      </c>
      <c r="N215" s="56">
        <v>38</v>
      </c>
      <c r="O215" s="57">
        <v>3.1</v>
      </c>
      <c r="P215" s="56">
        <v>38885</v>
      </c>
      <c r="Q215" s="56">
        <v>120357</v>
      </c>
      <c r="R215" s="56">
        <v>192870</v>
      </c>
      <c r="S215" s="56">
        <v>102316</v>
      </c>
      <c r="T215" s="56">
        <v>188314</v>
      </c>
      <c r="U215" s="77">
        <v>1.3</v>
      </c>
      <c r="V215" s="81">
        <v>21</v>
      </c>
      <c r="W215" s="85">
        <v>19</v>
      </c>
      <c r="X215" s="81">
        <v>173502000</v>
      </c>
      <c r="Y215" s="69" t="s">
        <v>77</v>
      </c>
      <c r="Z215" s="87" t="s">
        <v>12</v>
      </c>
      <c r="AA215" s="54" t="s">
        <v>12</v>
      </c>
      <c r="AB215" s="54" t="s">
        <v>12</v>
      </c>
      <c r="AC215" s="54" t="s">
        <v>12</v>
      </c>
      <c r="AD215" s="54" t="s">
        <v>12</v>
      </c>
      <c r="AE215" s="56">
        <v>173502000</v>
      </c>
      <c r="AF215" s="54" t="s">
        <v>12</v>
      </c>
      <c r="AG215" s="54" t="s">
        <v>12</v>
      </c>
      <c r="AH215" s="54" t="s">
        <v>12</v>
      </c>
      <c r="AI215" s="54" t="s">
        <v>12</v>
      </c>
      <c r="AJ215" s="54" t="s">
        <v>12</v>
      </c>
      <c r="AK215" s="54" t="s">
        <v>12</v>
      </c>
      <c r="AL215" s="54" t="s">
        <v>12</v>
      </c>
      <c r="AM215" s="54" t="s">
        <v>12</v>
      </c>
      <c r="AN215" s="54" t="s">
        <v>12</v>
      </c>
      <c r="AO215" s="54" t="s">
        <v>12</v>
      </c>
      <c r="AP215" s="54" t="s">
        <v>12</v>
      </c>
      <c r="AQ215" s="54" t="s">
        <v>12</v>
      </c>
      <c r="AR215" s="54" t="s">
        <v>12</v>
      </c>
      <c r="AS215" s="54" t="s">
        <v>12</v>
      </c>
      <c r="AT215" s="54" t="s">
        <v>12</v>
      </c>
      <c r="AU215" s="54" t="s">
        <v>12</v>
      </c>
      <c r="AV215" s="54" t="s">
        <v>12</v>
      </c>
      <c r="AW215" s="54" t="s">
        <v>12</v>
      </c>
      <c r="AX215" s="54" t="s">
        <v>12</v>
      </c>
      <c r="AY215" s="54" t="s">
        <v>12</v>
      </c>
      <c r="AZ215" s="54" t="s">
        <v>12</v>
      </c>
      <c r="BA215" s="54" t="s">
        <v>12</v>
      </c>
      <c r="BB215" s="54" t="s">
        <v>12</v>
      </c>
      <c r="BC215" s="54" t="s">
        <v>12</v>
      </c>
      <c r="BD215" s="54" t="s">
        <v>12</v>
      </c>
      <c r="BE215" s="54" t="s">
        <v>12</v>
      </c>
      <c r="BF215" s="89" t="s">
        <v>12</v>
      </c>
    </row>
    <row r="216" spans="1:58" x14ac:dyDescent="0.4">
      <c r="A216" s="63">
        <v>44588</v>
      </c>
      <c r="B216" s="53">
        <v>44588.458824155095</v>
      </c>
      <c r="C216" s="54" t="s">
        <v>89</v>
      </c>
      <c r="D216" s="55" t="s">
        <v>74</v>
      </c>
      <c r="E216" s="69" t="s">
        <v>90</v>
      </c>
      <c r="F216" s="73">
        <v>88.51</v>
      </c>
      <c r="G216" s="57">
        <v>65</v>
      </c>
      <c r="H216" s="57">
        <v>95</v>
      </c>
      <c r="I216" s="57">
        <v>87.86</v>
      </c>
      <c r="J216" s="77">
        <v>88.43</v>
      </c>
      <c r="K216" s="81">
        <v>2449000</v>
      </c>
      <c r="L216" s="56">
        <v>3234000</v>
      </c>
      <c r="M216" s="56">
        <v>89</v>
      </c>
      <c r="N216" s="56">
        <v>42</v>
      </c>
      <c r="O216" s="57">
        <v>4.05</v>
      </c>
      <c r="P216" s="56">
        <v>36337</v>
      </c>
      <c r="Q216" s="56">
        <v>147000</v>
      </c>
      <c r="R216" s="56">
        <v>203457</v>
      </c>
      <c r="S216" s="56">
        <v>128895</v>
      </c>
      <c r="T216" s="56">
        <v>203174</v>
      </c>
      <c r="U216" s="77">
        <v>1.32</v>
      </c>
      <c r="V216" s="81">
        <v>22</v>
      </c>
      <c r="W216" s="85">
        <v>19</v>
      </c>
      <c r="X216" s="81">
        <v>216760990</v>
      </c>
      <c r="Y216" s="69" t="s">
        <v>75</v>
      </c>
      <c r="Z216" s="81">
        <v>2965085</v>
      </c>
      <c r="AA216" s="56">
        <v>7169310</v>
      </c>
      <c r="AB216" s="56">
        <v>5443365</v>
      </c>
      <c r="AC216" s="56">
        <v>796590</v>
      </c>
      <c r="AD216" s="56">
        <v>5222090</v>
      </c>
      <c r="AE216" s="54" t="s">
        <v>12</v>
      </c>
      <c r="AF216" s="56">
        <v>3894440</v>
      </c>
      <c r="AG216" s="56">
        <v>2699555</v>
      </c>
      <c r="AH216" s="56">
        <v>10576945</v>
      </c>
      <c r="AI216" s="56">
        <v>25623645</v>
      </c>
      <c r="AJ216" s="56">
        <v>4912305</v>
      </c>
      <c r="AK216" s="56">
        <v>14648405</v>
      </c>
      <c r="AL216" s="56">
        <v>1106375</v>
      </c>
      <c r="AM216" s="56">
        <v>3142105</v>
      </c>
      <c r="AN216" s="56">
        <v>3761675</v>
      </c>
      <c r="AO216" s="56">
        <v>26021940</v>
      </c>
      <c r="AP216" s="56">
        <v>177020</v>
      </c>
      <c r="AQ216" s="56">
        <v>25269605</v>
      </c>
      <c r="AR216" s="56">
        <v>0</v>
      </c>
      <c r="AS216" s="56">
        <v>796590</v>
      </c>
      <c r="AT216" s="56">
        <v>531060</v>
      </c>
      <c r="AU216" s="56">
        <v>663825</v>
      </c>
      <c r="AV216" s="56">
        <v>44387765</v>
      </c>
      <c r="AW216" s="56">
        <v>309785</v>
      </c>
      <c r="AX216" s="56">
        <v>8939510</v>
      </c>
      <c r="AY216" s="56">
        <v>2434025</v>
      </c>
      <c r="AZ216" s="54" t="s">
        <v>12</v>
      </c>
      <c r="BA216" s="56">
        <v>5310600</v>
      </c>
      <c r="BB216" s="56">
        <v>3717420</v>
      </c>
      <c r="BC216" s="56">
        <v>2168495</v>
      </c>
      <c r="BD216" s="56">
        <v>1371905</v>
      </c>
      <c r="BE216" s="56">
        <v>2699555</v>
      </c>
      <c r="BF216" s="89" t="s">
        <v>12</v>
      </c>
    </row>
    <row r="217" spans="1:58" x14ac:dyDescent="0.4">
      <c r="A217" s="63">
        <v>44586</v>
      </c>
      <c r="B217" s="53">
        <v>44586.458989224535</v>
      </c>
      <c r="C217" s="54" t="s">
        <v>89</v>
      </c>
      <c r="D217" s="55" t="s">
        <v>74</v>
      </c>
      <c r="E217" s="69" t="s">
        <v>90</v>
      </c>
      <c r="F217" s="73">
        <v>84.48</v>
      </c>
      <c r="G217" s="57">
        <v>65</v>
      </c>
      <c r="H217" s="57">
        <v>95</v>
      </c>
      <c r="I217" s="57">
        <v>84.25</v>
      </c>
      <c r="J217" s="77">
        <v>84.41</v>
      </c>
      <c r="K217" s="81">
        <v>2449000</v>
      </c>
      <c r="L217" s="56">
        <v>3813500</v>
      </c>
      <c r="M217" s="56">
        <v>95</v>
      </c>
      <c r="N217" s="56">
        <v>45</v>
      </c>
      <c r="O217" s="57">
        <v>3.8</v>
      </c>
      <c r="P217" s="56">
        <v>40142</v>
      </c>
      <c r="Q217" s="56">
        <v>152540</v>
      </c>
      <c r="R217" s="56">
        <v>245390</v>
      </c>
      <c r="S217" s="56">
        <v>106478</v>
      </c>
      <c r="T217" s="56">
        <v>210182</v>
      </c>
      <c r="U217" s="77">
        <v>1.56</v>
      </c>
      <c r="V217" s="81">
        <v>25</v>
      </c>
      <c r="W217" s="85">
        <v>23</v>
      </c>
      <c r="X217" s="81">
        <v>206891520</v>
      </c>
      <c r="Y217" s="69" t="s">
        <v>75</v>
      </c>
      <c r="Z217" s="81">
        <v>2830080</v>
      </c>
      <c r="AA217" s="56">
        <v>6842880</v>
      </c>
      <c r="AB217" s="56">
        <v>5195520</v>
      </c>
      <c r="AC217" s="56">
        <v>760320</v>
      </c>
      <c r="AD217" s="56">
        <v>4984320</v>
      </c>
      <c r="AE217" s="54" t="s">
        <v>12</v>
      </c>
      <c r="AF217" s="56">
        <v>3717120</v>
      </c>
      <c r="AG217" s="56">
        <v>2576640</v>
      </c>
      <c r="AH217" s="56">
        <v>10095360</v>
      </c>
      <c r="AI217" s="56">
        <v>24456960</v>
      </c>
      <c r="AJ217" s="56">
        <v>4688640</v>
      </c>
      <c r="AK217" s="56">
        <v>13981440</v>
      </c>
      <c r="AL217" s="56">
        <v>1056000</v>
      </c>
      <c r="AM217" s="56">
        <v>2999040</v>
      </c>
      <c r="AN217" s="56">
        <v>3590400</v>
      </c>
      <c r="AO217" s="56">
        <v>24837120</v>
      </c>
      <c r="AP217" s="56">
        <v>168960</v>
      </c>
      <c r="AQ217" s="56">
        <v>24119040</v>
      </c>
      <c r="AR217" s="56">
        <v>0</v>
      </c>
      <c r="AS217" s="56">
        <v>760320</v>
      </c>
      <c r="AT217" s="56">
        <v>506880</v>
      </c>
      <c r="AU217" s="56">
        <v>633600</v>
      </c>
      <c r="AV217" s="56">
        <v>42366720</v>
      </c>
      <c r="AW217" s="56">
        <v>295680</v>
      </c>
      <c r="AX217" s="56">
        <v>8532480</v>
      </c>
      <c r="AY217" s="56">
        <v>2323200</v>
      </c>
      <c r="AZ217" s="54" t="s">
        <v>12</v>
      </c>
      <c r="BA217" s="56">
        <v>5068800</v>
      </c>
      <c r="BB217" s="56">
        <v>3548160</v>
      </c>
      <c r="BC217" s="56">
        <v>2069760</v>
      </c>
      <c r="BD217" s="56">
        <v>1309440</v>
      </c>
      <c r="BE217" s="56">
        <v>2576640</v>
      </c>
      <c r="BF217" s="89" t="s">
        <v>12</v>
      </c>
    </row>
    <row r="218" spans="1:58" x14ac:dyDescent="0.4">
      <c r="A218" s="63">
        <v>44585</v>
      </c>
      <c r="B218" s="53">
        <v>44585.458948692132</v>
      </c>
      <c r="C218" s="54" t="s">
        <v>89</v>
      </c>
      <c r="D218" s="55" t="s">
        <v>74</v>
      </c>
      <c r="E218" s="69" t="s">
        <v>90</v>
      </c>
      <c r="F218" s="73">
        <v>85.75</v>
      </c>
      <c r="G218" s="57">
        <v>65</v>
      </c>
      <c r="H218" s="57">
        <v>95</v>
      </c>
      <c r="I218" s="57">
        <v>85.22</v>
      </c>
      <c r="J218" s="77">
        <v>85.59</v>
      </c>
      <c r="K218" s="81">
        <v>2449000</v>
      </c>
      <c r="L218" s="56">
        <v>3669500</v>
      </c>
      <c r="M218" s="56">
        <v>96</v>
      </c>
      <c r="N218" s="56">
        <v>38</v>
      </c>
      <c r="O218" s="57">
        <v>4</v>
      </c>
      <c r="P218" s="56">
        <v>38224</v>
      </c>
      <c r="Q218" s="56">
        <v>152896</v>
      </c>
      <c r="R218" s="56">
        <v>179610</v>
      </c>
      <c r="S218" s="56">
        <v>128895</v>
      </c>
      <c r="T218" s="56">
        <v>156518</v>
      </c>
      <c r="U218" s="77">
        <v>1.5</v>
      </c>
      <c r="V218" s="81">
        <v>24</v>
      </c>
      <c r="W218" s="85">
        <v>19</v>
      </c>
      <c r="X218" s="81">
        <v>210001750</v>
      </c>
      <c r="Y218" s="69" t="s">
        <v>75</v>
      </c>
      <c r="Z218" s="81">
        <v>2872625</v>
      </c>
      <c r="AA218" s="56">
        <v>6945750</v>
      </c>
      <c r="AB218" s="56">
        <v>5273625</v>
      </c>
      <c r="AC218" s="56">
        <v>771750</v>
      </c>
      <c r="AD218" s="56">
        <v>5059250</v>
      </c>
      <c r="AE218" s="54" t="s">
        <v>12</v>
      </c>
      <c r="AF218" s="56">
        <v>3773000</v>
      </c>
      <c r="AG218" s="56">
        <v>2615375</v>
      </c>
      <c r="AH218" s="56">
        <v>10247125</v>
      </c>
      <c r="AI218" s="56">
        <v>24824625</v>
      </c>
      <c r="AJ218" s="56">
        <v>4759125</v>
      </c>
      <c r="AK218" s="56">
        <v>14191625</v>
      </c>
      <c r="AL218" s="56">
        <v>1071875</v>
      </c>
      <c r="AM218" s="56">
        <v>3044125</v>
      </c>
      <c r="AN218" s="56">
        <v>3644375</v>
      </c>
      <c r="AO218" s="56">
        <v>25210500</v>
      </c>
      <c r="AP218" s="56">
        <v>171500</v>
      </c>
      <c r="AQ218" s="56">
        <v>24481625</v>
      </c>
      <c r="AR218" s="56">
        <v>0</v>
      </c>
      <c r="AS218" s="56">
        <v>771750</v>
      </c>
      <c r="AT218" s="56">
        <v>514500</v>
      </c>
      <c r="AU218" s="56">
        <v>643125</v>
      </c>
      <c r="AV218" s="56">
        <v>43003625</v>
      </c>
      <c r="AW218" s="56">
        <v>300125</v>
      </c>
      <c r="AX218" s="56">
        <v>8660750</v>
      </c>
      <c r="AY218" s="56">
        <v>2358125</v>
      </c>
      <c r="AZ218" s="54" t="s">
        <v>12</v>
      </c>
      <c r="BA218" s="56">
        <v>5145000</v>
      </c>
      <c r="BB218" s="56">
        <v>3601500</v>
      </c>
      <c r="BC218" s="56">
        <v>2100875</v>
      </c>
      <c r="BD218" s="56">
        <v>1329125</v>
      </c>
      <c r="BE218" s="56">
        <v>2615375</v>
      </c>
      <c r="BF218" s="89" t="s">
        <v>12</v>
      </c>
    </row>
    <row r="219" spans="1:58" x14ac:dyDescent="0.4">
      <c r="A219" s="63">
        <v>44582</v>
      </c>
      <c r="B219" s="53">
        <v>44582.458826608796</v>
      </c>
      <c r="C219" s="54" t="s">
        <v>91</v>
      </c>
      <c r="D219" s="55" t="s">
        <v>74</v>
      </c>
      <c r="E219" s="69" t="s">
        <v>90</v>
      </c>
      <c r="F219" s="73">
        <v>84.03</v>
      </c>
      <c r="G219" s="57">
        <v>60</v>
      </c>
      <c r="H219" s="57">
        <v>95</v>
      </c>
      <c r="I219" s="57">
        <v>83.46</v>
      </c>
      <c r="J219" s="77">
        <v>83.94</v>
      </c>
      <c r="K219" s="81">
        <v>1944000</v>
      </c>
      <c r="L219" s="56">
        <v>3068500</v>
      </c>
      <c r="M219" s="56">
        <v>85</v>
      </c>
      <c r="N219" s="56">
        <v>37</v>
      </c>
      <c r="O219" s="57">
        <v>3.7</v>
      </c>
      <c r="P219" s="56">
        <v>36100</v>
      </c>
      <c r="Q219" s="56">
        <v>133413</v>
      </c>
      <c r="R219" s="56">
        <v>150956</v>
      </c>
      <c r="S219" s="56">
        <v>97200</v>
      </c>
      <c r="T219" s="56">
        <v>131473</v>
      </c>
      <c r="U219" s="77">
        <v>1.58</v>
      </c>
      <c r="V219" s="81">
        <v>23</v>
      </c>
      <c r="W219" s="85">
        <v>20</v>
      </c>
      <c r="X219" s="81">
        <v>163354320</v>
      </c>
      <c r="Y219" s="69" t="s">
        <v>77</v>
      </c>
      <c r="Z219" s="87" t="s">
        <v>12</v>
      </c>
      <c r="AA219" s="54" t="s">
        <v>12</v>
      </c>
      <c r="AB219" s="54" t="s">
        <v>12</v>
      </c>
      <c r="AC219" s="54" t="s">
        <v>12</v>
      </c>
      <c r="AD219" s="54" t="s">
        <v>12</v>
      </c>
      <c r="AE219" s="56">
        <v>163354320</v>
      </c>
      <c r="AF219" s="54" t="s">
        <v>12</v>
      </c>
      <c r="AG219" s="54" t="s">
        <v>12</v>
      </c>
      <c r="AH219" s="54" t="s">
        <v>12</v>
      </c>
      <c r="AI219" s="54" t="s">
        <v>12</v>
      </c>
      <c r="AJ219" s="54" t="s">
        <v>12</v>
      </c>
      <c r="AK219" s="54" t="s">
        <v>12</v>
      </c>
      <c r="AL219" s="54" t="s">
        <v>12</v>
      </c>
      <c r="AM219" s="54" t="s">
        <v>12</v>
      </c>
      <c r="AN219" s="54" t="s">
        <v>12</v>
      </c>
      <c r="AO219" s="54" t="s">
        <v>12</v>
      </c>
      <c r="AP219" s="54" t="s">
        <v>12</v>
      </c>
      <c r="AQ219" s="54" t="s">
        <v>12</v>
      </c>
      <c r="AR219" s="54" t="s">
        <v>12</v>
      </c>
      <c r="AS219" s="54" t="s">
        <v>12</v>
      </c>
      <c r="AT219" s="54" t="s">
        <v>12</v>
      </c>
      <c r="AU219" s="54" t="s">
        <v>12</v>
      </c>
      <c r="AV219" s="54" t="s">
        <v>12</v>
      </c>
      <c r="AW219" s="54" t="s">
        <v>12</v>
      </c>
      <c r="AX219" s="54" t="s">
        <v>12</v>
      </c>
      <c r="AY219" s="54" t="s">
        <v>12</v>
      </c>
      <c r="AZ219" s="54" t="s">
        <v>12</v>
      </c>
      <c r="BA219" s="54" t="s">
        <v>12</v>
      </c>
      <c r="BB219" s="54" t="s">
        <v>12</v>
      </c>
      <c r="BC219" s="54" t="s">
        <v>12</v>
      </c>
      <c r="BD219" s="54" t="s">
        <v>12</v>
      </c>
      <c r="BE219" s="54" t="s">
        <v>12</v>
      </c>
      <c r="BF219" s="89" t="s">
        <v>12</v>
      </c>
    </row>
    <row r="220" spans="1:58" x14ac:dyDescent="0.4">
      <c r="A220" s="63">
        <v>44581</v>
      </c>
      <c r="B220" s="53">
        <v>44581.458639097225</v>
      </c>
      <c r="C220" s="54" t="s">
        <v>89</v>
      </c>
      <c r="D220" s="55" t="s">
        <v>74</v>
      </c>
      <c r="E220" s="69" t="s">
        <v>90</v>
      </c>
      <c r="F220" s="73">
        <v>80.8</v>
      </c>
      <c r="G220" s="57">
        <v>60</v>
      </c>
      <c r="H220" s="57">
        <v>90</v>
      </c>
      <c r="I220" s="57">
        <v>80.209999999999994</v>
      </c>
      <c r="J220" s="77">
        <v>80.459999999999994</v>
      </c>
      <c r="K220" s="81">
        <v>2449000</v>
      </c>
      <c r="L220" s="56">
        <v>4639500</v>
      </c>
      <c r="M220" s="56">
        <v>116</v>
      </c>
      <c r="N220" s="56">
        <v>32</v>
      </c>
      <c r="O220" s="57">
        <v>4</v>
      </c>
      <c r="P220" s="56">
        <v>39996</v>
      </c>
      <c r="Q220" s="56">
        <v>159983</v>
      </c>
      <c r="R220" s="56">
        <v>224882</v>
      </c>
      <c r="S220" s="56">
        <v>153063</v>
      </c>
      <c r="T220" s="56">
        <v>207385</v>
      </c>
      <c r="U220" s="77">
        <v>1.89</v>
      </c>
      <c r="V220" s="81">
        <v>29</v>
      </c>
      <c r="W220" s="85">
        <v>16</v>
      </c>
      <c r="X220" s="81">
        <v>197879200</v>
      </c>
      <c r="Y220" s="69" t="s">
        <v>75</v>
      </c>
      <c r="Z220" s="81">
        <v>2706800</v>
      </c>
      <c r="AA220" s="56">
        <v>6544800</v>
      </c>
      <c r="AB220" s="56">
        <v>4969200</v>
      </c>
      <c r="AC220" s="56">
        <v>727200</v>
      </c>
      <c r="AD220" s="56">
        <v>4767200</v>
      </c>
      <c r="AE220" s="54" t="s">
        <v>12</v>
      </c>
      <c r="AF220" s="56">
        <v>3555200</v>
      </c>
      <c r="AG220" s="56">
        <v>2464400</v>
      </c>
      <c r="AH220" s="56">
        <v>9655600</v>
      </c>
      <c r="AI220" s="56">
        <v>23391600</v>
      </c>
      <c r="AJ220" s="56">
        <v>4484400</v>
      </c>
      <c r="AK220" s="56">
        <v>13372400</v>
      </c>
      <c r="AL220" s="56">
        <v>1010000</v>
      </c>
      <c r="AM220" s="56">
        <v>2868400</v>
      </c>
      <c r="AN220" s="56">
        <v>3434000</v>
      </c>
      <c r="AO220" s="56">
        <v>23755200</v>
      </c>
      <c r="AP220" s="56">
        <v>161600</v>
      </c>
      <c r="AQ220" s="56">
        <v>23068400</v>
      </c>
      <c r="AR220" s="56">
        <v>0</v>
      </c>
      <c r="AS220" s="56">
        <v>727200</v>
      </c>
      <c r="AT220" s="56">
        <v>484800</v>
      </c>
      <c r="AU220" s="56">
        <v>606000</v>
      </c>
      <c r="AV220" s="56">
        <v>40521200</v>
      </c>
      <c r="AW220" s="56">
        <v>282800</v>
      </c>
      <c r="AX220" s="56">
        <v>8160800</v>
      </c>
      <c r="AY220" s="56">
        <v>2222000</v>
      </c>
      <c r="AZ220" s="54" t="s">
        <v>12</v>
      </c>
      <c r="BA220" s="56">
        <v>4848000</v>
      </c>
      <c r="BB220" s="56">
        <v>3393600</v>
      </c>
      <c r="BC220" s="56">
        <v>1979600</v>
      </c>
      <c r="BD220" s="56">
        <v>1252400</v>
      </c>
      <c r="BE220" s="56">
        <v>2464400</v>
      </c>
      <c r="BF220" s="89" t="s">
        <v>12</v>
      </c>
    </row>
    <row r="221" spans="1:58" x14ac:dyDescent="0.4">
      <c r="A221" s="63">
        <v>44580</v>
      </c>
      <c r="B221" s="53">
        <v>44580.459185914355</v>
      </c>
      <c r="C221" s="54" t="s">
        <v>92</v>
      </c>
      <c r="D221" s="55" t="s">
        <v>74</v>
      </c>
      <c r="E221" s="69" t="s">
        <v>90</v>
      </c>
      <c r="F221" s="73">
        <v>80.7</v>
      </c>
      <c r="G221" s="57">
        <v>55</v>
      </c>
      <c r="H221" s="57">
        <v>90</v>
      </c>
      <c r="I221" s="57">
        <v>80.17</v>
      </c>
      <c r="J221" s="77">
        <v>80.62</v>
      </c>
      <c r="K221" s="81">
        <v>2658000</v>
      </c>
      <c r="L221" s="56">
        <v>3996000</v>
      </c>
      <c r="M221" s="56">
        <v>98</v>
      </c>
      <c r="N221" s="56">
        <v>43</v>
      </c>
      <c r="O221" s="57">
        <v>3.92</v>
      </c>
      <c r="P221" s="56">
        <v>40776</v>
      </c>
      <c r="Q221" s="56">
        <v>159840</v>
      </c>
      <c r="R221" s="56">
        <v>195415</v>
      </c>
      <c r="S221" s="56">
        <v>132900</v>
      </c>
      <c r="T221" s="56">
        <v>165983</v>
      </c>
      <c r="U221" s="77">
        <v>1.5</v>
      </c>
      <c r="V221" s="81">
        <v>25</v>
      </c>
      <c r="W221" s="85">
        <v>20</v>
      </c>
      <c r="X221" s="81">
        <v>214500600</v>
      </c>
      <c r="Y221" s="69" t="s">
        <v>79</v>
      </c>
      <c r="Z221" s="87" t="s">
        <v>12</v>
      </c>
      <c r="AA221" s="54" t="s">
        <v>12</v>
      </c>
      <c r="AB221" s="54" t="s">
        <v>12</v>
      </c>
      <c r="AC221" s="54" t="s">
        <v>12</v>
      </c>
      <c r="AD221" s="54" t="s">
        <v>12</v>
      </c>
      <c r="AE221" s="54" t="s">
        <v>12</v>
      </c>
      <c r="AF221" s="54" t="s">
        <v>12</v>
      </c>
      <c r="AG221" s="54" t="s">
        <v>12</v>
      </c>
      <c r="AH221" s="54" t="s">
        <v>12</v>
      </c>
      <c r="AI221" s="54" t="s">
        <v>12</v>
      </c>
      <c r="AJ221" s="54" t="s">
        <v>12</v>
      </c>
      <c r="AK221" s="54" t="s">
        <v>12</v>
      </c>
      <c r="AL221" s="54" t="s">
        <v>12</v>
      </c>
      <c r="AM221" s="54" t="s">
        <v>12</v>
      </c>
      <c r="AN221" s="54" t="s">
        <v>12</v>
      </c>
      <c r="AO221" s="54" t="s">
        <v>12</v>
      </c>
      <c r="AP221" s="54" t="s">
        <v>12</v>
      </c>
      <c r="AQ221" s="54" t="s">
        <v>12</v>
      </c>
      <c r="AR221" s="54" t="s">
        <v>12</v>
      </c>
      <c r="AS221" s="54" t="s">
        <v>12</v>
      </c>
      <c r="AT221" s="54" t="s">
        <v>12</v>
      </c>
      <c r="AU221" s="54" t="s">
        <v>12</v>
      </c>
      <c r="AV221" s="54" t="s">
        <v>12</v>
      </c>
      <c r="AW221" s="54" t="s">
        <v>12</v>
      </c>
      <c r="AX221" s="54" t="s">
        <v>12</v>
      </c>
      <c r="AY221" s="54" t="s">
        <v>12</v>
      </c>
      <c r="AZ221" s="56">
        <v>214500600</v>
      </c>
      <c r="BA221" s="54" t="s">
        <v>12</v>
      </c>
      <c r="BB221" s="54" t="s">
        <v>12</v>
      </c>
      <c r="BC221" s="54" t="s">
        <v>12</v>
      </c>
      <c r="BD221" s="54" t="s">
        <v>12</v>
      </c>
      <c r="BE221" s="54" t="s">
        <v>12</v>
      </c>
      <c r="BF221" s="89" t="s">
        <v>12</v>
      </c>
    </row>
    <row r="222" spans="1:58" x14ac:dyDescent="0.4">
      <c r="A222" s="63">
        <v>44579</v>
      </c>
      <c r="B222" s="53">
        <v>44579.460069710651</v>
      </c>
      <c r="C222" s="54" t="s">
        <v>89</v>
      </c>
      <c r="D222" s="55" t="s">
        <v>74</v>
      </c>
      <c r="E222" s="69" t="s">
        <v>90</v>
      </c>
      <c r="F222" s="73">
        <v>79.22</v>
      </c>
      <c r="G222" s="57">
        <v>55</v>
      </c>
      <c r="H222" s="57">
        <v>90</v>
      </c>
      <c r="I222" s="57">
        <v>78.95</v>
      </c>
      <c r="J222" s="77">
        <v>79.28</v>
      </c>
      <c r="K222" s="81">
        <v>2449000</v>
      </c>
      <c r="L222" s="56">
        <v>3719500</v>
      </c>
      <c r="M222" s="56">
        <v>88</v>
      </c>
      <c r="N222" s="56">
        <v>49</v>
      </c>
      <c r="O222" s="57">
        <v>3.83</v>
      </c>
      <c r="P222" s="56">
        <v>42267</v>
      </c>
      <c r="Q222" s="56">
        <v>161717</v>
      </c>
      <c r="R222" s="56">
        <v>229843</v>
      </c>
      <c r="S222" s="56">
        <v>116619</v>
      </c>
      <c r="T222" s="56">
        <v>185010</v>
      </c>
      <c r="U222" s="77">
        <v>1.52</v>
      </c>
      <c r="V222" s="81">
        <v>23</v>
      </c>
      <c r="W222" s="85">
        <v>21</v>
      </c>
      <c r="X222" s="81">
        <v>194009780</v>
      </c>
      <c r="Y222" s="69" t="s">
        <v>75</v>
      </c>
      <c r="Z222" s="81">
        <v>2653870</v>
      </c>
      <c r="AA222" s="56">
        <v>6416820</v>
      </c>
      <c r="AB222" s="56">
        <v>4872030</v>
      </c>
      <c r="AC222" s="56">
        <v>712980</v>
      </c>
      <c r="AD222" s="56">
        <v>4673980</v>
      </c>
      <c r="AE222" s="54" t="s">
        <v>12</v>
      </c>
      <c r="AF222" s="56">
        <v>3485680</v>
      </c>
      <c r="AG222" s="56">
        <v>2416210</v>
      </c>
      <c r="AH222" s="56">
        <v>9466790</v>
      </c>
      <c r="AI222" s="56">
        <v>22934190</v>
      </c>
      <c r="AJ222" s="56">
        <v>4396710</v>
      </c>
      <c r="AK222" s="56">
        <v>13110910</v>
      </c>
      <c r="AL222" s="56">
        <v>990250</v>
      </c>
      <c r="AM222" s="56">
        <v>2812310</v>
      </c>
      <c r="AN222" s="56">
        <v>3366850</v>
      </c>
      <c r="AO222" s="56">
        <v>23290680</v>
      </c>
      <c r="AP222" s="56">
        <v>158440</v>
      </c>
      <c r="AQ222" s="56">
        <v>22617310</v>
      </c>
      <c r="AR222" s="56">
        <v>0</v>
      </c>
      <c r="AS222" s="56">
        <v>712980</v>
      </c>
      <c r="AT222" s="56">
        <v>475320</v>
      </c>
      <c r="AU222" s="56">
        <v>594150</v>
      </c>
      <c r="AV222" s="56">
        <v>39728830</v>
      </c>
      <c r="AW222" s="56">
        <v>277270</v>
      </c>
      <c r="AX222" s="56">
        <v>8001220</v>
      </c>
      <c r="AY222" s="56">
        <v>2178550</v>
      </c>
      <c r="AZ222" s="54" t="s">
        <v>12</v>
      </c>
      <c r="BA222" s="56">
        <v>4753200</v>
      </c>
      <c r="BB222" s="56">
        <v>3327240</v>
      </c>
      <c r="BC222" s="56">
        <v>1940890</v>
      </c>
      <c r="BD222" s="56">
        <v>1227910</v>
      </c>
      <c r="BE222" s="56">
        <v>2416210</v>
      </c>
      <c r="BF222" s="89" t="s">
        <v>12</v>
      </c>
    </row>
    <row r="223" spans="1:58" x14ac:dyDescent="0.4">
      <c r="A223" s="63">
        <v>44578</v>
      </c>
      <c r="B223" s="53">
        <v>44578.458998912036</v>
      </c>
      <c r="C223" s="54" t="s">
        <v>89</v>
      </c>
      <c r="D223" s="55" t="s">
        <v>74</v>
      </c>
      <c r="E223" s="69" t="s">
        <v>90</v>
      </c>
      <c r="F223" s="73">
        <v>80.209999999999994</v>
      </c>
      <c r="G223" s="57">
        <v>55</v>
      </c>
      <c r="H223" s="57">
        <v>95</v>
      </c>
      <c r="I223" s="57">
        <v>79.849999999999994</v>
      </c>
      <c r="J223" s="77">
        <v>80.2</v>
      </c>
      <c r="K223" s="81">
        <v>2449000</v>
      </c>
      <c r="L223" s="56">
        <v>3466000</v>
      </c>
      <c r="M223" s="56">
        <v>85</v>
      </c>
      <c r="N223" s="56">
        <v>42</v>
      </c>
      <c r="O223" s="57">
        <v>3.7</v>
      </c>
      <c r="P223" s="56">
        <v>40776</v>
      </c>
      <c r="Q223" s="56">
        <v>150696</v>
      </c>
      <c r="R223" s="56">
        <v>214914</v>
      </c>
      <c r="S223" s="56">
        <v>122450</v>
      </c>
      <c r="T223" s="56">
        <v>196772</v>
      </c>
      <c r="U223" s="77">
        <v>1.42</v>
      </c>
      <c r="V223" s="81">
        <v>23</v>
      </c>
      <c r="W223" s="85">
        <v>20</v>
      </c>
      <c r="X223" s="81">
        <v>196434290</v>
      </c>
      <c r="Y223" s="69" t="s">
        <v>75</v>
      </c>
      <c r="Z223" s="81">
        <v>2687035</v>
      </c>
      <c r="AA223" s="56">
        <v>6497010</v>
      </c>
      <c r="AB223" s="56">
        <v>4932915</v>
      </c>
      <c r="AC223" s="56">
        <v>721890</v>
      </c>
      <c r="AD223" s="56">
        <v>4732390</v>
      </c>
      <c r="AE223" s="54" t="s">
        <v>12</v>
      </c>
      <c r="AF223" s="56">
        <v>3529240</v>
      </c>
      <c r="AG223" s="56">
        <v>2446405</v>
      </c>
      <c r="AH223" s="56">
        <v>9585095</v>
      </c>
      <c r="AI223" s="56">
        <v>23220795</v>
      </c>
      <c r="AJ223" s="56">
        <v>4451655</v>
      </c>
      <c r="AK223" s="56">
        <v>13274755</v>
      </c>
      <c r="AL223" s="56">
        <v>1002625</v>
      </c>
      <c r="AM223" s="56">
        <v>2847455</v>
      </c>
      <c r="AN223" s="56">
        <v>3408925</v>
      </c>
      <c r="AO223" s="56">
        <v>23581740</v>
      </c>
      <c r="AP223" s="56">
        <v>160420</v>
      </c>
      <c r="AQ223" s="56">
        <v>22899955</v>
      </c>
      <c r="AR223" s="56">
        <v>0</v>
      </c>
      <c r="AS223" s="56">
        <v>721890</v>
      </c>
      <c r="AT223" s="56">
        <v>481260</v>
      </c>
      <c r="AU223" s="56">
        <v>601575</v>
      </c>
      <c r="AV223" s="56">
        <v>40225315</v>
      </c>
      <c r="AW223" s="56">
        <v>280735</v>
      </c>
      <c r="AX223" s="56">
        <v>8101210</v>
      </c>
      <c r="AY223" s="56">
        <v>2205775</v>
      </c>
      <c r="AZ223" s="54" t="s">
        <v>12</v>
      </c>
      <c r="BA223" s="56">
        <v>4812600</v>
      </c>
      <c r="BB223" s="56">
        <v>3368820</v>
      </c>
      <c r="BC223" s="56">
        <v>1965145</v>
      </c>
      <c r="BD223" s="56">
        <v>1243255</v>
      </c>
      <c r="BE223" s="56">
        <v>2446405</v>
      </c>
      <c r="BF223" s="89" t="s">
        <v>12</v>
      </c>
    </row>
    <row r="224" spans="1:58" x14ac:dyDescent="0.4">
      <c r="A224" s="63">
        <v>44575</v>
      </c>
      <c r="B224" s="53">
        <v>44575.459686412039</v>
      </c>
      <c r="C224" s="54" t="s">
        <v>91</v>
      </c>
      <c r="D224" s="55" t="s">
        <v>74</v>
      </c>
      <c r="E224" s="69" t="s">
        <v>90</v>
      </c>
      <c r="F224" s="73">
        <v>81.52</v>
      </c>
      <c r="G224" s="57">
        <v>55</v>
      </c>
      <c r="H224" s="57">
        <v>90</v>
      </c>
      <c r="I224" s="57">
        <v>80.900000000000006</v>
      </c>
      <c r="J224" s="77">
        <v>81.680000000000007</v>
      </c>
      <c r="K224" s="81">
        <v>1944000</v>
      </c>
      <c r="L224" s="56">
        <v>2355500</v>
      </c>
      <c r="M224" s="56">
        <v>77</v>
      </c>
      <c r="N224" s="56">
        <v>44</v>
      </c>
      <c r="O224" s="57">
        <v>3.85</v>
      </c>
      <c r="P224" s="56">
        <v>30591</v>
      </c>
      <c r="Q224" s="56">
        <v>117775</v>
      </c>
      <c r="R224" s="56">
        <v>137523</v>
      </c>
      <c r="S224" s="56">
        <v>102316</v>
      </c>
      <c r="T224" s="56">
        <v>136378</v>
      </c>
      <c r="U224" s="77">
        <v>1.21</v>
      </c>
      <c r="V224" s="81">
        <v>20</v>
      </c>
      <c r="W224" s="85">
        <v>19</v>
      </c>
      <c r="X224" s="81">
        <v>158474880</v>
      </c>
      <c r="Y224" s="69" t="s">
        <v>77</v>
      </c>
      <c r="Z224" s="87" t="s">
        <v>12</v>
      </c>
      <c r="AA224" s="54" t="s">
        <v>12</v>
      </c>
      <c r="AB224" s="54" t="s">
        <v>12</v>
      </c>
      <c r="AC224" s="54" t="s">
        <v>12</v>
      </c>
      <c r="AD224" s="54" t="s">
        <v>12</v>
      </c>
      <c r="AE224" s="56">
        <v>158474880</v>
      </c>
      <c r="AF224" s="54" t="s">
        <v>12</v>
      </c>
      <c r="AG224" s="54" t="s">
        <v>12</v>
      </c>
      <c r="AH224" s="54" t="s">
        <v>12</v>
      </c>
      <c r="AI224" s="54" t="s">
        <v>12</v>
      </c>
      <c r="AJ224" s="54" t="s">
        <v>12</v>
      </c>
      <c r="AK224" s="54" t="s">
        <v>12</v>
      </c>
      <c r="AL224" s="54" t="s">
        <v>12</v>
      </c>
      <c r="AM224" s="54" t="s">
        <v>12</v>
      </c>
      <c r="AN224" s="54" t="s">
        <v>12</v>
      </c>
      <c r="AO224" s="54" t="s">
        <v>12</v>
      </c>
      <c r="AP224" s="54" t="s">
        <v>12</v>
      </c>
      <c r="AQ224" s="54" t="s">
        <v>12</v>
      </c>
      <c r="AR224" s="54" t="s">
        <v>12</v>
      </c>
      <c r="AS224" s="54" t="s">
        <v>12</v>
      </c>
      <c r="AT224" s="54" t="s">
        <v>12</v>
      </c>
      <c r="AU224" s="54" t="s">
        <v>12</v>
      </c>
      <c r="AV224" s="54" t="s">
        <v>12</v>
      </c>
      <c r="AW224" s="54" t="s">
        <v>12</v>
      </c>
      <c r="AX224" s="54" t="s">
        <v>12</v>
      </c>
      <c r="AY224" s="54" t="s">
        <v>12</v>
      </c>
      <c r="AZ224" s="54" t="s">
        <v>12</v>
      </c>
      <c r="BA224" s="54" t="s">
        <v>12</v>
      </c>
      <c r="BB224" s="54" t="s">
        <v>12</v>
      </c>
      <c r="BC224" s="54" t="s">
        <v>12</v>
      </c>
      <c r="BD224" s="54" t="s">
        <v>12</v>
      </c>
      <c r="BE224" s="54" t="s">
        <v>12</v>
      </c>
      <c r="BF224" s="89" t="s">
        <v>12</v>
      </c>
    </row>
    <row r="225" spans="1:58" x14ac:dyDescent="0.4">
      <c r="A225" s="63">
        <v>44574</v>
      </c>
      <c r="B225" s="53">
        <v>44574.458656006944</v>
      </c>
      <c r="C225" s="54" t="s">
        <v>89</v>
      </c>
      <c r="D225" s="55" t="s">
        <v>74</v>
      </c>
      <c r="E225" s="69" t="s">
        <v>90</v>
      </c>
      <c r="F225" s="73">
        <v>79.05</v>
      </c>
      <c r="G225" s="57">
        <v>60</v>
      </c>
      <c r="H225" s="57">
        <v>85</v>
      </c>
      <c r="I225" s="57">
        <v>78.849999999999994</v>
      </c>
      <c r="J225" s="77">
        <v>79.14</v>
      </c>
      <c r="K225" s="81">
        <v>2449000</v>
      </c>
      <c r="L225" s="56">
        <v>3136000</v>
      </c>
      <c r="M225" s="56">
        <v>86</v>
      </c>
      <c r="N225" s="56">
        <v>48</v>
      </c>
      <c r="O225" s="57">
        <v>4.0999999999999996</v>
      </c>
      <c r="P225" s="56">
        <v>36465</v>
      </c>
      <c r="Q225" s="56">
        <v>149333</v>
      </c>
      <c r="R225" s="56">
        <v>206200</v>
      </c>
      <c r="S225" s="56">
        <v>128895</v>
      </c>
      <c r="T225" s="56">
        <v>194718</v>
      </c>
      <c r="U225" s="77">
        <v>1.28</v>
      </c>
      <c r="V225" s="81">
        <v>21</v>
      </c>
      <c r="W225" s="85">
        <v>19</v>
      </c>
      <c r="X225" s="81">
        <v>193593450</v>
      </c>
      <c r="Y225" s="69" t="s">
        <v>75</v>
      </c>
      <c r="Z225" s="81">
        <v>2648175</v>
      </c>
      <c r="AA225" s="56">
        <v>6403050</v>
      </c>
      <c r="AB225" s="56">
        <v>4861575</v>
      </c>
      <c r="AC225" s="56">
        <v>711450</v>
      </c>
      <c r="AD225" s="56">
        <v>4663950</v>
      </c>
      <c r="AE225" s="54" t="s">
        <v>12</v>
      </c>
      <c r="AF225" s="56">
        <v>3478200</v>
      </c>
      <c r="AG225" s="56">
        <v>2411025</v>
      </c>
      <c r="AH225" s="56">
        <v>9446475</v>
      </c>
      <c r="AI225" s="56">
        <v>22884975</v>
      </c>
      <c r="AJ225" s="56">
        <v>4387275</v>
      </c>
      <c r="AK225" s="56">
        <v>13082775</v>
      </c>
      <c r="AL225" s="56">
        <v>988125</v>
      </c>
      <c r="AM225" s="56">
        <v>2806275</v>
      </c>
      <c r="AN225" s="56">
        <v>3359625</v>
      </c>
      <c r="AO225" s="56">
        <v>23240700</v>
      </c>
      <c r="AP225" s="56">
        <v>158100</v>
      </c>
      <c r="AQ225" s="56">
        <v>22568775</v>
      </c>
      <c r="AR225" s="56">
        <v>0</v>
      </c>
      <c r="AS225" s="56">
        <v>711450</v>
      </c>
      <c r="AT225" s="56">
        <v>474300</v>
      </c>
      <c r="AU225" s="56">
        <v>592875</v>
      </c>
      <c r="AV225" s="56">
        <v>39643575</v>
      </c>
      <c r="AW225" s="56">
        <v>276675</v>
      </c>
      <c r="AX225" s="56">
        <v>7984050</v>
      </c>
      <c r="AY225" s="56">
        <v>2173875</v>
      </c>
      <c r="AZ225" s="54" t="s">
        <v>12</v>
      </c>
      <c r="BA225" s="56">
        <v>4743000</v>
      </c>
      <c r="BB225" s="56">
        <v>3320100</v>
      </c>
      <c r="BC225" s="56">
        <v>1936725</v>
      </c>
      <c r="BD225" s="56">
        <v>1225275</v>
      </c>
      <c r="BE225" s="56">
        <v>2411025</v>
      </c>
      <c r="BF225" s="89" t="s">
        <v>12</v>
      </c>
    </row>
    <row r="226" spans="1:58" x14ac:dyDescent="0.4">
      <c r="A226" s="63">
        <v>44572</v>
      </c>
      <c r="B226" s="53">
        <v>44572.458833877317</v>
      </c>
      <c r="C226" s="54" t="s">
        <v>89</v>
      </c>
      <c r="D226" s="55" t="s">
        <v>74</v>
      </c>
      <c r="E226" s="69" t="s">
        <v>90</v>
      </c>
      <c r="F226" s="73">
        <v>81.900000000000006</v>
      </c>
      <c r="G226" s="57">
        <v>50</v>
      </c>
      <c r="H226" s="57">
        <v>99</v>
      </c>
      <c r="I226" s="57">
        <v>80.489999999999995</v>
      </c>
      <c r="J226" s="77">
        <v>81.63</v>
      </c>
      <c r="K226" s="81">
        <v>2449000</v>
      </c>
      <c r="L226" s="56">
        <v>3970500</v>
      </c>
      <c r="M226" s="56">
        <v>93</v>
      </c>
      <c r="N226" s="56">
        <v>31</v>
      </c>
      <c r="O226" s="57">
        <v>3.72</v>
      </c>
      <c r="P226" s="56">
        <v>42694</v>
      </c>
      <c r="Q226" s="56">
        <v>158820</v>
      </c>
      <c r="R226" s="56">
        <v>179699</v>
      </c>
      <c r="S226" s="56">
        <v>136056</v>
      </c>
      <c r="T226" s="56">
        <v>156207</v>
      </c>
      <c r="U226" s="77">
        <v>1.62</v>
      </c>
      <c r="V226" s="81">
        <v>25</v>
      </c>
      <c r="W226" s="85">
        <v>18</v>
      </c>
      <c r="X226" s="81">
        <v>200573100</v>
      </c>
      <c r="Y226" s="69" t="s">
        <v>75</v>
      </c>
      <c r="Z226" s="81">
        <v>2743650</v>
      </c>
      <c r="AA226" s="56">
        <v>6633900</v>
      </c>
      <c r="AB226" s="56">
        <v>5036850</v>
      </c>
      <c r="AC226" s="56">
        <v>737100</v>
      </c>
      <c r="AD226" s="56">
        <v>4832100</v>
      </c>
      <c r="AE226" s="54" t="s">
        <v>12</v>
      </c>
      <c r="AF226" s="56">
        <v>3603600</v>
      </c>
      <c r="AG226" s="56">
        <v>2497950</v>
      </c>
      <c r="AH226" s="56">
        <v>9787050</v>
      </c>
      <c r="AI226" s="56">
        <v>23710050</v>
      </c>
      <c r="AJ226" s="56">
        <v>4545450</v>
      </c>
      <c r="AK226" s="56">
        <v>13554450</v>
      </c>
      <c r="AL226" s="56">
        <v>1023750</v>
      </c>
      <c r="AM226" s="56">
        <v>2907450</v>
      </c>
      <c r="AN226" s="56">
        <v>3480750</v>
      </c>
      <c r="AO226" s="56">
        <v>24078600</v>
      </c>
      <c r="AP226" s="56">
        <v>163800</v>
      </c>
      <c r="AQ226" s="56">
        <v>23382450</v>
      </c>
      <c r="AR226" s="56">
        <v>0</v>
      </c>
      <c r="AS226" s="56">
        <v>737100</v>
      </c>
      <c r="AT226" s="56">
        <v>491400</v>
      </c>
      <c r="AU226" s="56">
        <v>614250</v>
      </c>
      <c r="AV226" s="56">
        <v>41072850</v>
      </c>
      <c r="AW226" s="56">
        <v>286650</v>
      </c>
      <c r="AX226" s="56">
        <v>8271900</v>
      </c>
      <c r="AY226" s="56">
        <v>2252250</v>
      </c>
      <c r="AZ226" s="54" t="s">
        <v>12</v>
      </c>
      <c r="BA226" s="56">
        <v>4914000</v>
      </c>
      <c r="BB226" s="56">
        <v>3439800</v>
      </c>
      <c r="BC226" s="56">
        <v>2006550</v>
      </c>
      <c r="BD226" s="56">
        <v>1269450</v>
      </c>
      <c r="BE226" s="56">
        <v>2497950</v>
      </c>
      <c r="BF226" s="89" t="s">
        <v>12</v>
      </c>
    </row>
    <row r="227" spans="1:58" ht="15" thickBot="1" x14ac:dyDescent="0.45">
      <c r="A227" s="64">
        <v>44571</v>
      </c>
      <c r="B227" s="65">
        <v>44571.458817881947</v>
      </c>
      <c r="C227" s="66" t="s">
        <v>89</v>
      </c>
      <c r="D227" s="67" t="s">
        <v>74</v>
      </c>
      <c r="E227" s="70" t="s">
        <v>90</v>
      </c>
      <c r="F227" s="74">
        <v>82.71</v>
      </c>
      <c r="G227" s="75">
        <v>10</v>
      </c>
      <c r="H227" s="75">
        <v>95</v>
      </c>
      <c r="I227" s="75">
        <v>80.489999999999995</v>
      </c>
      <c r="J227" s="78">
        <v>82.91</v>
      </c>
      <c r="K227" s="82">
        <v>2449000</v>
      </c>
      <c r="L227" s="83">
        <v>3104000</v>
      </c>
      <c r="M227" s="83">
        <v>68</v>
      </c>
      <c r="N227" s="83">
        <v>43</v>
      </c>
      <c r="O227" s="75">
        <v>2.96</v>
      </c>
      <c r="P227" s="83">
        <v>45647</v>
      </c>
      <c r="Q227" s="83">
        <v>134957</v>
      </c>
      <c r="R227" s="83">
        <v>208012</v>
      </c>
      <c r="S227" s="83">
        <v>111318</v>
      </c>
      <c r="T227" s="83">
        <v>204430</v>
      </c>
      <c r="U227" s="78">
        <v>1.27</v>
      </c>
      <c r="V227" s="82">
        <v>23</v>
      </c>
      <c r="W227" s="86">
        <v>22</v>
      </c>
      <c r="X227" s="82">
        <v>202556790</v>
      </c>
      <c r="Y227" s="70" t="s">
        <v>75</v>
      </c>
      <c r="Z227" s="82">
        <v>2770785</v>
      </c>
      <c r="AA227" s="83">
        <v>6699510</v>
      </c>
      <c r="AB227" s="83">
        <v>5086665</v>
      </c>
      <c r="AC227" s="83">
        <v>744390</v>
      </c>
      <c r="AD227" s="83">
        <v>4879890</v>
      </c>
      <c r="AE227" s="66" t="s">
        <v>12</v>
      </c>
      <c r="AF227" s="83">
        <v>3639240</v>
      </c>
      <c r="AG227" s="83">
        <v>2522655</v>
      </c>
      <c r="AH227" s="83">
        <v>9883845</v>
      </c>
      <c r="AI227" s="83">
        <v>23944545</v>
      </c>
      <c r="AJ227" s="83">
        <v>4590405</v>
      </c>
      <c r="AK227" s="83">
        <v>13688505</v>
      </c>
      <c r="AL227" s="83">
        <v>1033875</v>
      </c>
      <c r="AM227" s="83">
        <v>2936205</v>
      </c>
      <c r="AN227" s="83">
        <v>3515175</v>
      </c>
      <c r="AO227" s="83">
        <v>24316740</v>
      </c>
      <c r="AP227" s="83">
        <v>165420</v>
      </c>
      <c r="AQ227" s="83">
        <v>23613705</v>
      </c>
      <c r="AR227" s="83">
        <v>0</v>
      </c>
      <c r="AS227" s="83">
        <v>744390</v>
      </c>
      <c r="AT227" s="83">
        <v>496260</v>
      </c>
      <c r="AU227" s="83">
        <v>620325</v>
      </c>
      <c r="AV227" s="83">
        <v>41479065</v>
      </c>
      <c r="AW227" s="83">
        <v>289485</v>
      </c>
      <c r="AX227" s="83">
        <v>8353710</v>
      </c>
      <c r="AY227" s="83">
        <v>2274525</v>
      </c>
      <c r="AZ227" s="66" t="s">
        <v>12</v>
      </c>
      <c r="BA227" s="83">
        <v>4962600</v>
      </c>
      <c r="BB227" s="83">
        <v>3473820</v>
      </c>
      <c r="BC227" s="83">
        <v>2026395</v>
      </c>
      <c r="BD227" s="83">
        <v>1282005</v>
      </c>
      <c r="BE227" s="83">
        <v>2522655</v>
      </c>
      <c r="BF227" s="90" t="s">
        <v>12</v>
      </c>
    </row>
  </sheetData>
  <mergeCells count="12">
    <mergeCell ref="U3:BF3"/>
    <mergeCell ref="A4:E4"/>
    <mergeCell ref="F4:J4"/>
    <mergeCell ref="K4:U4"/>
    <mergeCell ref="V4:W4"/>
    <mergeCell ref="X4:Y4"/>
    <mergeCell ref="Z4:BF4"/>
    <mergeCell ref="A1:B1"/>
    <mergeCell ref="A2:B2"/>
    <mergeCell ref="C2:I2"/>
    <mergeCell ref="A3:J3"/>
    <mergeCell ref="K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</vt:lpstr>
      <vt:lpstr>ETS price ICAP</vt:lpstr>
      <vt:lpstr>ETS price EEX 2019 Spot Primary</vt:lpstr>
      <vt:lpstr>ETS price EEX 2022 Spot Primary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Reischl</dc:creator>
  <cp:lastModifiedBy>TU-Pseudonym 17597817373210480660874232332</cp:lastModifiedBy>
  <dcterms:created xsi:type="dcterms:W3CDTF">2026-05-22T06:58:45Z</dcterms:created>
  <dcterms:modified xsi:type="dcterms:W3CDTF">2026-05-28T22:20:53Z</dcterms:modified>
</cp:coreProperties>
</file>