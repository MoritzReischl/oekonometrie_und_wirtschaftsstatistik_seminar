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ritz Reischl\GitHub - SÖW\oekonometrie_und_wirtschaftsstatistik_seminar\data\raw\mapping ets nace\"/>
    </mc:Choice>
  </mc:AlternateContent>
  <xr:revisionPtr revIDLastSave="0" documentId="13_ncr:1_{596C0473-0013-4B14-B905-411E54DC15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apping ETS to NACE All Levels" sheetId="9" r:id="rId1"/>
    <sheet name="NACE Rev. All Levels" sheetId="5" r:id="rId2"/>
    <sheet name="ETS activities" sheetId="3" r:id="rId3"/>
    <sheet name="NACE Rev. 2 Level 3" sheetId="4" r:id="rId4"/>
  </sheets>
  <definedNames>
    <definedName name="_xlnm._FilterDatabase" localSheetId="1" hidden="1">'NACE Rev. All Levels'!$A$1:$F$997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9" l="1" a="1"/>
  <c r="D34" i="9" s="1"/>
  <c r="D33" i="9" a="1"/>
  <c r="D33" i="9" s="1"/>
  <c r="D32" i="9" a="1"/>
  <c r="D32" i="9" s="1"/>
  <c r="D31" i="9" a="1"/>
  <c r="D31" i="9" s="1"/>
  <c r="D30" i="9" a="1"/>
  <c r="D30" i="9" s="1"/>
  <c r="D29" i="9" a="1"/>
  <c r="D29" i="9" s="1"/>
  <c r="D28" i="9" a="1"/>
  <c r="D28" i="9" s="1"/>
  <c r="D27" i="9" a="1"/>
  <c r="D27" i="9" s="1"/>
  <c r="D26" i="9" a="1"/>
  <c r="D26" i="9" s="1"/>
  <c r="D25" i="9" a="1"/>
  <c r="D25" i="9" s="1"/>
  <c r="D24" i="9" a="1"/>
  <c r="D24" i="9" s="1"/>
  <c r="D23" i="9" a="1"/>
  <c r="D23" i="9" s="1"/>
  <c r="D22" i="9" a="1"/>
  <c r="D22" i="9" s="1"/>
  <c r="D21" i="9" a="1"/>
  <c r="D21" i="9" s="1"/>
  <c r="D20" i="9" a="1"/>
  <c r="D20" i="9" s="1"/>
  <c r="D19" i="9" a="1"/>
  <c r="D19" i="9" s="1"/>
  <c r="D18" i="9" a="1"/>
  <c r="D18" i="9" s="1"/>
  <c r="D17" i="9" a="1"/>
  <c r="D17" i="9" s="1"/>
  <c r="D16" i="9" a="1"/>
  <c r="D16" i="9" s="1"/>
  <c r="D15" i="9" a="1"/>
  <c r="D15" i="9" s="1"/>
  <c r="D14" i="9" a="1"/>
  <c r="D14" i="9" s="1"/>
  <c r="D13" i="9" a="1"/>
  <c r="D13" i="9" s="1"/>
  <c r="D12" i="9" a="1"/>
  <c r="D12" i="9" s="1"/>
  <c r="D11" i="9" a="1"/>
  <c r="D11" i="9" s="1"/>
  <c r="D10" i="9" a="1"/>
  <c r="D10" i="9" s="1"/>
  <c r="D9" i="9" a="1"/>
  <c r="D9" i="9" s="1"/>
  <c r="D8" i="9" a="1"/>
  <c r="D8" i="9" s="1"/>
  <c r="D7" i="9" a="1"/>
  <c r="D7" i="9" s="1"/>
  <c r="D6" i="9" a="1"/>
  <c r="D6" i="9" s="1"/>
  <c r="D5" i="9" a="1"/>
  <c r="D5" i="9" s="1"/>
  <c r="D4" i="9" a="1"/>
  <c r="D4" i="9" s="1"/>
  <c r="D3" i="9" a="1"/>
  <c r="D3" i="9" s="1"/>
  <c r="D2" i="9" a="1"/>
  <c r="D2" i="9" s="1"/>
  <c r="K37" i="9" a="1"/>
  <c r="K37" i="9" s="1"/>
  <c r="K36" i="9" a="1"/>
  <c r="K36" i="9" s="1"/>
  <c r="K35" i="9" a="1"/>
  <c r="K35" i="9" s="1"/>
  <c r="K34" i="9" a="1"/>
  <c r="K34" i="9" s="1"/>
  <c r="K33" i="9" a="1"/>
  <c r="K33" i="9" s="1"/>
  <c r="K32" i="9" a="1"/>
  <c r="K32" i="9" s="1"/>
  <c r="K31" i="9" a="1"/>
  <c r="K31" i="9" s="1"/>
  <c r="K30" i="9" a="1"/>
  <c r="K30" i="9" s="1"/>
  <c r="K29" i="9" a="1"/>
  <c r="K29" i="9" s="1"/>
  <c r="K28" i="9" a="1"/>
  <c r="K28" i="9" s="1"/>
  <c r="K27" i="9" a="1"/>
  <c r="K27" i="9" s="1"/>
  <c r="K26" i="9" a="1"/>
  <c r="K26" i="9" s="1"/>
  <c r="K25" i="9" a="1"/>
  <c r="K25" i="9" s="1"/>
  <c r="K24" i="9" a="1"/>
  <c r="K24" i="9" s="1"/>
  <c r="K23" i="9" a="1"/>
  <c r="K23" i="9" s="1"/>
  <c r="K22" i="9" a="1"/>
  <c r="K22" i="9" s="1"/>
  <c r="K21" i="9" a="1"/>
  <c r="K21" i="9" s="1"/>
  <c r="K20" i="9" a="1"/>
  <c r="K20" i="9" s="1"/>
  <c r="K19" i="9" a="1"/>
  <c r="K19" i="9" s="1"/>
  <c r="K18" i="9" a="1"/>
  <c r="K18" i="9" s="1"/>
  <c r="K17" i="9" a="1"/>
  <c r="K17" i="9" s="1"/>
  <c r="K16" i="9" a="1"/>
  <c r="K16" i="9" s="1"/>
  <c r="K15" i="9" a="1"/>
  <c r="K15" i="9" s="1"/>
  <c r="K14" i="9" a="1"/>
  <c r="K14" i="9" s="1"/>
  <c r="K13" i="9" a="1"/>
  <c r="K13" i="9" s="1"/>
  <c r="K12" i="9" a="1"/>
  <c r="K12" i="9" s="1"/>
  <c r="K11" i="9" a="1"/>
  <c r="K11" i="9" s="1"/>
  <c r="K10" i="9" a="1"/>
  <c r="K10" i="9" s="1"/>
  <c r="K9" i="9" a="1"/>
  <c r="K9" i="9" s="1"/>
  <c r="K8" i="9" a="1"/>
  <c r="K8" i="9" s="1"/>
  <c r="K7" i="9" a="1"/>
  <c r="K7" i="9" s="1"/>
  <c r="K6" i="9" a="1"/>
  <c r="K6" i="9" s="1"/>
  <c r="K5" i="9" a="1"/>
  <c r="K5" i="9" s="1"/>
  <c r="K4" i="9" a="1"/>
  <c r="K4" i="9" s="1"/>
  <c r="K3" i="9" a="1"/>
  <c r="K3" i="9" s="1"/>
  <c r="K2" i="9" a="1"/>
  <c r="K2" i="9" s="1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M37" i="9" a="1"/>
  <c r="M37" i="9" s="1"/>
  <c r="M36" i="9" a="1"/>
  <c r="M36" i="9" s="1"/>
  <c r="M35" i="9" a="1"/>
  <c r="M35" i="9" s="1"/>
  <c r="M34" i="9" a="1"/>
  <c r="M34" i="9" s="1"/>
  <c r="M33" i="9" a="1"/>
  <c r="M33" i="9" s="1"/>
  <c r="M32" i="9" a="1"/>
  <c r="M32" i="9" s="1"/>
  <c r="M31" i="9" a="1"/>
  <c r="M31" i="9" s="1"/>
  <c r="M30" i="9" a="1"/>
  <c r="M30" i="9" s="1"/>
  <c r="M29" i="9" a="1"/>
  <c r="M29" i="9" s="1"/>
  <c r="M28" i="9" a="1"/>
  <c r="M28" i="9" s="1"/>
  <c r="M27" i="9" a="1"/>
  <c r="M27" i="9" s="1"/>
  <c r="M26" i="9" a="1"/>
  <c r="M26" i="9" s="1"/>
  <c r="M25" i="9" a="1"/>
  <c r="M25" i="9" s="1"/>
  <c r="M24" i="9" a="1"/>
  <c r="M24" i="9" s="1"/>
  <c r="M23" i="9" a="1"/>
  <c r="M23" i="9" s="1"/>
  <c r="M22" i="9" a="1"/>
  <c r="M22" i="9" s="1"/>
  <c r="M21" i="9" a="1"/>
  <c r="M21" i="9" s="1"/>
  <c r="M20" i="9" a="1"/>
  <c r="M20" i="9" s="1"/>
  <c r="M19" i="9" a="1"/>
  <c r="M19" i="9" s="1"/>
  <c r="M18" i="9" a="1"/>
  <c r="M18" i="9" s="1"/>
  <c r="M17" i="9" a="1"/>
  <c r="M17" i="9" s="1"/>
  <c r="M16" i="9" a="1"/>
  <c r="M16" i="9" s="1"/>
  <c r="M15" i="9" a="1"/>
  <c r="M15" i="9" s="1"/>
  <c r="M14" i="9" a="1"/>
  <c r="M14" i="9" s="1"/>
  <c r="M13" i="9" a="1"/>
  <c r="M13" i="9" s="1"/>
  <c r="M12" i="9" a="1"/>
  <c r="M12" i="9" s="1"/>
  <c r="M11" i="9" a="1"/>
  <c r="M11" i="9" s="1"/>
  <c r="M10" i="9" a="1"/>
  <c r="M10" i="9" s="1"/>
  <c r="M9" i="9" a="1"/>
  <c r="M9" i="9" s="1"/>
  <c r="M8" i="9" a="1"/>
  <c r="M8" i="9" s="1"/>
  <c r="M7" i="9" a="1"/>
  <c r="M7" i="9" s="1"/>
  <c r="M6" i="9" a="1"/>
  <c r="M6" i="9" s="1"/>
  <c r="M5" i="9" a="1"/>
  <c r="M5" i="9" s="1"/>
  <c r="M4" i="9" a="1"/>
  <c r="M4" i="9" s="1"/>
  <c r="M3" i="9" a="1"/>
  <c r="M3" i="9" s="1"/>
  <c r="M2" i="9" a="1"/>
  <c r="M2" i="9" s="1"/>
  <c r="F37" i="9" a="1"/>
  <c r="F37" i="9" s="1"/>
  <c r="F36" i="9" a="1"/>
  <c r="F36" i="9" s="1"/>
  <c r="F35" i="9" a="1"/>
  <c r="F35" i="9" s="1"/>
  <c r="F34" i="9" a="1"/>
  <c r="F34" i="9" s="1"/>
  <c r="F33" i="9" a="1"/>
  <c r="F33" i="9" s="1"/>
  <c r="F32" i="9" a="1"/>
  <c r="F32" i="9" s="1"/>
  <c r="F31" i="9" a="1"/>
  <c r="F31" i="9" s="1"/>
  <c r="F30" i="9" a="1"/>
  <c r="F30" i="9" s="1"/>
  <c r="F29" i="9" a="1"/>
  <c r="F29" i="9" s="1"/>
  <c r="F28" i="9" a="1"/>
  <c r="F28" i="9" s="1"/>
  <c r="F27" i="9" a="1"/>
  <c r="F27" i="9" s="1"/>
  <c r="F26" i="9" a="1"/>
  <c r="F26" i="9" s="1"/>
  <c r="F25" i="9" a="1"/>
  <c r="F25" i="9" s="1"/>
  <c r="F24" i="9" a="1"/>
  <c r="F24" i="9" s="1"/>
  <c r="F23" i="9" a="1"/>
  <c r="F23" i="9" s="1"/>
  <c r="F22" i="9" a="1"/>
  <c r="F22" i="9" s="1"/>
  <c r="F21" i="9" a="1"/>
  <c r="F21" i="9" s="1"/>
  <c r="F20" i="9" a="1"/>
  <c r="F20" i="9" s="1"/>
  <c r="F19" i="9" a="1"/>
  <c r="F19" i="9" s="1"/>
  <c r="F18" i="9" a="1"/>
  <c r="F18" i="9" s="1"/>
  <c r="F17" i="9" a="1"/>
  <c r="F17" i="9" s="1"/>
  <c r="F16" i="9" a="1"/>
  <c r="F16" i="9" s="1"/>
  <c r="F15" i="9" a="1"/>
  <c r="F15" i="9" s="1"/>
  <c r="F14" i="9" a="1"/>
  <c r="F14" i="9" s="1"/>
  <c r="F13" i="9" a="1"/>
  <c r="F13" i="9" s="1"/>
  <c r="F12" i="9" a="1"/>
  <c r="F12" i="9" s="1"/>
  <c r="F11" i="9" a="1"/>
  <c r="F11" i="9" s="1"/>
  <c r="F10" i="9" a="1"/>
  <c r="F10" i="9" s="1"/>
  <c r="F9" i="9" a="1"/>
  <c r="F9" i="9" s="1"/>
  <c r="F8" i="9" a="1"/>
  <c r="F8" i="9" s="1"/>
  <c r="F7" i="9" a="1"/>
  <c r="F7" i="9" s="1"/>
  <c r="F6" i="9" a="1"/>
  <c r="F6" i="9" s="1"/>
  <c r="F5" i="9" a="1"/>
  <c r="F5" i="9" s="1"/>
  <c r="F4" i="9" a="1"/>
  <c r="F4" i="9" s="1"/>
  <c r="F3" i="9" a="1"/>
  <c r="F3" i="9" s="1"/>
  <c r="F2" i="9" a="1"/>
  <c r="F2" i="9" s="1"/>
  <c r="C17" i="3"/>
  <c r="C32" i="3"/>
  <c r="C976" i="5"/>
  <c r="C973" i="5"/>
  <c r="C971" i="5"/>
  <c r="C968" i="5"/>
  <c r="C965" i="5"/>
  <c r="C964" i="5"/>
  <c r="C963" i="5"/>
  <c r="C962" i="5"/>
  <c r="C961" i="5"/>
  <c r="C958" i="5"/>
  <c r="C957" i="5"/>
  <c r="C956" i="5"/>
  <c r="C955" i="5"/>
  <c r="C954" i="5"/>
  <c r="C953" i="5"/>
  <c r="C951" i="5"/>
  <c r="C950" i="5"/>
  <c r="C947" i="5"/>
  <c r="C946" i="5"/>
  <c r="C945" i="5"/>
  <c r="C943" i="5"/>
  <c r="C941" i="5"/>
  <c r="C940" i="5"/>
  <c r="C937" i="5"/>
  <c r="C936" i="5"/>
  <c r="C934" i="5"/>
  <c r="C933" i="5"/>
  <c r="C932" i="5"/>
  <c r="C931" i="5"/>
  <c r="C928" i="5"/>
  <c r="C925" i="5"/>
  <c r="C924" i="5"/>
  <c r="C923" i="5"/>
  <c r="C922" i="5"/>
  <c r="C919" i="5"/>
  <c r="C918" i="5"/>
  <c r="C917" i="5"/>
  <c r="C916" i="5"/>
  <c r="C913" i="5"/>
  <c r="C912" i="5"/>
  <c r="C910" i="5"/>
  <c r="C907" i="5"/>
  <c r="C905" i="5"/>
  <c r="C903" i="5"/>
  <c r="C901" i="5"/>
  <c r="C898" i="5"/>
  <c r="C896" i="5"/>
  <c r="C895" i="5"/>
  <c r="C894" i="5"/>
  <c r="C892" i="5"/>
  <c r="C889" i="5"/>
  <c r="C887" i="5"/>
  <c r="C886" i="5"/>
  <c r="C885" i="5"/>
  <c r="C884" i="5"/>
  <c r="C882" i="5"/>
  <c r="C881" i="5"/>
  <c r="C879" i="5"/>
  <c r="C878" i="5"/>
  <c r="C876" i="5"/>
  <c r="C874" i="5"/>
  <c r="C871" i="5"/>
  <c r="C869" i="5"/>
  <c r="C868" i="5"/>
  <c r="C867" i="5"/>
  <c r="C866" i="5"/>
  <c r="C865" i="5"/>
  <c r="C863" i="5"/>
  <c r="C862" i="5"/>
  <c r="C861" i="5"/>
  <c r="C858" i="5"/>
  <c r="C857" i="5"/>
  <c r="C856" i="5"/>
  <c r="C854" i="5"/>
  <c r="C852" i="5"/>
  <c r="C850" i="5"/>
  <c r="C849" i="5"/>
  <c r="C846" i="5"/>
  <c r="C844" i="5"/>
  <c r="C843" i="5"/>
  <c r="C842" i="5"/>
  <c r="C840" i="5"/>
  <c r="C837" i="5"/>
  <c r="C835" i="5"/>
  <c r="C833" i="5"/>
  <c r="C830" i="5"/>
  <c r="C828" i="5"/>
  <c r="C827" i="5"/>
  <c r="C824" i="5"/>
  <c r="C822" i="5"/>
  <c r="C820" i="5"/>
  <c r="C817" i="5"/>
  <c r="C815" i="5"/>
  <c r="C814" i="5"/>
  <c r="C813" i="5"/>
  <c r="C812" i="5"/>
  <c r="C811" i="5"/>
  <c r="C810" i="5"/>
  <c r="C808" i="5"/>
  <c r="C807" i="5"/>
  <c r="C806" i="5"/>
  <c r="C804" i="5"/>
  <c r="C803" i="5"/>
  <c r="C800" i="5"/>
  <c r="C797" i="5"/>
  <c r="C795" i="5"/>
  <c r="C793" i="5"/>
  <c r="C791" i="5"/>
  <c r="C788" i="5"/>
  <c r="C786" i="5"/>
  <c r="C785" i="5"/>
  <c r="C782" i="5"/>
  <c r="C780" i="5"/>
  <c r="C779" i="5"/>
  <c r="C776" i="5"/>
  <c r="C774" i="5"/>
  <c r="C773" i="5"/>
  <c r="C770" i="5"/>
  <c r="C769" i="5"/>
  <c r="C767" i="5"/>
  <c r="C764" i="5"/>
  <c r="C762" i="5"/>
  <c r="C759" i="5"/>
  <c r="C758" i="5"/>
  <c r="C756" i="5"/>
  <c r="C754" i="5"/>
  <c r="C751" i="5"/>
  <c r="C749" i="5"/>
  <c r="C748" i="5"/>
  <c r="C747" i="5"/>
  <c r="C745" i="5"/>
  <c r="C744" i="5"/>
  <c r="C743" i="5"/>
  <c r="C740" i="5"/>
  <c r="C738" i="5"/>
  <c r="C736" i="5"/>
  <c r="C735" i="5"/>
  <c r="C732" i="5"/>
  <c r="C731" i="5"/>
  <c r="C730" i="5"/>
  <c r="C728" i="5"/>
  <c r="C726" i="5"/>
  <c r="C724" i="5"/>
  <c r="C723" i="5"/>
  <c r="C720" i="5"/>
  <c r="C719" i="5"/>
  <c r="C717" i="5"/>
  <c r="C716" i="5"/>
  <c r="C713" i="5"/>
  <c r="C712" i="5"/>
  <c r="C711" i="5"/>
  <c r="C710" i="5"/>
  <c r="C707" i="5"/>
  <c r="C705" i="5"/>
  <c r="C703" i="5"/>
  <c r="C701" i="5"/>
  <c r="C698" i="5"/>
  <c r="C696" i="5"/>
  <c r="C693" i="5"/>
  <c r="C691" i="5"/>
  <c r="C690" i="5"/>
  <c r="C689" i="5"/>
  <c r="C688" i="5"/>
  <c r="C685" i="5"/>
  <c r="C684" i="5"/>
  <c r="C682" i="5"/>
  <c r="C681" i="5"/>
  <c r="C680" i="5"/>
  <c r="C679" i="5"/>
  <c r="C678" i="5"/>
  <c r="C675" i="5"/>
  <c r="C673" i="5"/>
  <c r="C672" i="5"/>
  <c r="C670" i="5"/>
  <c r="C667" i="5"/>
  <c r="C665" i="5"/>
  <c r="C663" i="5"/>
  <c r="C661" i="5"/>
  <c r="C658" i="5"/>
  <c r="C656" i="5"/>
  <c r="C653" i="5"/>
  <c r="C652" i="5"/>
  <c r="C651" i="5"/>
  <c r="C650" i="5"/>
  <c r="C649" i="5"/>
  <c r="C647" i="5"/>
  <c r="C644" i="5"/>
  <c r="C643" i="5"/>
  <c r="C641" i="5"/>
  <c r="C638" i="5"/>
  <c r="C636" i="5"/>
  <c r="C634" i="5"/>
  <c r="C632" i="5"/>
  <c r="C629" i="5"/>
  <c r="C627" i="5"/>
  <c r="C626" i="5"/>
  <c r="C624" i="5"/>
  <c r="C623" i="5"/>
  <c r="C622" i="5"/>
  <c r="C620" i="5"/>
  <c r="C618" i="5"/>
  <c r="C615" i="5"/>
  <c r="C614" i="5"/>
  <c r="C612" i="5"/>
  <c r="C611" i="5"/>
  <c r="C610" i="5"/>
  <c r="C608" i="5"/>
  <c r="C607" i="5"/>
  <c r="C606" i="5"/>
  <c r="C605" i="5"/>
  <c r="C604" i="5"/>
  <c r="C603" i="5"/>
  <c r="C602" i="5"/>
  <c r="C601" i="5"/>
  <c r="C600" i="5"/>
  <c r="C598" i="5"/>
  <c r="C597" i="5"/>
  <c r="C596" i="5"/>
  <c r="C595" i="5"/>
  <c r="C594" i="5"/>
  <c r="C592" i="5"/>
  <c r="C591" i="5"/>
  <c r="C590" i="5"/>
  <c r="C589" i="5"/>
  <c r="C588" i="5"/>
  <c r="C586" i="5"/>
  <c r="C585" i="5"/>
  <c r="C584" i="5"/>
  <c r="C582" i="5"/>
  <c r="C580" i="5"/>
  <c r="C579" i="5"/>
  <c r="C578" i="5"/>
  <c r="C577" i="5"/>
  <c r="C576" i="5"/>
  <c r="C575" i="5"/>
  <c r="C574" i="5"/>
  <c r="C572" i="5"/>
  <c r="C571" i="5"/>
  <c r="C568" i="5"/>
  <c r="C566" i="5"/>
  <c r="C565" i="5"/>
  <c r="C564" i="5"/>
  <c r="C563" i="5"/>
  <c r="C562" i="5"/>
  <c r="C561" i="5"/>
  <c r="C560" i="5"/>
  <c r="C558" i="5"/>
  <c r="C557" i="5"/>
  <c r="C556" i="5"/>
  <c r="C555" i="5"/>
  <c r="C554" i="5"/>
  <c r="C553" i="5"/>
  <c r="C552" i="5"/>
  <c r="C550" i="5"/>
  <c r="C549" i="5"/>
  <c r="C547" i="5"/>
  <c r="C546" i="5"/>
  <c r="C545" i="5"/>
  <c r="C544" i="5"/>
  <c r="C543" i="5"/>
  <c r="C542" i="5"/>
  <c r="C541" i="5"/>
  <c r="C540" i="5"/>
  <c r="C539" i="5"/>
  <c r="C537" i="5"/>
  <c r="C536" i="5"/>
  <c r="C535" i="5"/>
  <c r="C534" i="5"/>
  <c r="C533" i="5"/>
  <c r="C532" i="5"/>
  <c r="C531" i="5"/>
  <c r="C530" i="5"/>
  <c r="C529" i="5"/>
  <c r="C527" i="5"/>
  <c r="C526" i="5"/>
  <c r="C525" i="5"/>
  <c r="C524" i="5"/>
  <c r="C522" i="5"/>
  <c r="C521" i="5"/>
  <c r="C520" i="5"/>
  <c r="C519" i="5"/>
  <c r="C518" i="5"/>
  <c r="C517" i="5"/>
  <c r="C516" i="5"/>
  <c r="C515" i="5"/>
  <c r="C514" i="5"/>
  <c r="C511" i="5"/>
  <c r="C509" i="5"/>
  <c r="C508" i="5"/>
  <c r="C506" i="5"/>
  <c r="C504" i="5"/>
  <c r="C503" i="5"/>
  <c r="C500" i="5"/>
  <c r="C499" i="5"/>
  <c r="C497" i="5"/>
  <c r="C496" i="5"/>
  <c r="C495" i="5"/>
  <c r="C494" i="5"/>
  <c r="C493" i="5"/>
  <c r="C491" i="5"/>
  <c r="C490" i="5"/>
  <c r="C489" i="5"/>
  <c r="C487" i="5"/>
  <c r="C486" i="5"/>
  <c r="C485" i="5"/>
  <c r="C482" i="5"/>
  <c r="C481" i="5"/>
  <c r="C479" i="5"/>
  <c r="C478" i="5"/>
  <c r="C476" i="5"/>
  <c r="C475" i="5"/>
  <c r="C474" i="5"/>
  <c r="C471" i="5"/>
  <c r="C469" i="5"/>
  <c r="C466" i="5"/>
  <c r="C463" i="5"/>
  <c r="C462" i="5"/>
  <c r="C460" i="5"/>
  <c r="C459" i="5"/>
  <c r="C457" i="5"/>
  <c r="C456" i="5"/>
  <c r="C453" i="5"/>
  <c r="C450" i="5"/>
  <c r="C447" i="5"/>
  <c r="C445" i="5"/>
  <c r="C444" i="5"/>
  <c r="C443" i="5"/>
  <c r="C441" i="5"/>
  <c r="C440" i="5"/>
  <c r="C439" i="5"/>
  <c r="C438" i="5"/>
  <c r="C435" i="5"/>
  <c r="C433" i="5"/>
  <c r="C432" i="5"/>
  <c r="C431" i="5"/>
  <c r="C430" i="5"/>
  <c r="C429" i="5"/>
  <c r="C428" i="5"/>
  <c r="C427" i="5"/>
  <c r="C426" i="5"/>
  <c r="C423" i="5"/>
  <c r="C422" i="5"/>
  <c r="C420" i="5"/>
  <c r="C418" i="5"/>
  <c r="C416" i="5"/>
  <c r="C414" i="5"/>
  <c r="C412" i="5"/>
  <c r="C411" i="5"/>
  <c r="C410" i="5"/>
  <c r="C407" i="5"/>
  <c r="C406" i="5"/>
  <c r="C405" i="5"/>
  <c r="C404" i="5"/>
  <c r="C401" i="5"/>
  <c r="C400" i="5"/>
  <c r="C399" i="5"/>
  <c r="C397" i="5"/>
  <c r="C395" i="5"/>
  <c r="C393" i="5"/>
  <c r="C391" i="5"/>
  <c r="C390" i="5"/>
  <c r="C387" i="5"/>
  <c r="C386" i="5"/>
  <c r="C384" i="5"/>
  <c r="C382" i="5"/>
  <c r="C379" i="5"/>
  <c r="C378" i="5"/>
  <c r="C377" i="5"/>
  <c r="C376" i="5"/>
  <c r="C375" i="5"/>
  <c r="C374" i="5"/>
  <c r="C373" i="5"/>
  <c r="C371" i="5"/>
  <c r="C370" i="5"/>
  <c r="C368" i="5"/>
  <c r="C366" i="5"/>
  <c r="C365" i="5"/>
  <c r="C364" i="5"/>
  <c r="C363" i="5"/>
  <c r="C362" i="5"/>
  <c r="C361" i="5"/>
  <c r="C359" i="5"/>
  <c r="C358" i="5"/>
  <c r="C357" i="5"/>
  <c r="C356" i="5"/>
  <c r="C355" i="5"/>
  <c r="C352" i="5"/>
  <c r="C350" i="5"/>
  <c r="C349" i="5"/>
  <c r="C347" i="5"/>
  <c r="C345" i="5"/>
  <c r="C344" i="5"/>
  <c r="C343" i="5"/>
  <c r="C341" i="5"/>
  <c r="C339" i="5"/>
  <c r="C338" i="5"/>
  <c r="C335" i="5"/>
  <c r="C333" i="5"/>
  <c r="C331" i="5"/>
  <c r="C329" i="5"/>
  <c r="C328" i="5"/>
  <c r="C326" i="5"/>
  <c r="C324" i="5"/>
  <c r="C322" i="5"/>
  <c r="C320" i="5"/>
  <c r="C319" i="5"/>
  <c r="C316" i="5"/>
  <c r="C315" i="5"/>
  <c r="C314" i="5"/>
  <c r="C313" i="5"/>
  <c r="C312" i="5"/>
  <c r="C310" i="5"/>
  <c r="C309" i="5"/>
  <c r="C308" i="5"/>
  <c r="C306" i="5"/>
  <c r="C305" i="5"/>
  <c r="C303" i="5"/>
  <c r="C301" i="5"/>
  <c r="C299" i="5"/>
  <c r="C297" i="5"/>
  <c r="C296" i="5"/>
  <c r="C294" i="5"/>
  <c r="C293" i="5"/>
  <c r="C290" i="5"/>
  <c r="C289" i="5"/>
  <c r="C288" i="5"/>
  <c r="C287" i="5"/>
  <c r="C285" i="5"/>
  <c r="C284" i="5"/>
  <c r="C283" i="5"/>
  <c r="C282" i="5"/>
  <c r="C280" i="5"/>
  <c r="C278" i="5"/>
  <c r="C277" i="5"/>
  <c r="C276" i="5"/>
  <c r="C275" i="5"/>
  <c r="C273" i="5"/>
  <c r="C271" i="5"/>
  <c r="C268" i="5"/>
  <c r="C267" i="5"/>
  <c r="C265" i="5"/>
  <c r="C263" i="5"/>
  <c r="C262" i="5"/>
  <c r="C261" i="5"/>
  <c r="C260" i="5"/>
  <c r="C259" i="5"/>
  <c r="C258" i="5"/>
  <c r="C256" i="5"/>
  <c r="C255" i="5"/>
  <c r="C253" i="5"/>
  <c r="C252" i="5"/>
  <c r="C251" i="5"/>
  <c r="C250" i="5"/>
  <c r="C249" i="5"/>
  <c r="C247" i="5"/>
  <c r="C246" i="5"/>
  <c r="C244" i="5"/>
  <c r="C242" i="5"/>
  <c r="C241" i="5"/>
  <c r="C240" i="5"/>
  <c r="C239" i="5"/>
  <c r="C238" i="5"/>
  <c r="C235" i="5"/>
  <c r="C234" i="5"/>
  <c r="C233" i="5"/>
  <c r="C232" i="5"/>
  <c r="C230" i="5"/>
  <c r="C229" i="5"/>
  <c r="C226" i="5"/>
  <c r="C224" i="5"/>
  <c r="C221" i="5"/>
  <c r="C219" i="5"/>
  <c r="C218" i="5"/>
  <c r="C217" i="5"/>
  <c r="C216" i="5"/>
  <c r="C214" i="5"/>
  <c r="C213" i="5"/>
  <c r="C211" i="5"/>
  <c r="C209" i="5"/>
  <c r="C207" i="5"/>
  <c r="C206" i="5"/>
  <c r="C205" i="5"/>
  <c r="C204" i="5"/>
  <c r="C203" i="5"/>
  <c r="C202" i="5"/>
  <c r="C201" i="5"/>
  <c r="C198" i="5"/>
  <c r="C196" i="5"/>
  <c r="C193" i="5"/>
  <c r="C191" i="5"/>
  <c r="C190" i="5"/>
  <c r="C189" i="5"/>
  <c r="C188" i="5"/>
  <c r="C185" i="5"/>
  <c r="C184" i="5"/>
  <c r="C183" i="5"/>
  <c r="C182" i="5"/>
  <c r="C181" i="5"/>
  <c r="C179" i="5"/>
  <c r="C178" i="5"/>
  <c r="C175" i="5"/>
  <c r="C174" i="5"/>
  <c r="C173" i="5"/>
  <c r="C172" i="5"/>
  <c r="C171" i="5"/>
  <c r="C169" i="5"/>
  <c r="C166" i="5"/>
  <c r="C164" i="5"/>
  <c r="C163" i="5"/>
  <c r="C160" i="5"/>
  <c r="C159" i="5"/>
  <c r="C157" i="5"/>
  <c r="C155" i="5"/>
  <c r="C154" i="5"/>
  <c r="C153" i="5"/>
  <c r="C152" i="5"/>
  <c r="C151" i="5"/>
  <c r="C148" i="5"/>
  <c r="C147" i="5"/>
  <c r="C146" i="5"/>
  <c r="C145" i="5"/>
  <c r="C144" i="5"/>
  <c r="C143" i="5"/>
  <c r="C142" i="5"/>
  <c r="C140" i="5"/>
  <c r="C138" i="5"/>
  <c r="C136" i="5"/>
  <c r="C133" i="5"/>
  <c r="C130" i="5"/>
  <c r="C129" i="5"/>
  <c r="C128" i="5"/>
  <c r="C127" i="5"/>
  <c r="C126" i="5"/>
  <c r="C125" i="5"/>
  <c r="C124" i="5"/>
  <c r="C121" i="5"/>
  <c r="C120" i="5"/>
  <c r="C118" i="5"/>
  <c r="C117" i="5"/>
  <c r="C116" i="5"/>
  <c r="C115" i="5"/>
  <c r="C114" i="5"/>
  <c r="C113" i="5"/>
  <c r="C112" i="5"/>
  <c r="C110" i="5"/>
  <c r="C109" i="5"/>
  <c r="C108" i="5"/>
  <c r="C106" i="5"/>
  <c r="C105" i="5"/>
  <c r="C103" i="5"/>
  <c r="C102" i="5"/>
  <c r="C100" i="5"/>
  <c r="C99" i="5"/>
  <c r="C97" i="5"/>
  <c r="C96" i="5"/>
  <c r="C95" i="5"/>
  <c r="C93" i="5"/>
  <c r="C91" i="5"/>
  <c r="C90" i="5"/>
  <c r="C89" i="5"/>
  <c r="C86" i="5"/>
  <c r="C84" i="5"/>
  <c r="C81" i="5"/>
  <c r="C80" i="5"/>
  <c r="C79" i="5"/>
  <c r="C78" i="5"/>
  <c r="C76" i="5"/>
  <c r="C75" i="5"/>
  <c r="C72" i="5"/>
  <c r="C71" i="5"/>
  <c r="C69" i="5"/>
  <c r="C66" i="5"/>
  <c r="C64" i="5"/>
  <c r="C61" i="5"/>
  <c r="C59" i="5"/>
  <c r="C56" i="5"/>
  <c r="C55" i="5"/>
  <c r="C53" i="5"/>
  <c r="C52" i="5"/>
  <c r="C49" i="5"/>
  <c r="C47" i="5"/>
  <c r="C45" i="5"/>
  <c r="C43" i="5"/>
  <c r="C40" i="5"/>
  <c r="C38" i="5"/>
  <c r="C37" i="5"/>
  <c r="C35" i="5"/>
  <c r="C33" i="5"/>
  <c r="C31" i="5"/>
  <c r="C30" i="5"/>
  <c r="C29" i="5"/>
  <c r="C28" i="5"/>
  <c r="C27" i="5"/>
  <c r="C26" i="5"/>
  <c r="C25" i="5"/>
  <c r="C24" i="5"/>
  <c r="C22" i="5"/>
  <c r="C20" i="5"/>
  <c r="C19" i="5"/>
  <c r="C18" i="5"/>
  <c r="C17" i="5"/>
  <c r="C16" i="5"/>
  <c r="C15" i="5"/>
  <c r="C14" i="5"/>
  <c r="C13" i="5"/>
  <c r="C12" i="5"/>
  <c r="C10" i="5"/>
  <c r="C9" i="5"/>
  <c r="C8" i="5"/>
  <c r="C7" i="5"/>
  <c r="C6" i="5"/>
  <c r="C5" i="5"/>
  <c r="C4" i="5"/>
  <c r="C975" i="5"/>
  <c r="C972" i="5"/>
  <c r="C970" i="5"/>
  <c r="C967" i="5"/>
  <c r="C960" i="5"/>
  <c r="C952" i="5"/>
  <c r="C949" i="5"/>
  <c r="C944" i="5"/>
  <c r="C942" i="5"/>
  <c r="C939" i="5"/>
  <c r="C935" i="5"/>
  <c r="C930" i="5"/>
  <c r="C927" i="5"/>
  <c r="C921" i="5"/>
  <c r="C915" i="5"/>
  <c r="C911" i="5"/>
  <c r="C909" i="5"/>
  <c r="C906" i="5"/>
  <c r="C904" i="5"/>
  <c r="C902" i="5"/>
  <c r="C900" i="5"/>
  <c r="C897" i="5"/>
  <c r="C893" i="5"/>
  <c r="C891" i="5"/>
  <c r="C888" i="5"/>
  <c r="C883" i="5"/>
  <c r="C880" i="5"/>
  <c r="C877" i="5"/>
  <c r="C875" i="5"/>
  <c r="C873" i="5"/>
  <c r="C870" i="5"/>
  <c r="C864" i="5"/>
  <c r="C860" i="5"/>
  <c r="C855" i="5"/>
  <c r="C853" i="5"/>
  <c r="C851" i="5"/>
  <c r="C848" i="5"/>
  <c r="C845" i="5"/>
  <c r="C841" i="5"/>
  <c r="C839" i="5"/>
  <c r="C836" i="5"/>
  <c r="C834" i="5"/>
  <c r="C832" i="5"/>
  <c r="C829" i="5"/>
  <c r="C826" i="5"/>
  <c r="C823" i="5"/>
  <c r="C821" i="5"/>
  <c r="C819" i="5"/>
  <c r="C816" i="5"/>
  <c r="C809" i="5"/>
  <c r="C805" i="5"/>
  <c r="C802" i="5"/>
  <c r="C799" i="5"/>
  <c r="C796" i="5"/>
  <c r="C794" i="5"/>
  <c r="C792" i="5"/>
  <c r="C790" i="5"/>
  <c r="C787" i="5"/>
  <c r="C784" i="5"/>
  <c r="C781" i="5"/>
  <c r="C778" i="5"/>
  <c r="C775" i="5"/>
  <c r="C772" i="5"/>
  <c r="C768" i="5"/>
  <c r="C766" i="5"/>
  <c r="C763" i="5"/>
  <c r="C761" i="5"/>
  <c r="C757" i="5"/>
  <c r="C755" i="5"/>
  <c r="C753" i="5"/>
  <c r="C750" i="5"/>
  <c r="C746" i="5"/>
  <c r="C742" i="5"/>
  <c r="C739" i="5"/>
  <c r="C737" i="5"/>
  <c r="C734" i="5"/>
  <c r="C729" i="5"/>
  <c r="C727" i="5"/>
  <c r="C725" i="5"/>
  <c r="C722" i="5"/>
  <c r="C718" i="5"/>
  <c r="C715" i="5"/>
  <c r="C709" i="5"/>
  <c r="C706" i="5"/>
  <c r="C704" i="5"/>
  <c r="C702" i="5"/>
  <c r="C700" i="5"/>
  <c r="C697" i="5"/>
  <c r="C695" i="5"/>
  <c r="C692" i="5"/>
  <c r="C687" i="5"/>
  <c r="C683" i="5"/>
  <c r="C677" i="5"/>
  <c r="C674" i="5"/>
  <c r="C671" i="5"/>
  <c r="C669" i="5"/>
  <c r="C666" i="5"/>
  <c r="C664" i="5"/>
  <c r="C662" i="5"/>
  <c r="C660" i="5"/>
  <c r="C657" i="5"/>
  <c r="C655" i="5"/>
  <c r="C648" i="5"/>
  <c r="C646" i="5"/>
  <c r="C642" i="5"/>
  <c r="C640" i="5"/>
  <c r="C637" i="5"/>
  <c r="C635" i="5"/>
  <c r="C633" i="5"/>
  <c r="C631" i="5"/>
  <c r="C628" i="5"/>
  <c r="C625" i="5"/>
  <c r="C621" i="5"/>
  <c r="C619" i="5"/>
  <c r="C617" i="5"/>
  <c r="C613" i="5"/>
  <c r="C609" i="5"/>
  <c r="C599" i="5"/>
  <c r="C593" i="5"/>
  <c r="C587" i="5"/>
  <c r="C583" i="5"/>
  <c r="C581" i="5"/>
  <c r="C573" i="5"/>
  <c r="C570" i="5"/>
  <c r="C567" i="5"/>
  <c r="C559" i="5"/>
  <c r="C551" i="5"/>
  <c r="C548" i="5"/>
  <c r="C538" i="5"/>
  <c r="C528" i="5"/>
  <c r="C523" i="5"/>
  <c r="C513" i="5"/>
  <c r="C510" i="5"/>
  <c r="C507" i="5"/>
  <c r="C505" i="5"/>
  <c r="C502" i="5"/>
  <c r="C498" i="5"/>
  <c r="C492" i="5"/>
  <c r="C488" i="5"/>
  <c r="C484" i="5"/>
  <c r="C480" i="5"/>
  <c r="C477" i="5"/>
  <c r="C473" i="5"/>
  <c r="C470" i="5"/>
  <c r="C468" i="5"/>
  <c r="C465" i="5"/>
  <c r="C461" i="5"/>
  <c r="C458" i="5"/>
  <c r="C455" i="5"/>
  <c r="C452" i="5"/>
  <c r="C449" i="5"/>
  <c r="C446" i="5"/>
  <c r="C442" i="5"/>
  <c r="C437" i="5"/>
  <c r="C434" i="5"/>
  <c r="C425" i="5"/>
  <c r="C421" i="5"/>
  <c r="C419" i="5"/>
  <c r="C417" i="5"/>
  <c r="C415" i="5"/>
  <c r="C413" i="5"/>
  <c r="C409" i="5"/>
  <c r="C403" i="5"/>
  <c r="C398" i="5"/>
  <c r="C396" i="5"/>
  <c r="C394" i="5"/>
  <c r="C392" i="5"/>
  <c r="C389" i="5"/>
  <c r="C385" i="5"/>
  <c r="C383" i="5"/>
  <c r="C381" i="5"/>
  <c r="C372" i="5"/>
  <c r="C369" i="5"/>
  <c r="C367" i="5"/>
  <c r="C360" i="5"/>
  <c r="C354" i="5"/>
  <c r="C351" i="5"/>
  <c r="C348" i="5"/>
  <c r="C346" i="5"/>
  <c r="C342" i="5"/>
  <c r="C340" i="5"/>
  <c r="C337" i="5"/>
  <c r="C334" i="5"/>
  <c r="C332" i="5"/>
  <c r="C330" i="5"/>
  <c r="C327" i="5"/>
  <c r="C325" i="5"/>
  <c r="C323" i="5"/>
  <c r="C321" i="5"/>
  <c r="C318" i="5"/>
  <c r="C311" i="5"/>
  <c r="C307" i="5"/>
  <c r="C304" i="5"/>
  <c r="C302" i="5"/>
  <c r="C300" i="5"/>
  <c r="C298" i="5"/>
  <c r="C295" i="5"/>
  <c r="C292" i="5"/>
  <c r="C286" i="5"/>
  <c r="C279" i="5"/>
  <c r="C274" i="5"/>
  <c r="C272" i="5"/>
  <c r="C270" i="5"/>
  <c r="C266" i="5"/>
  <c r="C264" i="5"/>
  <c r="C257" i="5"/>
  <c r="C254" i="5"/>
  <c r="C248" i="5"/>
  <c r="C245" i="5"/>
  <c r="C243" i="5"/>
  <c r="C237" i="5"/>
  <c r="C231" i="5"/>
  <c r="C228" i="5"/>
  <c r="C225" i="5"/>
  <c r="C223" i="5"/>
  <c r="C220" i="5"/>
  <c r="C215" i="5"/>
  <c r="C212" i="5"/>
  <c r="C210" i="5"/>
  <c r="C208" i="5"/>
  <c r="C200" i="5"/>
  <c r="C197" i="5"/>
  <c r="C195" i="5"/>
  <c r="C192" i="5"/>
  <c r="C187" i="5"/>
  <c r="C180" i="5"/>
  <c r="C177" i="5"/>
  <c r="C170" i="5"/>
  <c r="C168" i="5"/>
  <c r="C165" i="5"/>
  <c r="C162" i="5"/>
  <c r="C158" i="5"/>
  <c r="C156" i="5"/>
  <c r="C150" i="5"/>
  <c r="C141" i="5"/>
  <c r="C139" i="5"/>
  <c r="C137" i="5"/>
  <c r="C135" i="5"/>
  <c r="C132" i="5"/>
  <c r="C123" i="5"/>
  <c r="C119" i="5"/>
  <c r="C111" i="5"/>
  <c r="C107" i="5"/>
  <c r="C104" i="5"/>
  <c r="C101" i="5"/>
  <c r="C98" i="5"/>
  <c r="C94" i="5"/>
  <c r="C92" i="5"/>
  <c r="C88" i="5"/>
  <c r="C85" i="5"/>
  <c r="C83" i="5"/>
  <c r="C77" i="5"/>
  <c r="C74" i="5"/>
  <c r="C70" i="5"/>
  <c r="C68" i="5"/>
  <c r="C65" i="5"/>
  <c r="C63" i="5"/>
  <c r="C60" i="5"/>
  <c r="C58" i="5"/>
  <c r="C54" i="5"/>
  <c r="C51" i="5"/>
  <c r="C48" i="5"/>
  <c r="C46" i="5"/>
  <c r="C44" i="5"/>
  <c r="C42" i="5"/>
  <c r="C39" i="5"/>
  <c r="C34" i="5"/>
  <c r="C32" i="5"/>
  <c r="C23" i="5"/>
  <c r="C21" i="5"/>
  <c r="C11" i="5"/>
  <c r="C3" i="5"/>
  <c r="C974" i="5"/>
  <c r="C969" i="5"/>
  <c r="C966" i="5"/>
  <c r="C959" i="5"/>
  <c r="C948" i="5"/>
  <c r="C938" i="5"/>
  <c r="C929" i="5"/>
  <c r="C926" i="5"/>
  <c r="C920" i="5"/>
  <c r="C914" i="5"/>
  <c r="C908" i="5"/>
  <c r="C899" i="5"/>
  <c r="C890" i="5"/>
  <c r="C872" i="5"/>
  <c r="C859" i="5"/>
  <c r="C847" i="5"/>
  <c r="C838" i="5"/>
  <c r="C831" i="5"/>
  <c r="C825" i="5"/>
  <c r="C818" i="5"/>
  <c r="C801" i="5"/>
  <c r="C798" i="5"/>
  <c r="C789" i="5"/>
  <c r="C783" i="5"/>
  <c r="C777" i="5"/>
  <c r="C771" i="5"/>
  <c r="C765" i="5"/>
  <c r="C760" i="5"/>
  <c r="C752" i="5"/>
  <c r="C741" i="5"/>
  <c r="C733" i="5"/>
  <c r="C721" i="5"/>
  <c r="C714" i="5"/>
  <c r="C708" i="5"/>
  <c r="C699" i="5"/>
  <c r="C694" i="5"/>
  <c r="C686" i="5"/>
  <c r="C676" i="5"/>
  <c r="C668" i="5"/>
  <c r="C659" i="5"/>
  <c r="C654" i="5"/>
  <c r="C645" i="5"/>
  <c r="C639" i="5"/>
  <c r="C630" i="5"/>
  <c r="C616" i="5"/>
  <c r="C569" i="5"/>
  <c r="C512" i="5"/>
  <c r="C501" i="5"/>
  <c r="C483" i="5"/>
  <c r="C472" i="5"/>
  <c r="C467" i="5"/>
  <c r="C464" i="5"/>
  <c r="C454" i="5"/>
  <c r="C451" i="5"/>
  <c r="C448" i="5"/>
  <c r="C436" i="5"/>
  <c r="C424" i="5"/>
  <c r="C408" i="5"/>
  <c r="C402" i="5"/>
  <c r="C388" i="5"/>
  <c r="C380" i="5"/>
  <c r="C353" i="5"/>
  <c r="C336" i="5"/>
  <c r="C317" i="5"/>
  <c r="C291" i="5"/>
  <c r="C269" i="5"/>
  <c r="C236" i="5"/>
  <c r="C227" i="5"/>
  <c r="C222" i="5"/>
  <c r="C199" i="5"/>
  <c r="C194" i="5"/>
  <c r="C186" i="5"/>
  <c r="C176" i="5"/>
  <c r="C167" i="5"/>
  <c r="C161" i="5"/>
  <c r="C149" i="5"/>
  <c r="C134" i="5"/>
  <c r="C131" i="5"/>
  <c r="C122" i="5"/>
  <c r="C87" i="5"/>
  <c r="C82" i="5"/>
  <c r="C73" i="5"/>
  <c r="C67" i="5"/>
  <c r="C62" i="5"/>
  <c r="C57" i="5"/>
  <c r="C50" i="5"/>
  <c r="C41" i="5"/>
  <c r="C2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36" i="5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C3" i="3" l="1"/>
  <c r="C18" i="3"/>
  <c r="C2" i="3"/>
  <c r="C19" i="3"/>
  <c r="C4" i="3"/>
  <c r="C20" i="3"/>
  <c r="C5" i="3"/>
  <c r="C21" i="3"/>
  <c r="C6" i="3"/>
  <c r="C22" i="3"/>
  <c r="C7" i="3"/>
  <c r="C23" i="3"/>
  <c r="C8" i="3"/>
  <c r="C24" i="3"/>
  <c r="C9" i="3"/>
  <c r="C25" i="3"/>
  <c r="C10" i="3"/>
  <c r="C26" i="3"/>
  <c r="C11" i="3"/>
  <c r="C27" i="3"/>
  <c r="C12" i="3"/>
  <c r="C28" i="3"/>
  <c r="C13" i="3"/>
  <c r="C29" i="3"/>
  <c r="C14" i="3"/>
  <c r="C30" i="3"/>
  <c r="C15" i="3"/>
  <c r="C31" i="3"/>
  <c r="C16" i="3"/>
  <c r="K1" i="5" a="1"/>
  <c r="K1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<sst xmlns="http://schemas.openxmlformats.org/spreadsheetml/2006/main" count="4589" uniqueCount="3368">
  <si>
    <t>10</t>
  </si>
  <si>
    <t>Aviation</t>
  </si>
  <si>
    <t>20</t>
  </si>
  <si>
    <t>Combustion of fuels</t>
  </si>
  <si>
    <t>20-99</t>
  </si>
  <si>
    <t>All stationary installations</t>
  </si>
  <si>
    <t>21</t>
  </si>
  <si>
    <t>Refining of mineral oil</t>
  </si>
  <si>
    <t>21-99</t>
  </si>
  <si>
    <t>All industrial installations (excl. combustion)</t>
  </si>
  <si>
    <t>22</t>
  </si>
  <si>
    <t>Production of coke</t>
  </si>
  <si>
    <t>23</t>
  </si>
  <si>
    <t>Metal ore roasting or sintering</t>
  </si>
  <si>
    <t>24</t>
  </si>
  <si>
    <t>Production of pig iron or steel</t>
  </si>
  <si>
    <t>25</t>
  </si>
  <si>
    <t>Production or processing of ferrous metals</t>
  </si>
  <si>
    <t>26</t>
  </si>
  <si>
    <t>Production of primary aluminium</t>
  </si>
  <si>
    <t>27</t>
  </si>
  <si>
    <t>Production of secondary aluminium</t>
  </si>
  <si>
    <t>28</t>
  </si>
  <si>
    <t>Production or processing of non-ferrous metals</t>
  </si>
  <si>
    <t>29</t>
  </si>
  <si>
    <t>Production of cement clinker</t>
  </si>
  <si>
    <t>30</t>
  </si>
  <si>
    <t>Production of lime, or calcination of dolomite/magnesite</t>
  </si>
  <si>
    <t>31</t>
  </si>
  <si>
    <t>Manufacture of glass</t>
  </si>
  <si>
    <t>32</t>
  </si>
  <si>
    <t>Manufacture of ceramics</t>
  </si>
  <si>
    <t>33</t>
  </si>
  <si>
    <t>Manufacture of mineral wool</t>
  </si>
  <si>
    <t>34</t>
  </si>
  <si>
    <t>Production or processing of gypsum or plasterboard</t>
  </si>
  <si>
    <t>35</t>
  </si>
  <si>
    <t>Production of pulp</t>
  </si>
  <si>
    <t>36</t>
  </si>
  <si>
    <t>Production of paper or cardboard</t>
  </si>
  <si>
    <t>37</t>
  </si>
  <si>
    <t>Production of carbon black</t>
  </si>
  <si>
    <t>38</t>
  </si>
  <si>
    <t>Production of nitric acid</t>
  </si>
  <si>
    <t>39</t>
  </si>
  <si>
    <t>Production of adipic acid</t>
  </si>
  <si>
    <t>40</t>
  </si>
  <si>
    <t>Production of glyoxal and glyoxylic acid</t>
  </si>
  <si>
    <t>41</t>
  </si>
  <si>
    <t>Production of ammonia</t>
  </si>
  <si>
    <t>42</t>
  </si>
  <si>
    <t>Production of bulk chemicals</t>
  </si>
  <si>
    <t>43</t>
  </si>
  <si>
    <t>Production of hydrogen and synthesis gas</t>
  </si>
  <si>
    <t>44</t>
  </si>
  <si>
    <t>Production of soda ash and sodium bicarbonate</t>
  </si>
  <si>
    <t>45</t>
  </si>
  <si>
    <t>Capture of greenhouse gases under Directive 2009/31/EC</t>
  </si>
  <si>
    <t>50</t>
  </si>
  <si>
    <t>Maritime Transport</t>
  </si>
  <si>
    <t>99</t>
  </si>
  <si>
    <t>Other activity opted-in under Art. 24</t>
  </si>
  <si>
    <t>01.1 Growing of non-perennial crops (en)</t>
  </si>
  <si>
    <t>01.2 Growing of perennial crops (en)</t>
  </si>
  <si>
    <t>01.3 Plant propagation (en)</t>
  </si>
  <si>
    <t>01.4 Animal production (en)</t>
  </si>
  <si>
    <t>01.5 Mixed farming (en)</t>
  </si>
  <si>
    <t>01.6 Support activities to agriculture and post-harvest crop activities (en)</t>
  </si>
  <si>
    <t>01.7 Hunting, trapping and related service activities (en)</t>
  </si>
  <si>
    <t>02.1 Silviculture and other forestry activities (en)</t>
  </si>
  <si>
    <t>02.2 Logging (en)</t>
  </si>
  <si>
    <t>02.3 Gathering of wild growing non-wood products (en)</t>
  </si>
  <si>
    <t>02.4 Support services to forestry (en)</t>
  </si>
  <si>
    <t>03.1 Fishing (en)</t>
  </si>
  <si>
    <t>03.2 Aquaculture (en)</t>
  </si>
  <si>
    <t>05.1 Mining of hard coal (en)</t>
  </si>
  <si>
    <t>05.2 Mining of lignite (en)</t>
  </si>
  <si>
    <t>06.1 Extraction of crude petroleum (en)</t>
  </si>
  <si>
    <t>06.2 Extraction of natural gas (en)</t>
  </si>
  <si>
    <t>07.1 Mining of iron ores (en)</t>
  </si>
  <si>
    <t>07.2 Mining of non-ferrous metal ores (en)</t>
  </si>
  <si>
    <t>08.1 Quarrying of stone, sand and clay (en)</t>
  </si>
  <si>
    <t>08.9 Mining and quarrying n.e.c. (en)</t>
  </si>
  <si>
    <t>09.1 Support activities for petroleum and natural gas extraction (en)</t>
  </si>
  <si>
    <t>09.9 Support activities for other mining and quarrying (en)</t>
  </si>
  <si>
    <t>10.1 Processing and preserving of meat and production of meat products (en)</t>
  </si>
  <si>
    <t>10.2 Processing and preserving of fish, crustaceans and molluscs (en)</t>
  </si>
  <si>
    <t>10.3 Processing and preserving of fruit and vegetables (en)</t>
  </si>
  <si>
    <t>10.4 Manufacture of vegetable and animal oils and fats (en)</t>
  </si>
  <si>
    <t>10.5 Manufacture of dairy products (en)</t>
  </si>
  <si>
    <t>10.6 Manufacture of grain mill products, starches and starch products (en)</t>
  </si>
  <si>
    <t>10.7 Manufacture of bakery and farinaceous products (en)</t>
  </si>
  <si>
    <t>10.8 Manufacture of other food products (en)</t>
  </si>
  <si>
    <t>10.9 Manufacture of prepared animal feeds (en)</t>
  </si>
  <si>
    <t>11.0 Manufacture of beverages (en)</t>
  </si>
  <si>
    <t>12.0 Manufacture of tobacco products (en)</t>
  </si>
  <si>
    <t>13.1 Preparation and spinning of textile fibres (en)</t>
  </si>
  <si>
    <t>13.2 Weaving of textiles (en)</t>
  </si>
  <si>
    <t>13.3 Finishing of textiles (en)</t>
  </si>
  <si>
    <t>13.9 Manufacture of other textiles (en)</t>
  </si>
  <si>
    <t>14.1 Manufacture of wearing apparel, except fur apparel (en)</t>
  </si>
  <si>
    <t>14.2 Manufacture of articles of fur (en)</t>
  </si>
  <si>
    <t>14.3 Manufacture of knitted and crocheted apparel (en)</t>
  </si>
  <si>
    <t>15.1 Tanning and dressing of leather; manufacture of luggage, handbags, saddlery and harness; dressing and dyeing of fur (en)</t>
  </si>
  <si>
    <t>15.2 Manufacture of footwear (en)</t>
  </si>
  <si>
    <t>16.1 Sawmilling and planing of wood (en)</t>
  </si>
  <si>
    <t>16.2 Manufacture of products of wood, cork, straw and plaiting materials (en)</t>
  </si>
  <si>
    <t>17.1 Manufacture of pulp, paper and paperboard (en)</t>
  </si>
  <si>
    <t>17.2 Manufacture of articles of paper and paperboard (en)</t>
  </si>
  <si>
    <t>18.1 Printing and service activities related to printing (en)</t>
  </si>
  <si>
    <t>18.2 Reproduction of recorded media (en)</t>
  </si>
  <si>
    <t>19.1 Manufacture of coke oven products (en)</t>
  </si>
  <si>
    <t>19.2 Manufacture of refined petroleum products (en)</t>
  </si>
  <si>
    <t>20.1 Manufacture of basic chemicals, fertilisers and nitrogen compounds, plastics and synthetic rubber in primary forms (en)</t>
  </si>
  <si>
    <t>20.2 Manufacture of pesticides and other agrochemical products (en)</t>
  </si>
  <si>
    <t>20.3 Manufacture of paints, varnishes and similar coatings, printing ink and mastics (en)</t>
  </si>
  <si>
    <t>20.4 Manufacture of soap and detergents, cleaning and polishing preparations, perfumes and toilet preparations (en)</t>
  </si>
  <si>
    <t>20.5 Manufacture of other chemical products (en)</t>
  </si>
  <si>
    <t>20.6 Manufacture of man-made fibres (en)</t>
  </si>
  <si>
    <t>21.1 Manufacture of basic pharmaceutical products (en)</t>
  </si>
  <si>
    <t>21.2 Manufacture of pharmaceutical preparations (en)</t>
  </si>
  <si>
    <t>22.1 Manufacture of rubber products (en)</t>
  </si>
  <si>
    <t>22.2 Manufacture of plastic products (en)</t>
  </si>
  <si>
    <t>23.1 Manufacture of glass and glass products (en)</t>
  </si>
  <si>
    <t>23.2 Manufacture of refractory products (en)</t>
  </si>
  <si>
    <t>23.3 Manufacture of clay building materials (en)</t>
  </si>
  <si>
    <t>23.4 Manufacture of other porcelain and ceramic products (en)</t>
  </si>
  <si>
    <t>23.5 Manufacture of cement, lime and plaster (en)</t>
  </si>
  <si>
    <t>23.6 Manufacture of articles of concrete, cement and plaster (en)</t>
  </si>
  <si>
    <t>23.7 Cutting, shaping and finishing of stone (en)</t>
  </si>
  <si>
    <t>23.9 Manufacture of abrasive products and non-metallic mineral products n.e.c. (en)</t>
  </si>
  <si>
    <t>24.1 Manufacture of basic iron and steel and of ferro-alloys (en)</t>
  </si>
  <si>
    <t>24.2 Manufacture of tubes, pipes, hollow profiles and related fittings, of steel (en)</t>
  </si>
  <si>
    <t>24.3 Manufacture of other products of first processing of steel (en)</t>
  </si>
  <si>
    <t>24.4 Manufacture of basic precious and other non-ferrous metals (en)</t>
  </si>
  <si>
    <t>24.5 Casting of metals (en)</t>
  </si>
  <si>
    <t>25.1 Manufacture of structural metal products (en)</t>
  </si>
  <si>
    <t>25.2 Manufacture of tanks, reservoirs and containers of metal (en)</t>
  </si>
  <si>
    <t>25.3 Manufacture of steam generators, except central heating hot water boilers (en)</t>
  </si>
  <si>
    <t>25.4 Manufacture of weapons and ammunition (en)</t>
  </si>
  <si>
    <t>25.5 Forging, pressing, stamping and roll-forming of metal; powder metallurgy (en)</t>
  </si>
  <si>
    <t>25.6 Treatment and coating of metals; machining (en)</t>
  </si>
  <si>
    <t>25.7 Manufacture of cutlery, tools and general hardware (en)</t>
  </si>
  <si>
    <t>25.9 Manufacture of other fabricated metal products (en)</t>
  </si>
  <si>
    <t>26.1 Manufacture of electronic components and boards (en)</t>
  </si>
  <si>
    <t>26.2 Manufacture of computers and peripheral equipment (en)</t>
  </si>
  <si>
    <t>26.3 Manufacture of communication equipment (en)</t>
  </si>
  <si>
    <t>26.4 Manufacture of consumer electronics (en)</t>
  </si>
  <si>
    <t>26.5 Manufacture of instruments and appliances for measuring, testing and navigation; watches and clocks (en)</t>
  </si>
  <si>
    <t>26.6 Manufacture of irradiation, electromedical and electrotherapeutic equipment (en)</t>
  </si>
  <si>
    <t>26.7 Manufacture of optical instruments and photographic equipment (en)</t>
  </si>
  <si>
    <t>26.8 Manufacture of magnetic and optical media (en)</t>
  </si>
  <si>
    <t>27.1 Manufacture of electric motors, generators, transformers and electricity distribution and control apparatus (en)</t>
  </si>
  <si>
    <t>27.2 Manufacture of batteries and accumulators (en)</t>
  </si>
  <si>
    <t>27.3 Manufacture of wiring and wiring devices (en)</t>
  </si>
  <si>
    <t>27.4 Manufacture of electric lighting equipment (en)</t>
  </si>
  <si>
    <t>27.5 Manufacture of domestic appliances (en)</t>
  </si>
  <si>
    <t>27.9 Manufacture of other electrical equipment (en)</t>
  </si>
  <si>
    <t>28.1 Manufacture of general-purpose machinery (en)</t>
  </si>
  <si>
    <t>28.2 Manufacture of other general-purpose machinery (en)</t>
  </si>
  <si>
    <t>28.3 Manufacture of agricultural and forestry machinery (en)</t>
  </si>
  <si>
    <t>28.4 Manufacture of metal forming machinery and machine tools (en)</t>
  </si>
  <si>
    <t>28.9 Manufacture of other special-purpose machinery (en)</t>
  </si>
  <si>
    <t>29.1 Manufacture of motor vehicles (en)</t>
  </si>
  <si>
    <t>29.2 Manufacture of bodies (coachwork) for motor vehicles; manufacture of trailers and semi-trailers (en)</t>
  </si>
  <si>
    <t>29.3 Manufacture of parts and accessories for motor vehicles (en)</t>
  </si>
  <si>
    <t>30.1 Building of ships and boats (en)</t>
  </si>
  <si>
    <t>30.2 Manufacture of railway locomotives and rolling stock (en)</t>
  </si>
  <si>
    <t>30.3 Manufacture of air and spacecraft and related machinery (en)</t>
  </si>
  <si>
    <t>30.4 Manufacture of military fighting vehicles (en)</t>
  </si>
  <si>
    <t>30.9 Manufacture of transport equipment n.e.c. (en)</t>
  </si>
  <si>
    <t>31.0 Manufacture of furniture (en)</t>
  </si>
  <si>
    <t>32.1 Manufacture of jewellery, bijouterie and related articles (en)</t>
  </si>
  <si>
    <t>32.2 Manufacture of musical instruments (en)</t>
  </si>
  <si>
    <t>32.3 Manufacture of sports goods (en)</t>
  </si>
  <si>
    <t>32.4 Manufacture of games and toys (en)</t>
  </si>
  <si>
    <t>32.5 Manufacture of medical and dental instruments and supplies (en)</t>
  </si>
  <si>
    <t>32.9 Manufacturing n.e.c. (en)</t>
  </si>
  <si>
    <t>33.1 Repair of fabricated metal products, machinery and equipment (en)</t>
  </si>
  <si>
    <t>33.2 Installation of industrial machinery and equipment (en)</t>
  </si>
  <si>
    <t>35.1 Electric power generation, transmission and distribution (en)</t>
  </si>
  <si>
    <t>35.2 Manufacture of gas; distribution of gaseous fuels through mains (en)</t>
  </si>
  <si>
    <t>35.3 Steam and air conditioning supply (en)</t>
  </si>
  <si>
    <t>36.0 Water collection, treatment and supply (en)</t>
  </si>
  <si>
    <t>37.0 Sewerage (en)</t>
  </si>
  <si>
    <t>38.1 Waste collection (en)</t>
  </si>
  <si>
    <t>38.2 Waste treatment and disposal (en)</t>
  </si>
  <si>
    <t>38.3 Materials recovery (en)</t>
  </si>
  <si>
    <t>39.0 Remediation activities and other waste management services (en)</t>
  </si>
  <si>
    <t>41.1 Development of building projects (en)</t>
  </si>
  <si>
    <t>41.2 Construction of residential and non-residential buildings (en)</t>
  </si>
  <si>
    <t>42.1 Construction of roads and railways (en)</t>
  </si>
  <si>
    <t>42.2 Construction of utility projects (en)</t>
  </si>
  <si>
    <t>42.9 Construction of other civil engineering projects (en)</t>
  </si>
  <si>
    <t>43.1 Demolition and site preparation (en)</t>
  </si>
  <si>
    <t>43.2 Electrical, plumbing and other construction installation activities (en)</t>
  </si>
  <si>
    <t>43.3 Building completion and finishing (en)</t>
  </si>
  <si>
    <t>43.9 Other specialised construction activities (en)</t>
  </si>
  <si>
    <t>45.1 Sale of motor vehicles (en)</t>
  </si>
  <si>
    <t>45.2 Maintenance and repair of motor vehicles (en)</t>
  </si>
  <si>
    <t>45.3 Sale of motor vehicle parts and accessories (en)</t>
  </si>
  <si>
    <t>45.4 Sale, maintenance and repair of motorcycles and related parts and accessories (en)</t>
  </si>
  <si>
    <t>46.1 Wholesale on a fee or contract basis (en)</t>
  </si>
  <si>
    <t>46.2 Wholesale of agricultural raw materials and live animals (en)</t>
  </si>
  <si>
    <t>46.3 Wholesale of food, beverages and tobacco (en)</t>
  </si>
  <si>
    <t>46.4 Wholesale of household goods (en)</t>
  </si>
  <si>
    <t>46.5 Wholesale of information and communication equipment (en)</t>
  </si>
  <si>
    <t>46.6 Wholesale of other machinery, equipment and supplies (en)</t>
  </si>
  <si>
    <t>46.7 Other specialised wholesale (en)</t>
  </si>
  <si>
    <t>46.9 Non-specialised wholesale trade (en)</t>
  </si>
  <si>
    <t>47.1 Retail sale in non-specialised stores (en)</t>
  </si>
  <si>
    <t>47.2 Retail sale of food, beverages and tobacco in specialised stores (en)</t>
  </si>
  <si>
    <t>47.3 Retail sale of automotive fuel in specialised stores (en)</t>
  </si>
  <si>
    <t>47.4 Retail sale of information and communication equipment in specialised stores (en)</t>
  </si>
  <si>
    <t>47.5 Retail sale of other household equipment in specialised stores (en)</t>
  </si>
  <si>
    <t>47.6 Retail sale of cultural and recreation goods in specialised stores (en)</t>
  </si>
  <si>
    <t>47.7 Retail sale of other goods in specialised stores (en)</t>
  </si>
  <si>
    <t>47.8 Retail sale via stalls and markets (en)</t>
  </si>
  <si>
    <t>47.9 Retail trade not in stores, stalls or markets (en)</t>
  </si>
  <si>
    <t>49.1 Passenger rail transport, interurban (en)</t>
  </si>
  <si>
    <t>49.2 Freight rail transport (en)</t>
  </si>
  <si>
    <t>49.3 Other passenger land transport (en)</t>
  </si>
  <si>
    <t>49.4 Freight transport by road and removal services (en)</t>
  </si>
  <si>
    <t>49.5 Transport via pipeline (en)</t>
  </si>
  <si>
    <t>50.1 Sea and coastal passenger water transport (en)</t>
  </si>
  <si>
    <t>50.2 Sea and coastal freight water transport (en)</t>
  </si>
  <si>
    <t>50.3 Inland passenger water transport (en)</t>
  </si>
  <si>
    <t>50.4 Inland freight water transport (en)</t>
  </si>
  <si>
    <t>51.1 Passenger air transport (en)</t>
  </si>
  <si>
    <t>51.2 Freight air transport and space transport (en)</t>
  </si>
  <si>
    <t>52.1 Warehousing and storage (en)</t>
  </si>
  <si>
    <t>52.2 Support activities for transportation (en)</t>
  </si>
  <si>
    <t>53.1 Postal activities under universal service obligation (en)</t>
  </si>
  <si>
    <t>53.2 Other postal and courier activities (en)</t>
  </si>
  <si>
    <t>55.1 Hotels and similar accommodation (en)</t>
  </si>
  <si>
    <t>55.2 Holiday and other short-stay accommodation (en)</t>
  </si>
  <si>
    <t>55.3 Camping grounds, recreational vehicle parks and trailer parks (en)</t>
  </si>
  <si>
    <t>55.9 Other accommodation (en)</t>
  </si>
  <si>
    <t>56.1 Restaurants and mobile food service activities (en)</t>
  </si>
  <si>
    <t>56.2 Event catering and other food service activities (en)</t>
  </si>
  <si>
    <t>56.3 Beverage serving activities (en)</t>
  </si>
  <si>
    <t>58.1 Publishing of books, periodicals and other publishing activities (en)</t>
  </si>
  <si>
    <t>58.2 Software publishing (en)</t>
  </si>
  <si>
    <t>59.1 Motion picture, video and television programme activities (en)</t>
  </si>
  <si>
    <t>59.2 Sound recording and music publishing activities (en)</t>
  </si>
  <si>
    <t>60.1 Radio broadcasting (en)</t>
  </si>
  <si>
    <t>60.2 Television programming and broadcasting activities (en)</t>
  </si>
  <si>
    <t>61.1 Wired telecommunications activities (en)</t>
  </si>
  <si>
    <t>61.2 Wireless telecommunications activities (en)</t>
  </si>
  <si>
    <t>61.3 Satellite telecommunications activities (en)</t>
  </si>
  <si>
    <t>61.9 Other telecommunications activities (en)</t>
  </si>
  <si>
    <t>62.0 Computer programming, consultancy and related activities (en)</t>
  </si>
  <si>
    <t>63.1 Data processing, hosting and related activities; web portals (en)</t>
  </si>
  <si>
    <t>63.9 Other information service activities (en)</t>
  </si>
  <si>
    <t>64.1 Monetary intermediation (en)</t>
  </si>
  <si>
    <t>64.2 Activities of holding companies (en)</t>
  </si>
  <si>
    <t>64.3 Trusts, funds and similar financial entities (en)</t>
  </si>
  <si>
    <t>64.9 Other financial service activities, except insurance and pension funding (en)</t>
  </si>
  <si>
    <t>65.1 Insurance (en)</t>
  </si>
  <si>
    <t>65.2 Reinsurance (en)</t>
  </si>
  <si>
    <t>65.3 Pension funding (en)</t>
  </si>
  <si>
    <t>66.1 Activities auxiliary to financial services, except insurance and pension funding (en)</t>
  </si>
  <si>
    <t>66.2 Activities auxiliary to insurance and pension funding (en)</t>
  </si>
  <si>
    <t>66.3 Fund management activities (en)</t>
  </si>
  <si>
    <t>68.1 Buying and selling of own real estate (en)</t>
  </si>
  <si>
    <t>68.2 Rental and operating of own or leased real estate (en)</t>
  </si>
  <si>
    <t>68.3 Real estate activities on a fee or contract basis (en)</t>
  </si>
  <si>
    <t>69.1 Legal activities (en)</t>
  </si>
  <si>
    <t>69.2 Accounting, bookkeeping and auditing activities; tax consultancy (en)</t>
  </si>
  <si>
    <t>70.1 Activities of head offices (en)</t>
  </si>
  <si>
    <t>70.2 Management consultancy activities (en)</t>
  </si>
  <si>
    <t>71.1 Architectural and engineering activities and related technical consultancy (en)</t>
  </si>
  <si>
    <t>71.2 Technical testing and analysis (en)</t>
  </si>
  <si>
    <t>72.1 Research and experimental development on natural sciences and engineering (en)</t>
  </si>
  <si>
    <t>72.2 Research and experimental development on social sciences and humanities (en)</t>
  </si>
  <si>
    <t>73.1 Advertising (en)</t>
  </si>
  <si>
    <t>73.2 Market research and public opinion polling (en)</t>
  </si>
  <si>
    <t>74.1 Specialised design activities (en)</t>
  </si>
  <si>
    <t>74.2 Photographic activities (en)</t>
  </si>
  <si>
    <t>74.3 Translation and interpretation activities (en)</t>
  </si>
  <si>
    <t>74.9 Other professional, scientific and technical activities n.e.c. (en)</t>
  </si>
  <si>
    <t>75.0 Veterinary activities (en)</t>
  </si>
  <si>
    <t>77.1 Rental and leasing of motor vehicles (en)</t>
  </si>
  <si>
    <t>77.2 Rental and leasing of personal and household goods (en)</t>
  </si>
  <si>
    <t>77.3 Rental and leasing of other machinery, equipment and tangible goods (en)</t>
  </si>
  <si>
    <t>77.4 Leasing of intellectual property and similar products, except copyrighted works (en)</t>
  </si>
  <si>
    <t>78.1 Activities of employment placement agencies (en)</t>
  </si>
  <si>
    <t>78.2 Temporary employment agency activities (en)</t>
  </si>
  <si>
    <t>78.3 Other human resources provision (en)</t>
  </si>
  <si>
    <t>79.1 Travel agency and tour operator activities (en)</t>
  </si>
  <si>
    <t>79.9 Other reservation service and related activities (en)</t>
  </si>
  <si>
    <t>80.1 Private security activities (en)</t>
  </si>
  <si>
    <t>80.2 Security systems service activities (en)</t>
  </si>
  <si>
    <t>80.3 Investigation activities (en)</t>
  </si>
  <si>
    <t>81.1 Combined facilities support activities (en)</t>
  </si>
  <si>
    <t>81.2 Cleaning activities (en)</t>
  </si>
  <si>
    <t>81.3 Landscape service activities (en)</t>
  </si>
  <si>
    <t>82.1 Office administrative and support activities (en)</t>
  </si>
  <si>
    <t>82.2 Activities of call centres (en)</t>
  </si>
  <si>
    <t>82.3 Organisation of conventions and trade shows (en)</t>
  </si>
  <si>
    <t>82.9 Business support service activities n.e.c. (en)</t>
  </si>
  <si>
    <t>84.1 Administration of the State and the economic and social policy of the community (en)</t>
  </si>
  <si>
    <t>84.2 Provision of services to the community as a whole (en)</t>
  </si>
  <si>
    <t>84.3 Compulsory social security activities (en)</t>
  </si>
  <si>
    <t>85.1 Pre-primary education (en)</t>
  </si>
  <si>
    <t>85.2 Primary education (en)</t>
  </si>
  <si>
    <t>85.3 Secondary education (en)</t>
  </si>
  <si>
    <t>85.4 Higher education (en)</t>
  </si>
  <si>
    <t>85.5 Other education (en)</t>
  </si>
  <si>
    <t>85.6 Educational support activities (en)</t>
  </si>
  <si>
    <t>86.1 Hospital activities (en)</t>
  </si>
  <si>
    <t>86.2 Medical and dental practice activities (en)</t>
  </si>
  <si>
    <t>86.9 Other human health activities (en)</t>
  </si>
  <si>
    <t>87.1 Residential nursing care activities (en)</t>
  </si>
  <si>
    <t>87.2 Residential care activities for mental retardation, mental health and substance abuse (en)</t>
  </si>
  <si>
    <t>87.3 Residential care activities for the elderly and disabled (en)</t>
  </si>
  <si>
    <t>87.9 Other residential care activities (en)</t>
  </si>
  <si>
    <t>88.1 Social work activities without accommodation for the elderly and disabled (en)</t>
  </si>
  <si>
    <t>88.9 Other social work activities without accommodation (en)</t>
  </si>
  <si>
    <t>90.0 Creative, arts and entertainment activities (en)</t>
  </si>
  <si>
    <t>91.0 Libraries, archives, museums and other cultural activities (en)</t>
  </si>
  <si>
    <t>92.0 Gambling and betting activities (en)</t>
  </si>
  <si>
    <t>93.1 Sports activities (en)</t>
  </si>
  <si>
    <t>93.2 Amusement and recreation activities (en)</t>
  </si>
  <si>
    <t>94.1 Activities of business, employers and professional membership organisations (en)</t>
  </si>
  <si>
    <t>94.2 Activities of trade unions (en)</t>
  </si>
  <si>
    <t>94.9 Activities of other membership organisations (en)</t>
  </si>
  <si>
    <t>95.1 Repair of computers and communication equipment (en)</t>
  </si>
  <si>
    <t>95.2 Repair of personal and household goods (en)</t>
  </si>
  <si>
    <t>96.0 Other personal service activities (en)</t>
  </si>
  <si>
    <t>97.0 Activities of households as employers of domestic personnel (en)</t>
  </si>
  <si>
    <t>98.1 Undifferentiated goods-producing activities of private households for own use (en)</t>
  </si>
  <si>
    <t>98.2 Undifferentiated service-producing activities of private households for own use (en)</t>
  </si>
  <si>
    <t>99.0 Activities of extraterritorial organisations and bodies (en)</t>
  </si>
  <si>
    <t>Original</t>
  </si>
  <si>
    <t>ID</t>
  </si>
  <si>
    <t>Label</t>
  </si>
  <si>
    <t>is_ets_activity</t>
  </si>
  <si>
    <t>mapped</t>
  </si>
  <si>
    <t>ets_activity_name</t>
  </si>
  <si>
    <t>ets_activity_code</t>
  </si>
  <si>
    <t>A</t>
  </si>
  <si>
    <t>A AGRICULTURE, FORESTRY AND FISHING</t>
  </si>
  <si>
    <t>http://data.europa.eu/ux2/nace2/A</t>
  </si>
  <si>
    <t>B</t>
  </si>
  <si>
    <t>B MINING AND QUARRYING</t>
  </si>
  <si>
    <t>http://data.europa.eu/ux2/nace2/B</t>
  </si>
  <si>
    <t>C</t>
  </si>
  <si>
    <t>C MANUFACTURING</t>
  </si>
  <si>
    <t>http://data.europa.eu/ux2/nace2/C</t>
  </si>
  <si>
    <t>D</t>
  </si>
  <si>
    <t>D ELECTRICITY, GAS, STEAM AND AIR CONDITIONING SUPPLY</t>
  </si>
  <si>
    <t>http://data.europa.eu/ux2/nace2/D</t>
  </si>
  <si>
    <t>E</t>
  </si>
  <si>
    <t>E WATER SUPPLY; SEWERAGE, WASTE MANAGEMENT AND REMEDIATION ACTIVITIES</t>
  </si>
  <si>
    <t>http://data.europa.eu/ux2/nace2/E</t>
  </si>
  <si>
    <t>F</t>
  </si>
  <si>
    <t>F CONSTRUCTION</t>
  </si>
  <si>
    <t>http://data.europa.eu/ux2/nace2/F</t>
  </si>
  <si>
    <t>G</t>
  </si>
  <si>
    <t>G WHOLESALE AND RETAIL TRADE; REPAIR OF MOTOR VEHICLES AND MOTORCYCLES</t>
  </si>
  <si>
    <t>http://data.europa.eu/ux2/nace2/G</t>
  </si>
  <si>
    <t>H</t>
  </si>
  <si>
    <t>H TRANSPORTATION AND STORAGE</t>
  </si>
  <si>
    <t>http://data.europa.eu/ux2/nace2/H</t>
  </si>
  <si>
    <t>I</t>
  </si>
  <si>
    <t>I ACCOMMODATION AND FOOD SERVICE ACTIVITIES</t>
  </si>
  <si>
    <t>http://data.europa.eu/ux2/nace2/I</t>
  </si>
  <si>
    <t>J</t>
  </si>
  <si>
    <t>J INFORMATION AND COMMUNICATION</t>
  </si>
  <si>
    <t>http://data.europa.eu/ux2/nace2/J</t>
  </si>
  <si>
    <t>K</t>
  </si>
  <si>
    <t>K FINANCIAL AND INSURANCE ACTIVITIES</t>
  </si>
  <si>
    <t>http://data.europa.eu/ux2/nace2/K</t>
  </si>
  <si>
    <t>L</t>
  </si>
  <si>
    <t>L REAL ESTATE ACTIVITIES</t>
  </si>
  <si>
    <t>http://data.europa.eu/ux2/nace2/L</t>
  </si>
  <si>
    <t>M</t>
  </si>
  <si>
    <t>M PROFESSIONAL, SCIENTIFIC AND TECHNICAL ACTIVITIES</t>
  </si>
  <si>
    <t>http://data.europa.eu/ux2/nace2/M</t>
  </si>
  <si>
    <t>N</t>
  </si>
  <si>
    <t>N ADMINISTRATIVE AND SUPPORT SERVICE ACTIVITIES</t>
  </si>
  <si>
    <t>http://data.europa.eu/ux2/nace2/N</t>
  </si>
  <si>
    <t>O</t>
  </si>
  <si>
    <t>O PUBLIC ADMINISTRATION AND DEFENCE; COMPULSORY SOCIAL SECURITY</t>
  </si>
  <si>
    <t>http://data.europa.eu/ux2/nace2/O</t>
  </si>
  <si>
    <t>P</t>
  </si>
  <si>
    <t>P EDUCATION</t>
  </si>
  <si>
    <t>http://data.europa.eu/ux2/nace2/P</t>
  </si>
  <si>
    <t>Q</t>
  </si>
  <si>
    <t>Q HUMAN HEALTH AND SOCIAL WORK ACTIVITIES</t>
  </si>
  <si>
    <t>http://data.europa.eu/ux2/nace2/Q</t>
  </si>
  <si>
    <t>R</t>
  </si>
  <si>
    <t>R ARTS, ENTERTAINMENT AND RECREATION</t>
  </si>
  <si>
    <t>http://data.europa.eu/ux2/nace2/R</t>
  </si>
  <si>
    <t>S</t>
  </si>
  <si>
    <t>S OTHER SERVICE ACTIVITIES</t>
  </si>
  <si>
    <t>http://data.europa.eu/ux2/nace2/S</t>
  </si>
  <si>
    <t>T</t>
  </si>
  <si>
    <t>T ACTIVITIES OF HOUSEHOLDS AS EMPLOYERS; UNDIFFERENTIATED GOODS- AND SERVICES-PRODUCING ACTIVITIES OF HOUSEHOLDS FOR OWN USE</t>
  </si>
  <si>
    <t>http://data.europa.eu/ux2/nace2/T</t>
  </si>
  <si>
    <t>U</t>
  </si>
  <si>
    <t>U ACTIVITIES OF EXTRATERRITORIAL ORGANISATIONS AND BODIES</t>
  </si>
  <si>
    <t>http://data.europa.eu/ux2/nace2/U</t>
  </si>
  <si>
    <t>01</t>
  </si>
  <si>
    <t>01 Crop and animal production, hunting and related service activities</t>
  </si>
  <si>
    <t>http://data.europa.eu/ux2/nace2/01</t>
  </si>
  <si>
    <t>02</t>
  </si>
  <si>
    <t>02 Forestry and logging</t>
  </si>
  <si>
    <t>http://data.europa.eu/ux2/nace2/02</t>
  </si>
  <si>
    <t>03</t>
  </si>
  <si>
    <t>03 Fishing and aquaculture</t>
  </si>
  <si>
    <t>http://data.europa.eu/ux2/nace2/03</t>
  </si>
  <si>
    <t>05</t>
  </si>
  <si>
    <t>05 Mining of coal and lignite</t>
  </si>
  <si>
    <t>http://data.europa.eu/ux2/nace2/05</t>
  </si>
  <si>
    <t>06</t>
  </si>
  <si>
    <t>06 Extraction of crude petroleum and natural gas</t>
  </si>
  <si>
    <t>http://data.europa.eu/ux2/nace2/06</t>
  </si>
  <si>
    <t>07</t>
  </si>
  <si>
    <t>07 Mining of metal ores</t>
  </si>
  <si>
    <t>http://data.europa.eu/ux2/nace2/07</t>
  </si>
  <si>
    <t>08</t>
  </si>
  <si>
    <t>08 Other mining and quarrying</t>
  </si>
  <si>
    <t>http://data.europa.eu/ux2/nace2/08</t>
  </si>
  <si>
    <t>09</t>
  </si>
  <si>
    <t>09 Mining support service activities</t>
  </si>
  <si>
    <t>http://data.europa.eu/ux2/nace2/09</t>
  </si>
  <si>
    <t>10 Manufacture of food products</t>
  </si>
  <si>
    <t>http://data.europa.eu/ux2/nace2/10</t>
  </si>
  <si>
    <t>11</t>
  </si>
  <si>
    <t>11 Manufacture of beverages</t>
  </si>
  <si>
    <t>http://data.europa.eu/ux2/nace2/11</t>
  </si>
  <si>
    <t>12</t>
  </si>
  <si>
    <t>12 Manufacture of tobacco products</t>
  </si>
  <si>
    <t>http://data.europa.eu/ux2/nace2/12</t>
  </si>
  <si>
    <t>13</t>
  </si>
  <si>
    <t>13 Manufacture of textiles</t>
  </si>
  <si>
    <t>http://data.europa.eu/ux2/nace2/13</t>
  </si>
  <si>
    <t>14</t>
  </si>
  <si>
    <t>14 Manufacture of wearing apparel</t>
  </si>
  <si>
    <t>http://data.europa.eu/ux2/nace2/14</t>
  </si>
  <si>
    <t>15</t>
  </si>
  <si>
    <t>15 Manufacture of leather and related products</t>
  </si>
  <si>
    <t>http://data.europa.eu/ux2/nace2/15</t>
  </si>
  <si>
    <t>16</t>
  </si>
  <si>
    <t>16 Manufacture of wood and of products of wood and cork, except furniture; manufacture of articles of straw and plaiting materials</t>
  </si>
  <si>
    <t>http://data.europa.eu/ux2/nace2/16</t>
  </si>
  <si>
    <t>17</t>
  </si>
  <si>
    <t>17 Manufacture of paper and paper products</t>
  </si>
  <si>
    <t>http://data.europa.eu/ux2/nace2/17</t>
  </si>
  <si>
    <t>18</t>
  </si>
  <si>
    <t>18 Printing and reproduction of recorded media</t>
  </si>
  <si>
    <t>http://data.europa.eu/ux2/nace2/18</t>
  </si>
  <si>
    <t>19</t>
  </si>
  <si>
    <t>19 Manufacture of coke and refined petroleum products</t>
  </si>
  <si>
    <t>http://data.europa.eu/ux2/nace2/19</t>
  </si>
  <si>
    <t>20 Manufacture of chemicals and chemical products</t>
  </si>
  <si>
    <t>http://data.europa.eu/ux2/nace2/20</t>
  </si>
  <si>
    <t>21 Manufacture of basic pharmaceutical products and pharmaceutical preparations</t>
  </si>
  <si>
    <t>http://data.europa.eu/ux2/nace2/21</t>
  </si>
  <si>
    <t>22 Manufacture of rubber and plastic products</t>
  </si>
  <si>
    <t>http://data.europa.eu/ux2/nace2/22</t>
  </si>
  <si>
    <t>23 Manufacture of other non-metallic mineral products</t>
  </si>
  <si>
    <t>http://data.europa.eu/ux2/nace2/23</t>
  </si>
  <si>
    <t>24 Manufacture of basic metals</t>
  </si>
  <si>
    <t>http://data.europa.eu/ux2/nace2/24</t>
  </si>
  <si>
    <t>25 Manufacture of fabricated metal products, except machinery and equipment</t>
  </si>
  <si>
    <t>http://data.europa.eu/ux2/nace2/25</t>
  </si>
  <si>
    <t>26 Manufacture of computer, electronic and optical products</t>
  </si>
  <si>
    <t>http://data.europa.eu/ux2/nace2/26</t>
  </si>
  <si>
    <t>27 Manufacture of electrical equipment</t>
  </si>
  <si>
    <t>http://data.europa.eu/ux2/nace2/27</t>
  </si>
  <si>
    <t>28 Manufacture of machinery and equipment n.e.c.</t>
  </si>
  <si>
    <t>http://data.europa.eu/ux2/nace2/28</t>
  </si>
  <si>
    <t>29 Manufacture of motor vehicles, trailers and semi-trailers</t>
  </si>
  <si>
    <t>http://data.europa.eu/ux2/nace2/29</t>
  </si>
  <si>
    <t>30 Manufacture of other transport equipment</t>
  </si>
  <si>
    <t>http://data.europa.eu/ux2/nace2/30</t>
  </si>
  <si>
    <t>31 Manufacture of furniture</t>
  </si>
  <si>
    <t>http://data.europa.eu/ux2/nace2/31</t>
  </si>
  <si>
    <t>32 Other manufacturing</t>
  </si>
  <si>
    <t>http://data.europa.eu/ux2/nace2/32</t>
  </si>
  <si>
    <t>33 Repair and installation of machinery and equipment</t>
  </si>
  <si>
    <t>http://data.europa.eu/ux2/nace2/33</t>
  </si>
  <si>
    <t>35 Electricity, gas, steam and air conditioning supply</t>
  </si>
  <si>
    <t>http://data.europa.eu/ux2/nace2/35</t>
  </si>
  <si>
    <t>36 Water collection, treatment and supply</t>
  </si>
  <si>
    <t>http://data.europa.eu/ux2/nace2/36</t>
  </si>
  <si>
    <t>37 Sewerage</t>
  </si>
  <si>
    <t>http://data.europa.eu/ux2/nace2/37</t>
  </si>
  <si>
    <t>38 Waste collection, treatment and disposal activities; materials recovery</t>
  </si>
  <si>
    <t>http://data.europa.eu/ux2/nace2/38</t>
  </si>
  <si>
    <t>39 Remediation activities and other waste management services</t>
  </si>
  <si>
    <t>http://data.europa.eu/ux2/nace2/39</t>
  </si>
  <si>
    <t>41 Construction of buildings</t>
  </si>
  <si>
    <t>http://data.europa.eu/ux2/nace2/41</t>
  </si>
  <si>
    <t>42 Civil engineering</t>
  </si>
  <si>
    <t>http://data.europa.eu/ux2/nace2/42</t>
  </si>
  <si>
    <t>43 Specialised construction activities</t>
  </si>
  <si>
    <t>http://data.europa.eu/ux2/nace2/43</t>
  </si>
  <si>
    <t>45 Wholesale and retail trade and repair of motor vehicles and motorcycles</t>
  </si>
  <si>
    <t>http://data.europa.eu/ux2/nace2/45</t>
  </si>
  <si>
    <t>46</t>
  </si>
  <si>
    <t>46 Wholesale trade, except of motor vehicles and motorcycles</t>
  </si>
  <si>
    <t>http://data.europa.eu/ux2/nace2/46</t>
  </si>
  <si>
    <t>47</t>
  </si>
  <si>
    <t>47 Retail trade, except of motor vehicles and motorcycles</t>
  </si>
  <si>
    <t>http://data.europa.eu/ux2/nace2/47</t>
  </si>
  <si>
    <t>49</t>
  </si>
  <si>
    <t>49 Land transport and transport via pipelines</t>
  </si>
  <si>
    <t>http://data.europa.eu/ux2/nace2/49</t>
  </si>
  <si>
    <t>50 Water transport</t>
  </si>
  <si>
    <t>http://data.europa.eu/ux2/nace2/50</t>
  </si>
  <si>
    <t>51</t>
  </si>
  <si>
    <t>51 Air transport</t>
  </si>
  <si>
    <t>http://data.europa.eu/ux2/nace2/51</t>
  </si>
  <si>
    <t>52</t>
  </si>
  <si>
    <t>52 Warehousing and support activities for transportation</t>
  </si>
  <si>
    <t>http://data.europa.eu/ux2/nace2/52</t>
  </si>
  <si>
    <t>53</t>
  </si>
  <si>
    <t>53 Postal and courier activities</t>
  </si>
  <si>
    <t>http://data.europa.eu/ux2/nace2/53</t>
  </si>
  <si>
    <t>55</t>
  </si>
  <si>
    <t>55 Accommodation</t>
  </si>
  <si>
    <t>http://data.europa.eu/ux2/nace2/55</t>
  </si>
  <si>
    <t>56</t>
  </si>
  <si>
    <t>56 Food and beverage service activities</t>
  </si>
  <si>
    <t>http://data.europa.eu/ux2/nace2/56</t>
  </si>
  <si>
    <t>58</t>
  </si>
  <si>
    <t>58 Publishing activities</t>
  </si>
  <si>
    <t>http://data.europa.eu/ux2/nace2/58</t>
  </si>
  <si>
    <t>59</t>
  </si>
  <si>
    <t>59 Motion picture, video and television programme production, sound recording and music publishing activities</t>
  </si>
  <si>
    <t>http://data.europa.eu/ux2/nace2/59</t>
  </si>
  <si>
    <t>60</t>
  </si>
  <si>
    <t>60 Programming and broadcasting activities</t>
  </si>
  <si>
    <t>http://data.europa.eu/ux2/nace2/60</t>
  </si>
  <si>
    <t>61</t>
  </si>
  <si>
    <t>61 Telecommunications</t>
  </si>
  <si>
    <t>http://data.europa.eu/ux2/nace2/61</t>
  </si>
  <si>
    <t>62</t>
  </si>
  <si>
    <t>62 Computer programming, consultancy and related activities</t>
  </si>
  <si>
    <t>http://data.europa.eu/ux2/nace2/62</t>
  </si>
  <si>
    <t>63</t>
  </si>
  <si>
    <t>63 Information service activities</t>
  </si>
  <si>
    <t>http://data.europa.eu/ux2/nace2/63</t>
  </si>
  <si>
    <t>64</t>
  </si>
  <si>
    <t>64 Financial service activities, except insurance and pension funding</t>
  </si>
  <si>
    <t>http://data.europa.eu/ux2/nace2/64</t>
  </si>
  <si>
    <t>65</t>
  </si>
  <si>
    <t>65 Insurance, reinsurance and pension funding, except compulsory social security</t>
  </si>
  <si>
    <t>http://data.europa.eu/ux2/nace2/65</t>
  </si>
  <si>
    <t>66</t>
  </si>
  <si>
    <t>66 Activities auxiliary to financial services and insurance activities</t>
  </si>
  <si>
    <t>http://data.europa.eu/ux2/nace2/66</t>
  </si>
  <si>
    <t>68</t>
  </si>
  <si>
    <t>68 Real estate activities</t>
  </si>
  <si>
    <t>http://data.europa.eu/ux2/nace2/68</t>
  </si>
  <si>
    <t>69</t>
  </si>
  <si>
    <t>69 Legal and accounting activities</t>
  </si>
  <si>
    <t>http://data.europa.eu/ux2/nace2/69</t>
  </si>
  <si>
    <t>70</t>
  </si>
  <si>
    <t>70 Activities of head offices; management consultancy activities</t>
  </si>
  <si>
    <t>http://data.europa.eu/ux2/nace2/70</t>
  </si>
  <si>
    <t>71</t>
  </si>
  <si>
    <t>71 Architectural and engineering activities; technical testing and analysis</t>
  </si>
  <si>
    <t>http://data.europa.eu/ux2/nace2/71</t>
  </si>
  <si>
    <t>72</t>
  </si>
  <si>
    <t>72 Scientific research and development</t>
  </si>
  <si>
    <t>http://data.europa.eu/ux2/nace2/72</t>
  </si>
  <si>
    <t>73</t>
  </si>
  <si>
    <t>73 Advertising and market research</t>
  </si>
  <si>
    <t>http://data.europa.eu/ux2/nace2/73</t>
  </si>
  <si>
    <t>74</t>
  </si>
  <si>
    <t>74 Other professional, scientific and technical activities</t>
  </si>
  <si>
    <t>http://data.europa.eu/ux2/nace2/74</t>
  </si>
  <si>
    <t>75</t>
  </si>
  <si>
    <t>75 Veterinary activities</t>
  </si>
  <si>
    <t>http://data.europa.eu/ux2/nace2/75</t>
  </si>
  <si>
    <t>77</t>
  </si>
  <si>
    <t>77 Rental and leasing activities</t>
  </si>
  <si>
    <t>http://data.europa.eu/ux2/nace2/77</t>
  </si>
  <si>
    <t>78</t>
  </si>
  <si>
    <t>78 Employment activities</t>
  </si>
  <si>
    <t>http://data.europa.eu/ux2/nace2/78</t>
  </si>
  <si>
    <t>79</t>
  </si>
  <si>
    <t>79 Travel agency, tour operator and other reservation service and related activities</t>
  </si>
  <si>
    <t>http://data.europa.eu/ux2/nace2/79</t>
  </si>
  <si>
    <t>80</t>
  </si>
  <si>
    <t>80 Security and investigation activities</t>
  </si>
  <si>
    <t>http://data.europa.eu/ux2/nace2/80</t>
  </si>
  <si>
    <t>81</t>
  </si>
  <si>
    <t>81 Services to buildings and landscape activities</t>
  </si>
  <si>
    <t>http://data.europa.eu/ux2/nace2/81</t>
  </si>
  <si>
    <t>82</t>
  </si>
  <si>
    <t>82 Office administrative, office support and other business support activities</t>
  </si>
  <si>
    <t>http://data.europa.eu/ux2/nace2/82</t>
  </si>
  <si>
    <t>84</t>
  </si>
  <si>
    <t>84 Public administration and defence; compulsory social security</t>
  </si>
  <si>
    <t>http://data.europa.eu/ux2/nace2/84</t>
  </si>
  <si>
    <t>85</t>
  </si>
  <si>
    <t>85 Education</t>
  </si>
  <si>
    <t>http://data.europa.eu/ux2/nace2/85</t>
  </si>
  <si>
    <t>86</t>
  </si>
  <si>
    <t>86 Human health activities</t>
  </si>
  <si>
    <t>http://data.europa.eu/ux2/nace2/86</t>
  </si>
  <si>
    <t>87</t>
  </si>
  <si>
    <t>87 Residential care activities</t>
  </si>
  <si>
    <t>http://data.europa.eu/ux2/nace2/87</t>
  </si>
  <si>
    <t>88</t>
  </si>
  <si>
    <t>88 Social work activities without accommodation</t>
  </si>
  <si>
    <t>http://data.europa.eu/ux2/nace2/88</t>
  </si>
  <si>
    <t>90</t>
  </si>
  <si>
    <t>90 Creative, arts and entertainment activities</t>
  </si>
  <si>
    <t>http://data.europa.eu/ux2/nace2/90</t>
  </si>
  <si>
    <t>91</t>
  </si>
  <si>
    <t>91 Libraries, archives, museums and other cultural activities</t>
  </si>
  <si>
    <t>http://data.europa.eu/ux2/nace2/91</t>
  </si>
  <si>
    <t>92</t>
  </si>
  <si>
    <t>92 Gambling and betting activities</t>
  </si>
  <si>
    <t>http://data.europa.eu/ux2/nace2/92</t>
  </si>
  <si>
    <t>93</t>
  </si>
  <si>
    <t>93 Sports activities and amusement and recreation activities</t>
  </si>
  <si>
    <t>http://data.europa.eu/ux2/nace2/93</t>
  </si>
  <si>
    <t>94</t>
  </si>
  <si>
    <t>94 Activities of membership organisations</t>
  </si>
  <si>
    <t>http://data.europa.eu/ux2/nace2/94</t>
  </si>
  <si>
    <t>95</t>
  </si>
  <si>
    <t>95 Repair of computers and personal and household goods</t>
  </si>
  <si>
    <t>http://data.europa.eu/ux2/nace2/95</t>
  </si>
  <si>
    <t>96</t>
  </si>
  <si>
    <t>96 Other personal service activities</t>
  </si>
  <si>
    <t>http://data.europa.eu/ux2/nace2/96</t>
  </si>
  <si>
    <t>97</t>
  </si>
  <si>
    <t>97 Activities of households as employers of domestic personnel</t>
  </si>
  <si>
    <t>http://data.europa.eu/ux2/nace2/97</t>
  </si>
  <si>
    <t>98</t>
  </si>
  <si>
    <t>98 Undifferentiated goods- and services-producing activities of private households for own use</t>
  </si>
  <si>
    <t>http://data.europa.eu/ux2/nace2/98</t>
  </si>
  <si>
    <t>99 Activities of extraterritorial organisations and bodies</t>
  </si>
  <si>
    <t>http://data.europa.eu/ux2/nace2/99</t>
  </si>
  <si>
    <t>011</t>
  </si>
  <si>
    <t>01.1 Growing of non-perennial crops</t>
  </si>
  <si>
    <t>http://data.europa.eu/ux2/nace2/011</t>
  </si>
  <si>
    <t>012</t>
  </si>
  <si>
    <t>01.2 Growing of perennial crops</t>
  </si>
  <si>
    <t>http://data.europa.eu/ux2/nace2/012</t>
  </si>
  <si>
    <t>013</t>
  </si>
  <si>
    <t>01.3 Plant propagation</t>
  </si>
  <si>
    <t>http://data.europa.eu/ux2/nace2/013</t>
  </si>
  <si>
    <t>014</t>
  </si>
  <si>
    <t>01.4 Animal production</t>
  </si>
  <si>
    <t>http://data.europa.eu/ux2/nace2/014</t>
  </si>
  <si>
    <t>015</t>
  </si>
  <si>
    <t>01.5 Mixed farming</t>
  </si>
  <si>
    <t>http://data.europa.eu/ux2/nace2/015</t>
  </si>
  <si>
    <t>016</t>
  </si>
  <si>
    <t>01.6 Support activities to agriculture and post-harvest crop activities</t>
  </si>
  <si>
    <t>http://data.europa.eu/ux2/nace2/016</t>
  </si>
  <si>
    <t>017</t>
  </si>
  <si>
    <t>01.7 Hunting, trapping and related service activities</t>
  </si>
  <si>
    <t>http://data.europa.eu/ux2/nace2/017</t>
  </si>
  <si>
    <t>021</t>
  </si>
  <si>
    <t>02.1 Silviculture and other forestry activities</t>
  </si>
  <si>
    <t>http://data.europa.eu/ux2/nace2/021</t>
  </si>
  <si>
    <t>022</t>
  </si>
  <si>
    <t>02.2 Logging</t>
  </si>
  <si>
    <t>http://data.europa.eu/ux2/nace2/022</t>
  </si>
  <si>
    <t>023</t>
  </si>
  <si>
    <t>02.3 Gathering of wild growing non-wood products</t>
  </si>
  <si>
    <t>http://data.europa.eu/ux2/nace2/023</t>
  </si>
  <si>
    <t>024</t>
  </si>
  <si>
    <t>02.4 Support services to forestry</t>
  </si>
  <si>
    <t>http://data.europa.eu/ux2/nace2/024</t>
  </si>
  <si>
    <t>031</t>
  </si>
  <si>
    <t>03.1 Fishing</t>
  </si>
  <si>
    <t>http://data.europa.eu/ux2/nace2/031</t>
  </si>
  <si>
    <t>032</t>
  </si>
  <si>
    <t>03.2 Aquaculture</t>
  </si>
  <si>
    <t>http://data.europa.eu/ux2/nace2/032</t>
  </si>
  <si>
    <t>051</t>
  </si>
  <si>
    <t>05.1 Mining of hard coal</t>
  </si>
  <si>
    <t>http://data.europa.eu/ux2/nace2/051</t>
  </si>
  <si>
    <t>052</t>
  </si>
  <si>
    <t>05.2 Mining of lignite</t>
  </si>
  <si>
    <t>http://data.europa.eu/ux2/nace2/052</t>
  </si>
  <si>
    <t>061</t>
  </si>
  <si>
    <t>06.1 Extraction of crude petroleum</t>
  </si>
  <si>
    <t>http://data.europa.eu/ux2/nace2/061</t>
  </si>
  <si>
    <t>062</t>
  </si>
  <si>
    <t>06.2 Extraction of natural gas</t>
  </si>
  <si>
    <t>http://data.europa.eu/ux2/nace2/062</t>
  </si>
  <si>
    <t>071</t>
  </si>
  <si>
    <t>07.1 Mining of iron ores</t>
  </si>
  <si>
    <t>http://data.europa.eu/ux2/nace2/071</t>
  </si>
  <si>
    <t>072</t>
  </si>
  <si>
    <t>07.2 Mining of non-ferrous metal ores</t>
  </si>
  <si>
    <t>http://data.europa.eu/ux2/nace2/072</t>
  </si>
  <si>
    <t>081</t>
  </si>
  <si>
    <t>08.1 Quarrying of stone, sand and clay</t>
  </si>
  <si>
    <t>http://data.europa.eu/ux2/nace2/081</t>
  </si>
  <si>
    <t>089</t>
  </si>
  <si>
    <t>08.9 Mining and quarrying n.e.c.</t>
  </si>
  <si>
    <t>http://data.europa.eu/ux2/nace2/089</t>
  </si>
  <si>
    <t>091</t>
  </si>
  <si>
    <t>09.1 Support activities for petroleum and natural gas extraction</t>
  </si>
  <si>
    <t>http://data.europa.eu/ux2/nace2/091</t>
  </si>
  <si>
    <t>099</t>
  </si>
  <si>
    <t>09.9 Support activities for other mining and quarrying</t>
  </si>
  <si>
    <t>http://data.europa.eu/ux2/nace2/099</t>
  </si>
  <si>
    <t>101</t>
  </si>
  <si>
    <t>10.1 Processing and preserving of meat and production of meat products</t>
  </si>
  <si>
    <t>http://data.europa.eu/ux2/nace2/101</t>
  </si>
  <si>
    <t>102</t>
  </si>
  <si>
    <t>10.2 Processing and preserving of fish, crustaceans and molluscs</t>
  </si>
  <si>
    <t>http://data.europa.eu/ux2/nace2/102</t>
  </si>
  <si>
    <t>103</t>
  </si>
  <si>
    <t>10.3 Processing and preserving of fruit and vegetables</t>
  </si>
  <si>
    <t>http://data.europa.eu/ux2/nace2/103</t>
  </si>
  <si>
    <t>104</t>
  </si>
  <si>
    <t>10.4 Manufacture of vegetable and animal oils and fats</t>
  </si>
  <si>
    <t>http://data.europa.eu/ux2/nace2/104</t>
  </si>
  <si>
    <t>105</t>
  </si>
  <si>
    <t>10.5 Manufacture of dairy products</t>
  </si>
  <si>
    <t>http://data.europa.eu/ux2/nace2/105</t>
  </si>
  <si>
    <t>106</t>
  </si>
  <si>
    <t>10.6 Manufacture of grain mill products, starches and starch products</t>
  </si>
  <si>
    <t>http://data.europa.eu/ux2/nace2/106</t>
  </si>
  <si>
    <t>107</t>
  </si>
  <si>
    <t>10.7 Manufacture of bakery and farinaceous products</t>
  </si>
  <si>
    <t>http://data.europa.eu/ux2/nace2/107</t>
  </si>
  <si>
    <t>108</t>
  </si>
  <si>
    <t>10.8 Manufacture of other food products</t>
  </si>
  <si>
    <t>http://data.europa.eu/ux2/nace2/108</t>
  </si>
  <si>
    <t>109</t>
  </si>
  <si>
    <t>10.9 Manufacture of prepared animal feeds</t>
  </si>
  <si>
    <t>http://data.europa.eu/ux2/nace2/109</t>
  </si>
  <si>
    <t>110</t>
  </si>
  <si>
    <t>11.0 Manufacture of beverages</t>
  </si>
  <si>
    <t>http://data.europa.eu/ux2/nace2/110</t>
  </si>
  <si>
    <t>120</t>
  </si>
  <si>
    <t>12.0 Manufacture of tobacco products</t>
  </si>
  <si>
    <t>http://data.europa.eu/ux2/nace2/120</t>
  </si>
  <si>
    <t>131</t>
  </si>
  <si>
    <t>13.1 Preparation and spinning of textile fibres</t>
  </si>
  <si>
    <t>http://data.europa.eu/ux2/nace2/131</t>
  </si>
  <si>
    <t>132</t>
  </si>
  <si>
    <t>13.2 Weaving of textiles</t>
  </si>
  <si>
    <t>http://data.europa.eu/ux2/nace2/132</t>
  </si>
  <si>
    <t>133</t>
  </si>
  <si>
    <t>13.3 Finishing of textiles</t>
  </si>
  <si>
    <t>http://data.europa.eu/ux2/nace2/133</t>
  </si>
  <si>
    <t>139</t>
  </si>
  <si>
    <t>13.9 Manufacture of other textiles</t>
  </si>
  <si>
    <t>http://data.europa.eu/ux2/nace2/139</t>
  </si>
  <si>
    <t>141</t>
  </si>
  <si>
    <t>14.1 Manufacture of wearing apparel, except fur apparel</t>
  </si>
  <si>
    <t>http://data.europa.eu/ux2/nace2/141</t>
  </si>
  <si>
    <t>142</t>
  </si>
  <si>
    <t>14.2 Manufacture of articles of fur</t>
  </si>
  <si>
    <t>http://data.europa.eu/ux2/nace2/142</t>
  </si>
  <si>
    <t>143</t>
  </si>
  <si>
    <t>14.3 Manufacture of knitted and crocheted apparel</t>
  </si>
  <si>
    <t>http://data.europa.eu/ux2/nace2/143</t>
  </si>
  <si>
    <t>151</t>
  </si>
  <si>
    <t>15.1 Tanning and dressing of leather; manufacture of luggage, handbags, saddlery and harness; dressing and dyeing of fur</t>
  </si>
  <si>
    <t>http://data.europa.eu/ux2/nace2/151</t>
  </si>
  <si>
    <t>152</t>
  </si>
  <si>
    <t>15.2 Manufacture of footwear</t>
  </si>
  <si>
    <t>http://data.europa.eu/ux2/nace2/152</t>
  </si>
  <si>
    <t>161</t>
  </si>
  <si>
    <t>16.1 Sawmilling and planing of wood</t>
  </si>
  <si>
    <t>http://data.europa.eu/ux2/nace2/161</t>
  </si>
  <si>
    <t>162</t>
  </si>
  <si>
    <t>16.2 Manufacture of products of wood, cork, straw and plaiting materials</t>
  </si>
  <si>
    <t>http://data.europa.eu/ux2/nace2/162</t>
  </si>
  <si>
    <t>171</t>
  </si>
  <si>
    <t>17.1 Manufacture of pulp, paper and paperboard</t>
  </si>
  <si>
    <t>http://data.europa.eu/ux2/nace2/171</t>
  </si>
  <si>
    <t>172</t>
  </si>
  <si>
    <t>17.2 Manufacture of articles of paper and paperboard</t>
  </si>
  <si>
    <t>http://data.europa.eu/ux2/nace2/172</t>
  </si>
  <si>
    <t>181</t>
  </si>
  <si>
    <t>18.1 Printing and service activities related to printing</t>
  </si>
  <si>
    <t>http://data.europa.eu/ux2/nace2/181</t>
  </si>
  <si>
    <t>182</t>
  </si>
  <si>
    <t>18.2 Reproduction of recorded media</t>
  </si>
  <si>
    <t>http://data.europa.eu/ux2/nace2/182</t>
  </si>
  <si>
    <t>191</t>
  </si>
  <si>
    <t>19.1 Manufacture of coke oven products</t>
  </si>
  <si>
    <t>http://data.europa.eu/ux2/nace2/191</t>
  </si>
  <si>
    <t>192</t>
  </si>
  <si>
    <t>19.2 Manufacture of refined petroleum products</t>
  </si>
  <si>
    <t>http://data.europa.eu/ux2/nace2/192</t>
  </si>
  <si>
    <t>201</t>
  </si>
  <si>
    <t>20.1 Manufacture of basic chemicals, fertilisers and nitrogen compounds, plastics and synthetic rubber in primary forms</t>
  </si>
  <si>
    <t>http://data.europa.eu/ux2/nace2/201</t>
  </si>
  <si>
    <t>202</t>
  </si>
  <si>
    <t>20.2 Manufacture of pesticides and other agrochemical products</t>
  </si>
  <si>
    <t>http://data.europa.eu/ux2/nace2/202</t>
  </si>
  <si>
    <t>203</t>
  </si>
  <si>
    <t>20.3 Manufacture of paints, varnishes and similar coatings, printing ink and mastics</t>
  </si>
  <si>
    <t>http://data.europa.eu/ux2/nace2/203</t>
  </si>
  <si>
    <t>204</t>
  </si>
  <si>
    <t>20.4 Manufacture of soap and detergents, cleaning and polishing preparations, perfumes and toilet preparations</t>
  </si>
  <si>
    <t>http://data.europa.eu/ux2/nace2/204</t>
  </si>
  <si>
    <t>205</t>
  </si>
  <si>
    <t>20.5 Manufacture of other chemical products</t>
  </si>
  <si>
    <t>http://data.europa.eu/ux2/nace2/205</t>
  </si>
  <si>
    <t>206</t>
  </si>
  <si>
    <t>20.6 Manufacture of man-made fibres</t>
  </si>
  <si>
    <t>http://data.europa.eu/ux2/nace2/206</t>
  </si>
  <si>
    <t>211</t>
  </si>
  <si>
    <t>21.1 Manufacture of basic pharmaceutical products</t>
  </si>
  <si>
    <t>http://data.europa.eu/ux2/nace2/211</t>
  </si>
  <si>
    <t>212</t>
  </si>
  <si>
    <t>21.2 Manufacture of pharmaceutical preparations</t>
  </si>
  <si>
    <t>http://data.europa.eu/ux2/nace2/212</t>
  </si>
  <si>
    <t>221</t>
  </si>
  <si>
    <t>22.1 Manufacture of rubber products</t>
  </si>
  <si>
    <t>http://data.europa.eu/ux2/nace2/221</t>
  </si>
  <si>
    <t>222</t>
  </si>
  <si>
    <t>http://data.europa.eu/ux2/nace2/222</t>
  </si>
  <si>
    <t>231</t>
  </si>
  <si>
    <t>23.1 Manufacture of glass and glass products</t>
  </si>
  <si>
    <t>http://data.europa.eu/ux2/nace2/231</t>
  </si>
  <si>
    <t>232</t>
  </si>
  <si>
    <t>23.2 Manufacture of refractory products</t>
  </si>
  <si>
    <t>http://data.europa.eu/ux2/nace2/232</t>
  </si>
  <si>
    <t>233</t>
  </si>
  <si>
    <t>23.3 Manufacture of clay building materials</t>
  </si>
  <si>
    <t>http://data.europa.eu/ux2/nace2/233</t>
  </si>
  <si>
    <t>234</t>
  </si>
  <si>
    <t>23.4 Manufacture of other porcelain and ceramic products</t>
  </si>
  <si>
    <t>http://data.europa.eu/ux2/nace2/234</t>
  </si>
  <si>
    <t>235</t>
  </si>
  <si>
    <t>23.5 Manufacture of cement, lime and plaster</t>
  </si>
  <si>
    <t>http://data.europa.eu/ux2/nace2/235</t>
  </si>
  <si>
    <t>236</t>
  </si>
  <si>
    <t>23.6 Manufacture of articles of concrete, cement and plaster</t>
  </si>
  <si>
    <t>http://data.europa.eu/ux2/nace2/236</t>
  </si>
  <si>
    <t>237</t>
  </si>
  <si>
    <t>23.7 Cutting, shaping and finishing of stone</t>
  </si>
  <si>
    <t>http://data.europa.eu/ux2/nace2/237</t>
  </si>
  <si>
    <t>239</t>
  </si>
  <si>
    <t>23.9 Manufacture of abrasive products and non-metallic mineral products n.e.c.</t>
  </si>
  <si>
    <t>http://data.europa.eu/ux2/nace2/239</t>
  </si>
  <si>
    <t>241</t>
  </si>
  <si>
    <t>24.1 Manufacture of basic iron and steel and of ferro-alloys</t>
  </si>
  <si>
    <t>http://data.europa.eu/ux2/nace2/241</t>
  </si>
  <si>
    <t>242</t>
  </si>
  <si>
    <t>24.2 Manufacture of tubes, pipes, hollow profiles and related fittings, of steel</t>
  </si>
  <si>
    <t>http://data.europa.eu/ux2/nace2/242</t>
  </si>
  <si>
    <t>243</t>
  </si>
  <si>
    <t>24.3 Manufacture of other products of first processing of steel</t>
  </si>
  <si>
    <t>http://data.europa.eu/ux2/nace2/243</t>
  </si>
  <si>
    <t>244</t>
  </si>
  <si>
    <t>24.4 Manufacture of basic precious and other non-ferrous metals</t>
  </si>
  <si>
    <t>http://data.europa.eu/ux2/nace2/244</t>
  </si>
  <si>
    <t>245</t>
  </si>
  <si>
    <t>24.5 Casting of metals</t>
  </si>
  <si>
    <t>http://data.europa.eu/ux2/nace2/245</t>
  </si>
  <si>
    <t>251</t>
  </si>
  <si>
    <t>25.1 Manufacture of structural metal products</t>
  </si>
  <si>
    <t>http://data.europa.eu/ux2/nace2/251</t>
  </si>
  <si>
    <t>252</t>
  </si>
  <si>
    <t>25.2 Manufacture of tanks, reservoirs and containers of metal</t>
  </si>
  <si>
    <t>http://data.europa.eu/ux2/nace2/252</t>
  </si>
  <si>
    <t>253</t>
  </si>
  <si>
    <t>25.3 Manufacture of steam generators, except central heating hot water boilers</t>
  </si>
  <si>
    <t>http://data.europa.eu/ux2/nace2/253</t>
  </si>
  <si>
    <t>254</t>
  </si>
  <si>
    <t>25.4 Manufacture of weapons and ammunition</t>
  </si>
  <si>
    <t>http://data.europa.eu/ux2/nace2/254</t>
  </si>
  <si>
    <t>255</t>
  </si>
  <si>
    <t>25.5 Forging, pressing, stamping and roll-forming of metal; powder metallurgy</t>
  </si>
  <si>
    <t>http://data.europa.eu/ux2/nace2/255</t>
  </si>
  <si>
    <t>256</t>
  </si>
  <si>
    <t>25.6 Treatment and coating of metals; machining</t>
  </si>
  <si>
    <t>http://data.europa.eu/ux2/nace2/256</t>
  </si>
  <si>
    <t>257</t>
  </si>
  <si>
    <t>25.7 Manufacture of cutlery, tools and general hardware</t>
  </si>
  <si>
    <t>http://data.europa.eu/ux2/nace2/257</t>
  </si>
  <si>
    <t>259</t>
  </si>
  <si>
    <t>25.9 Manufacture of other fabricated metal products</t>
  </si>
  <si>
    <t>http://data.europa.eu/ux2/nace2/259</t>
  </si>
  <si>
    <t>261</t>
  </si>
  <si>
    <t>26.1 Manufacture of electronic components and boards</t>
  </si>
  <si>
    <t>http://data.europa.eu/ux2/nace2/261</t>
  </si>
  <si>
    <t>262</t>
  </si>
  <si>
    <t>26.2 Manufacture of computers and peripheral equipment</t>
  </si>
  <si>
    <t>http://data.europa.eu/ux2/nace2/262</t>
  </si>
  <si>
    <t>263</t>
  </si>
  <si>
    <t>26.3 Manufacture of communication equipment</t>
  </si>
  <si>
    <t>http://data.europa.eu/ux2/nace2/263</t>
  </si>
  <si>
    <t>264</t>
  </si>
  <si>
    <t>26.4 Manufacture of consumer electronics</t>
  </si>
  <si>
    <t>http://data.europa.eu/ux2/nace2/264</t>
  </si>
  <si>
    <t>265</t>
  </si>
  <si>
    <t>26.5 Manufacture of instruments and appliances for measuring, testing and navigation; watches and clocks</t>
  </si>
  <si>
    <t>http://data.europa.eu/ux2/nace2/265</t>
  </si>
  <si>
    <t>266</t>
  </si>
  <si>
    <t>26.6 Manufacture of irradiation, electromedical and electrotherapeutic equipment</t>
  </si>
  <si>
    <t>http://data.europa.eu/ux2/nace2/266</t>
  </si>
  <si>
    <t>267</t>
  </si>
  <si>
    <t>26.7 Manufacture of optical instruments and photographic equipment</t>
  </si>
  <si>
    <t>http://data.europa.eu/ux2/nace2/267</t>
  </si>
  <si>
    <t>268</t>
  </si>
  <si>
    <t>26.8 Manufacture of magnetic and optical media</t>
  </si>
  <si>
    <t>http://data.europa.eu/ux2/nace2/268</t>
  </si>
  <si>
    <t>271</t>
  </si>
  <si>
    <t>27.1 Manufacture of electric motors, generators, transformers and electricity distribution and control apparatus</t>
  </si>
  <si>
    <t>http://data.europa.eu/ux2/nace2/271</t>
  </si>
  <si>
    <t>272</t>
  </si>
  <si>
    <t>27.2 Manufacture of batteries and accumulators</t>
  </si>
  <si>
    <t>http://data.europa.eu/ux2/nace2/272</t>
  </si>
  <si>
    <t>273</t>
  </si>
  <si>
    <t>27.3 Manufacture of wiring and wiring devices</t>
  </si>
  <si>
    <t>http://data.europa.eu/ux2/nace2/273</t>
  </si>
  <si>
    <t>274</t>
  </si>
  <si>
    <t>27.4 Manufacture of electric lighting equipment</t>
  </si>
  <si>
    <t>http://data.europa.eu/ux2/nace2/274</t>
  </si>
  <si>
    <t>275</t>
  </si>
  <si>
    <t>27.5 Manufacture of domestic appliances</t>
  </si>
  <si>
    <t>http://data.europa.eu/ux2/nace2/275</t>
  </si>
  <si>
    <t>279</t>
  </si>
  <si>
    <t>27.9 Manufacture of other electrical equipment</t>
  </si>
  <si>
    <t>http://data.europa.eu/ux2/nace2/279</t>
  </si>
  <si>
    <t>281</t>
  </si>
  <si>
    <t>28.1 Manufacture of general-purpose machinery</t>
  </si>
  <si>
    <t>http://data.europa.eu/ux2/nace2/281</t>
  </si>
  <si>
    <t>282</t>
  </si>
  <si>
    <t>28.2 Manufacture of other general-purpose machinery</t>
  </si>
  <si>
    <t>http://data.europa.eu/ux2/nace2/282</t>
  </si>
  <si>
    <t>283</t>
  </si>
  <si>
    <t>28.3 Manufacture of agricultural and forestry machinery</t>
  </si>
  <si>
    <t>http://data.europa.eu/ux2/nace2/283</t>
  </si>
  <si>
    <t>284</t>
  </si>
  <si>
    <t>28.4 Manufacture of metal forming machinery and machine tools</t>
  </si>
  <si>
    <t>http://data.europa.eu/ux2/nace2/284</t>
  </si>
  <si>
    <t>289</t>
  </si>
  <si>
    <t>28.9 Manufacture of other special-purpose machinery</t>
  </si>
  <si>
    <t>http://data.europa.eu/ux2/nace2/289</t>
  </si>
  <si>
    <t>291</t>
  </si>
  <si>
    <t>29.1 Manufacture of motor vehicles</t>
  </si>
  <si>
    <t>http://data.europa.eu/ux2/nace2/291</t>
  </si>
  <si>
    <t>292</t>
  </si>
  <si>
    <t>29.2 Manufacture of bodies (coachwork) for motor vehicles; manufacture of trailers and semi-trailers</t>
  </si>
  <si>
    <t>http://data.europa.eu/ux2/nace2/292</t>
  </si>
  <si>
    <t>293</t>
  </si>
  <si>
    <t>29.3 Manufacture of parts and accessories for motor vehicles</t>
  </si>
  <si>
    <t>http://data.europa.eu/ux2/nace2/293</t>
  </si>
  <si>
    <t>301</t>
  </si>
  <si>
    <t>30.1 Building of ships and boats</t>
  </si>
  <si>
    <t>http://data.europa.eu/ux2/nace2/301</t>
  </si>
  <si>
    <t>302</t>
  </si>
  <si>
    <t>30.2 Manufacture of railway locomotives and rolling stock</t>
  </si>
  <si>
    <t>http://data.europa.eu/ux2/nace2/302</t>
  </si>
  <si>
    <t>303</t>
  </si>
  <si>
    <t>30.3 Manufacture of air and spacecraft and related machinery</t>
  </si>
  <si>
    <t>http://data.europa.eu/ux2/nace2/303</t>
  </si>
  <si>
    <t>304</t>
  </si>
  <si>
    <t>30.4 Manufacture of military fighting vehicles</t>
  </si>
  <si>
    <t>http://data.europa.eu/ux2/nace2/304</t>
  </si>
  <si>
    <t>309</t>
  </si>
  <si>
    <t>30.9 Manufacture of transport equipment n.e.c.</t>
  </si>
  <si>
    <t>http://data.europa.eu/ux2/nace2/309</t>
  </si>
  <si>
    <t>310</t>
  </si>
  <si>
    <t>31.0 Manufacture of furniture</t>
  </si>
  <si>
    <t>http://data.europa.eu/ux2/nace2/310</t>
  </si>
  <si>
    <t>321</t>
  </si>
  <si>
    <t>32.1 Manufacture of jewellery, bijouterie and related articles</t>
  </si>
  <si>
    <t>http://data.europa.eu/ux2/nace2/321</t>
  </si>
  <si>
    <t>322</t>
  </si>
  <si>
    <t>32.2 Manufacture of musical instruments</t>
  </si>
  <si>
    <t>http://data.europa.eu/ux2/nace2/322</t>
  </si>
  <si>
    <t>323</t>
  </si>
  <si>
    <t>32.3 Manufacture of sports goods</t>
  </si>
  <si>
    <t>http://data.europa.eu/ux2/nace2/323</t>
  </si>
  <si>
    <t>324</t>
  </si>
  <si>
    <t>32.4 Manufacture of games and toys</t>
  </si>
  <si>
    <t>http://data.europa.eu/ux2/nace2/324</t>
  </si>
  <si>
    <t>325</t>
  </si>
  <si>
    <t>32.5 Manufacture of medical and dental instruments and supplies</t>
  </si>
  <si>
    <t>http://data.europa.eu/ux2/nace2/325</t>
  </si>
  <si>
    <t>329</t>
  </si>
  <si>
    <t>32.9 Manufacturing n.e.c.</t>
  </si>
  <si>
    <t>http://data.europa.eu/ux2/nace2/329</t>
  </si>
  <si>
    <t>331</t>
  </si>
  <si>
    <t>33.1 Repair of fabricated metal products, machinery and equipment</t>
  </si>
  <si>
    <t>http://data.europa.eu/ux2/nace2/331</t>
  </si>
  <si>
    <t>332</t>
  </si>
  <si>
    <t>33.2 Installation of industrial machinery and equipment</t>
  </si>
  <si>
    <t>http://data.europa.eu/ux2/nace2/332</t>
  </si>
  <si>
    <t>351</t>
  </si>
  <si>
    <t>35.1 Electric power generation, transmission and distribution</t>
  </si>
  <si>
    <t>http://data.europa.eu/ux2/nace2/351</t>
  </si>
  <si>
    <t>352</t>
  </si>
  <si>
    <t>35.2 Manufacture of gas; distribution of gaseous fuels through mains</t>
  </si>
  <si>
    <t>http://data.europa.eu/ux2/nace2/352</t>
  </si>
  <si>
    <t>353</t>
  </si>
  <si>
    <t>35.3 Steam and air conditioning supply</t>
  </si>
  <si>
    <t>http://data.europa.eu/ux2/nace2/353</t>
  </si>
  <si>
    <t>360</t>
  </si>
  <si>
    <t>36.0 Water collection, treatment and supply</t>
  </si>
  <si>
    <t>http://data.europa.eu/ux2/nace2/360</t>
  </si>
  <si>
    <t>370</t>
  </si>
  <si>
    <t>37.0 Sewerage</t>
  </si>
  <si>
    <t>http://data.europa.eu/ux2/nace2/370</t>
  </si>
  <si>
    <t>381</t>
  </si>
  <si>
    <t>38.1 Waste collection</t>
  </si>
  <si>
    <t>http://data.europa.eu/ux2/nace2/381</t>
  </si>
  <si>
    <t>382</t>
  </si>
  <si>
    <t>38.2 Waste treatment and disposal</t>
  </si>
  <si>
    <t>http://data.europa.eu/ux2/nace2/382</t>
  </si>
  <si>
    <t>383</t>
  </si>
  <si>
    <t>38.3 Materials recovery</t>
  </si>
  <si>
    <t>http://data.europa.eu/ux2/nace2/383</t>
  </si>
  <si>
    <t>390</t>
  </si>
  <si>
    <t>39.0 Remediation activities and other waste management services</t>
  </si>
  <si>
    <t>http://data.europa.eu/ux2/nace2/390</t>
  </si>
  <si>
    <t>411</t>
  </si>
  <si>
    <t>41.1 Development of building projects</t>
  </si>
  <si>
    <t>http://data.europa.eu/ux2/nace2/411</t>
  </si>
  <si>
    <t>412</t>
  </si>
  <si>
    <t>41.2 Construction of residential and non-residential buildings</t>
  </si>
  <si>
    <t>http://data.europa.eu/ux2/nace2/412</t>
  </si>
  <si>
    <t>421</t>
  </si>
  <si>
    <t>42.1 Construction of roads and railways</t>
  </si>
  <si>
    <t>http://data.europa.eu/ux2/nace2/421</t>
  </si>
  <si>
    <t>422</t>
  </si>
  <si>
    <t>42.2 Construction of utility projects</t>
  </si>
  <si>
    <t>http://data.europa.eu/ux2/nace2/422</t>
  </si>
  <si>
    <t>429</t>
  </si>
  <si>
    <t>42.9 Construction of other civil engineering projects</t>
  </si>
  <si>
    <t>http://data.europa.eu/ux2/nace2/429</t>
  </si>
  <si>
    <t>431</t>
  </si>
  <si>
    <t>43.1 Demolition and site preparation</t>
  </si>
  <si>
    <t>http://data.europa.eu/ux2/nace2/431</t>
  </si>
  <si>
    <t>432</t>
  </si>
  <si>
    <t>43.2 Electrical, plumbing and other construction installation activities</t>
  </si>
  <si>
    <t>http://data.europa.eu/ux2/nace2/432</t>
  </si>
  <si>
    <t>433</t>
  </si>
  <si>
    <t>43.3 Building completion and finishing</t>
  </si>
  <si>
    <t>http://data.europa.eu/ux2/nace2/433</t>
  </si>
  <si>
    <t>439</t>
  </si>
  <si>
    <t>43.9 Other specialised construction activities</t>
  </si>
  <si>
    <t>http://data.europa.eu/ux2/nace2/439</t>
  </si>
  <si>
    <t>451</t>
  </si>
  <si>
    <t>45.1 Sale of motor vehicles</t>
  </si>
  <si>
    <t>http://data.europa.eu/ux2/nace2/451</t>
  </si>
  <si>
    <t>452</t>
  </si>
  <si>
    <t>45.2 Maintenance and repair of motor vehicles</t>
  </si>
  <si>
    <t>http://data.europa.eu/ux2/nace2/452</t>
  </si>
  <si>
    <t>453</t>
  </si>
  <si>
    <t>45.3 Sale of motor vehicle parts and accessories</t>
  </si>
  <si>
    <t>http://data.europa.eu/ux2/nace2/453</t>
  </si>
  <si>
    <t>454</t>
  </si>
  <si>
    <t>45.4 Sale, maintenance and repair of motorcycles and related parts and accessories</t>
  </si>
  <si>
    <t>http://data.europa.eu/ux2/nace2/454</t>
  </si>
  <si>
    <t>461</t>
  </si>
  <si>
    <t>46.1 Wholesale on a fee or contract basis</t>
  </si>
  <si>
    <t>http://data.europa.eu/ux2/nace2/461</t>
  </si>
  <si>
    <t>462</t>
  </si>
  <si>
    <t>46.2 Wholesale of agricultural raw materials and live animals</t>
  </si>
  <si>
    <t>http://data.europa.eu/ux2/nace2/462</t>
  </si>
  <si>
    <t>463</t>
  </si>
  <si>
    <t>46.3 Wholesale of food, beverages and tobacco</t>
  </si>
  <si>
    <t>http://data.europa.eu/ux2/nace2/463</t>
  </si>
  <si>
    <t>464</t>
  </si>
  <si>
    <t>46.4 Wholesale of household goods</t>
  </si>
  <si>
    <t>http://data.europa.eu/ux2/nace2/464</t>
  </si>
  <si>
    <t>465</t>
  </si>
  <si>
    <t>46.5 Wholesale of information and communication equipment</t>
  </si>
  <si>
    <t>http://data.europa.eu/ux2/nace2/465</t>
  </si>
  <si>
    <t>466</t>
  </si>
  <si>
    <t>46.6 Wholesale of other machinery, equipment and supplies</t>
  </si>
  <si>
    <t>http://data.europa.eu/ux2/nace2/466</t>
  </si>
  <si>
    <t>467</t>
  </si>
  <si>
    <t>46.7 Other specialised wholesale</t>
  </si>
  <si>
    <t>http://data.europa.eu/ux2/nace2/467</t>
  </si>
  <si>
    <t>469</t>
  </si>
  <si>
    <t>46.9 Non-specialised wholesale trade</t>
  </si>
  <si>
    <t>http://data.europa.eu/ux2/nace2/469</t>
  </si>
  <si>
    <t>471</t>
  </si>
  <si>
    <t>47.1 Retail sale in non-specialised stores</t>
  </si>
  <si>
    <t>http://data.europa.eu/ux2/nace2/471</t>
  </si>
  <si>
    <t>472</t>
  </si>
  <si>
    <t>47.2 Retail sale of food, beverages and tobacco in specialised stores</t>
  </si>
  <si>
    <t>http://data.europa.eu/ux2/nace2/472</t>
  </si>
  <si>
    <t>473</t>
  </si>
  <si>
    <t>47.3 Retail sale of automotive fuel in specialised stores</t>
  </si>
  <si>
    <t>http://data.europa.eu/ux2/nace2/473</t>
  </si>
  <si>
    <t>474</t>
  </si>
  <si>
    <t>47.4 Retail sale of information and communication equipment in specialised stores</t>
  </si>
  <si>
    <t>http://data.europa.eu/ux2/nace2/474</t>
  </si>
  <si>
    <t>475</t>
  </si>
  <si>
    <t>47.5 Retail sale of other household equipment in specialised stores</t>
  </si>
  <si>
    <t>http://data.europa.eu/ux2/nace2/475</t>
  </si>
  <si>
    <t>476</t>
  </si>
  <si>
    <t>47.6 Retail sale of cultural and recreation goods in specialised stores</t>
  </si>
  <si>
    <t>http://data.europa.eu/ux2/nace2/476</t>
  </si>
  <si>
    <t>477</t>
  </si>
  <si>
    <t>47.7 Retail sale of other goods in specialised stores</t>
  </si>
  <si>
    <t>http://data.europa.eu/ux2/nace2/477</t>
  </si>
  <si>
    <t>478</t>
  </si>
  <si>
    <t>47.8 Retail sale via stalls and markets</t>
  </si>
  <si>
    <t>http://data.europa.eu/ux2/nace2/478</t>
  </si>
  <si>
    <t>479</t>
  </si>
  <si>
    <t>47.9 Retail trade not in stores, stalls or markets</t>
  </si>
  <si>
    <t>http://data.europa.eu/ux2/nace2/479</t>
  </si>
  <si>
    <t>491</t>
  </si>
  <si>
    <t>49.1 Passenger rail transport, interurban</t>
  </si>
  <si>
    <t>http://data.europa.eu/ux2/nace2/491</t>
  </si>
  <si>
    <t>492</t>
  </si>
  <si>
    <t>49.2 Freight rail transport</t>
  </si>
  <si>
    <t>http://data.europa.eu/ux2/nace2/492</t>
  </si>
  <si>
    <t>493</t>
  </si>
  <si>
    <t>49.3 Other passenger land transport</t>
  </si>
  <si>
    <t>http://data.europa.eu/ux2/nace2/493</t>
  </si>
  <si>
    <t>494</t>
  </si>
  <si>
    <t>49.4 Freight transport by road and removal services</t>
  </si>
  <si>
    <t>http://data.europa.eu/ux2/nace2/494</t>
  </si>
  <si>
    <t>495</t>
  </si>
  <si>
    <t>49.5 Transport via pipeline</t>
  </si>
  <si>
    <t>http://data.europa.eu/ux2/nace2/495</t>
  </si>
  <si>
    <t>501</t>
  </si>
  <si>
    <t>50.1 Sea and coastal passenger water transport</t>
  </si>
  <si>
    <t>http://data.europa.eu/ux2/nace2/501</t>
  </si>
  <si>
    <t>502</t>
  </si>
  <si>
    <t>50.2 Sea and coastal freight water transport</t>
  </si>
  <si>
    <t>http://data.europa.eu/ux2/nace2/502</t>
  </si>
  <si>
    <t>503</t>
  </si>
  <si>
    <t>50.3 Inland passenger water transport</t>
  </si>
  <si>
    <t>http://data.europa.eu/ux2/nace2/503</t>
  </si>
  <si>
    <t>504</t>
  </si>
  <si>
    <t>50.4 Inland freight water transport</t>
  </si>
  <si>
    <t>http://data.europa.eu/ux2/nace2/504</t>
  </si>
  <si>
    <t>511</t>
  </si>
  <si>
    <t>51.1 Passenger air transport</t>
  </si>
  <si>
    <t>http://data.europa.eu/ux2/nace2/511</t>
  </si>
  <si>
    <t>512</t>
  </si>
  <si>
    <t>51.2 Freight air transport and space transport</t>
  </si>
  <si>
    <t>http://data.europa.eu/ux2/nace2/512</t>
  </si>
  <si>
    <t>521</t>
  </si>
  <si>
    <t>52.1 Warehousing and storage</t>
  </si>
  <si>
    <t>http://data.europa.eu/ux2/nace2/521</t>
  </si>
  <si>
    <t>522</t>
  </si>
  <si>
    <t>52.2 Support activities for transportation</t>
  </si>
  <si>
    <t>http://data.europa.eu/ux2/nace2/522</t>
  </si>
  <si>
    <t>531</t>
  </si>
  <si>
    <t>53.1 Postal activities under universal service obligation</t>
  </si>
  <si>
    <t>http://data.europa.eu/ux2/nace2/531</t>
  </si>
  <si>
    <t>532</t>
  </si>
  <si>
    <t>53.2 Other postal and courier activities</t>
  </si>
  <si>
    <t>http://data.europa.eu/ux2/nace2/532</t>
  </si>
  <si>
    <t>551</t>
  </si>
  <si>
    <t>55.1 Hotels and similar accommodation</t>
  </si>
  <si>
    <t>http://data.europa.eu/ux2/nace2/551</t>
  </si>
  <si>
    <t>552</t>
  </si>
  <si>
    <t>55.2 Holiday and other short-stay accommodation</t>
  </si>
  <si>
    <t>http://data.europa.eu/ux2/nace2/552</t>
  </si>
  <si>
    <t>553</t>
  </si>
  <si>
    <t>55.3 Camping grounds, recreational vehicle parks and trailer parks</t>
  </si>
  <si>
    <t>http://data.europa.eu/ux2/nace2/553</t>
  </si>
  <si>
    <t>559</t>
  </si>
  <si>
    <t>55.9 Other accommodation</t>
  </si>
  <si>
    <t>http://data.europa.eu/ux2/nace2/559</t>
  </si>
  <si>
    <t>561</t>
  </si>
  <si>
    <t>56.1 Restaurants and mobile food service activities</t>
  </si>
  <si>
    <t>http://data.europa.eu/ux2/nace2/561</t>
  </si>
  <si>
    <t>562</t>
  </si>
  <si>
    <t>56.2 Event catering and other food service activities</t>
  </si>
  <si>
    <t>http://data.europa.eu/ux2/nace2/562</t>
  </si>
  <si>
    <t>563</t>
  </si>
  <si>
    <t>56.3 Beverage serving activities</t>
  </si>
  <si>
    <t>http://data.europa.eu/ux2/nace2/563</t>
  </si>
  <si>
    <t>581</t>
  </si>
  <si>
    <t>58.1 Publishing of books, periodicals and other publishing activities</t>
  </si>
  <si>
    <t>http://data.europa.eu/ux2/nace2/581</t>
  </si>
  <si>
    <t>582</t>
  </si>
  <si>
    <t>58.2 Software publishing</t>
  </si>
  <si>
    <t>http://data.europa.eu/ux2/nace2/582</t>
  </si>
  <si>
    <t>591</t>
  </si>
  <si>
    <t>59.1 Motion picture, video and television programme activities</t>
  </si>
  <si>
    <t>http://data.europa.eu/ux2/nace2/591</t>
  </si>
  <si>
    <t>592</t>
  </si>
  <si>
    <t>59.2 Sound recording and music publishing activities</t>
  </si>
  <si>
    <t>http://data.europa.eu/ux2/nace2/592</t>
  </si>
  <si>
    <t>601</t>
  </si>
  <si>
    <t>60.1 Radio broadcasting</t>
  </si>
  <si>
    <t>http://data.europa.eu/ux2/nace2/601</t>
  </si>
  <si>
    <t>602</t>
  </si>
  <si>
    <t>60.2 Television programming and broadcasting activities</t>
  </si>
  <si>
    <t>http://data.europa.eu/ux2/nace2/602</t>
  </si>
  <si>
    <t>611</t>
  </si>
  <si>
    <t>61.1 Wired telecommunications activities</t>
  </si>
  <si>
    <t>http://data.europa.eu/ux2/nace2/611</t>
  </si>
  <si>
    <t>612</t>
  </si>
  <si>
    <t>61.2 Wireless telecommunications activities</t>
  </si>
  <si>
    <t>http://data.europa.eu/ux2/nace2/612</t>
  </si>
  <si>
    <t>613</t>
  </si>
  <si>
    <t>61.3 Satellite telecommunications activities</t>
  </si>
  <si>
    <t>http://data.europa.eu/ux2/nace2/613</t>
  </si>
  <si>
    <t>619</t>
  </si>
  <si>
    <t>61.9 Other telecommunications activities</t>
  </si>
  <si>
    <t>http://data.europa.eu/ux2/nace2/619</t>
  </si>
  <si>
    <t>620</t>
  </si>
  <si>
    <t>62.0 Computer programming, consultancy and related activities</t>
  </si>
  <si>
    <t>http://data.europa.eu/ux2/nace2/620</t>
  </si>
  <si>
    <t>631</t>
  </si>
  <si>
    <t>63.1 Data processing, hosting and related activities; web portals</t>
  </si>
  <si>
    <t>http://data.europa.eu/ux2/nace2/631</t>
  </si>
  <si>
    <t>639</t>
  </si>
  <si>
    <t>63.9 Other information service activities</t>
  </si>
  <si>
    <t>http://data.europa.eu/ux2/nace2/639</t>
  </si>
  <si>
    <t>641</t>
  </si>
  <si>
    <t>64.1 Monetary intermediation</t>
  </si>
  <si>
    <t>http://data.europa.eu/ux2/nace2/641</t>
  </si>
  <si>
    <t>642</t>
  </si>
  <si>
    <t>64.2 Activities of holding companies</t>
  </si>
  <si>
    <t>http://data.europa.eu/ux2/nace2/642</t>
  </si>
  <si>
    <t>643</t>
  </si>
  <si>
    <t>64.3 Trusts, funds and similar financial entities</t>
  </si>
  <si>
    <t>http://data.europa.eu/ux2/nace2/643</t>
  </si>
  <si>
    <t>649</t>
  </si>
  <si>
    <t>64.9 Other financial service activities, except insurance and pension funding</t>
  </si>
  <si>
    <t>http://data.europa.eu/ux2/nace2/649</t>
  </si>
  <si>
    <t>651</t>
  </si>
  <si>
    <t>65.1 Insurance</t>
  </si>
  <si>
    <t>http://data.europa.eu/ux2/nace2/651</t>
  </si>
  <si>
    <t>652</t>
  </si>
  <si>
    <t>65.2 Reinsurance</t>
  </si>
  <si>
    <t>http://data.europa.eu/ux2/nace2/652</t>
  </si>
  <si>
    <t>653</t>
  </si>
  <si>
    <t>65.3 Pension funding</t>
  </si>
  <si>
    <t>http://data.europa.eu/ux2/nace2/653</t>
  </si>
  <si>
    <t>661</t>
  </si>
  <si>
    <t>66.1 Activities auxiliary to financial services, except insurance and pension funding</t>
  </si>
  <si>
    <t>http://data.europa.eu/ux2/nace2/661</t>
  </si>
  <si>
    <t>662</t>
  </si>
  <si>
    <t>66.2 Activities auxiliary to insurance and pension funding</t>
  </si>
  <si>
    <t>http://data.europa.eu/ux2/nace2/662</t>
  </si>
  <si>
    <t>663</t>
  </si>
  <si>
    <t>66.3 Fund management activities</t>
  </si>
  <si>
    <t>http://data.europa.eu/ux2/nace2/663</t>
  </si>
  <si>
    <t>681</t>
  </si>
  <si>
    <t>68.1 Buying and selling of own real estate</t>
  </si>
  <si>
    <t>http://data.europa.eu/ux2/nace2/681</t>
  </si>
  <si>
    <t>682</t>
  </si>
  <si>
    <t>68.2 Rental and operating of own or leased real estate</t>
  </si>
  <si>
    <t>http://data.europa.eu/ux2/nace2/682</t>
  </si>
  <si>
    <t>683</t>
  </si>
  <si>
    <t>68.3 Real estate activities on a fee or contract basis</t>
  </si>
  <si>
    <t>http://data.europa.eu/ux2/nace2/683</t>
  </si>
  <si>
    <t>691</t>
  </si>
  <si>
    <t>69.1 Legal activities</t>
  </si>
  <si>
    <t>http://data.europa.eu/ux2/nace2/691</t>
  </si>
  <si>
    <t>692</t>
  </si>
  <si>
    <t>69.2 Accounting, bookkeeping and auditing activities; tax consultancy</t>
  </si>
  <si>
    <t>http://data.europa.eu/ux2/nace2/692</t>
  </si>
  <si>
    <t>701</t>
  </si>
  <si>
    <t>70.1 Activities of head offices</t>
  </si>
  <si>
    <t>http://data.europa.eu/ux2/nace2/701</t>
  </si>
  <si>
    <t>702</t>
  </si>
  <si>
    <t>70.2 Management consultancy activities</t>
  </si>
  <si>
    <t>http://data.europa.eu/ux2/nace2/702</t>
  </si>
  <si>
    <t>711</t>
  </si>
  <si>
    <t>71.1 Architectural and engineering activities and related technical consultancy</t>
  </si>
  <si>
    <t>http://data.europa.eu/ux2/nace2/711</t>
  </si>
  <si>
    <t>712</t>
  </si>
  <si>
    <t>71.2 Technical testing and analysis</t>
  </si>
  <si>
    <t>http://data.europa.eu/ux2/nace2/712</t>
  </si>
  <si>
    <t>721</t>
  </si>
  <si>
    <t>72.1 Research and experimental development on natural sciences and engineering</t>
  </si>
  <si>
    <t>http://data.europa.eu/ux2/nace2/721</t>
  </si>
  <si>
    <t>722</t>
  </si>
  <si>
    <t>72.2 Research and experimental development on social sciences and humanities</t>
  </si>
  <si>
    <t>http://data.europa.eu/ux2/nace2/722</t>
  </si>
  <si>
    <t>731</t>
  </si>
  <si>
    <t>73.1 Advertising</t>
  </si>
  <si>
    <t>http://data.europa.eu/ux2/nace2/731</t>
  </si>
  <si>
    <t>732</t>
  </si>
  <si>
    <t>73.2 Market research and public opinion polling</t>
  </si>
  <si>
    <t>http://data.europa.eu/ux2/nace2/732</t>
  </si>
  <si>
    <t>741</t>
  </si>
  <si>
    <t>74.1 Specialised design activities</t>
  </si>
  <si>
    <t>http://data.europa.eu/ux2/nace2/741</t>
  </si>
  <si>
    <t>742</t>
  </si>
  <si>
    <t>74.2 Photographic activities</t>
  </si>
  <si>
    <t>http://data.europa.eu/ux2/nace2/742</t>
  </si>
  <si>
    <t>743</t>
  </si>
  <si>
    <t>74.3 Translation and interpretation activities</t>
  </si>
  <si>
    <t>http://data.europa.eu/ux2/nace2/743</t>
  </si>
  <si>
    <t>749</t>
  </si>
  <si>
    <t>74.9 Other professional, scientific and technical activities n.e.c.</t>
  </si>
  <si>
    <t>http://data.europa.eu/ux2/nace2/749</t>
  </si>
  <si>
    <t>750</t>
  </si>
  <si>
    <t>75.0 Veterinary activities</t>
  </si>
  <si>
    <t>http://data.europa.eu/ux2/nace2/750</t>
  </si>
  <si>
    <t>771</t>
  </si>
  <si>
    <t>77.1 Rental and leasing of motor vehicles</t>
  </si>
  <si>
    <t>http://data.europa.eu/ux2/nace2/771</t>
  </si>
  <si>
    <t>772</t>
  </si>
  <si>
    <t>77.2 Rental and leasing of personal and household goods</t>
  </si>
  <si>
    <t>http://data.europa.eu/ux2/nace2/772</t>
  </si>
  <si>
    <t>773</t>
  </si>
  <si>
    <t>77.3 Rental and leasing of other machinery, equipment and tangible goods</t>
  </si>
  <si>
    <t>http://data.europa.eu/ux2/nace2/773</t>
  </si>
  <si>
    <t>774</t>
  </si>
  <si>
    <t>77.4 Leasing of intellectual property and similar products, except copyrighted works</t>
  </si>
  <si>
    <t>http://data.europa.eu/ux2/nace2/774</t>
  </si>
  <si>
    <t>781</t>
  </si>
  <si>
    <t>78.1 Activities of employment placement agencies</t>
  </si>
  <si>
    <t>http://data.europa.eu/ux2/nace2/781</t>
  </si>
  <si>
    <t>782</t>
  </si>
  <si>
    <t>78.2 Temporary employment agency activities</t>
  </si>
  <si>
    <t>http://data.europa.eu/ux2/nace2/782</t>
  </si>
  <si>
    <t>783</t>
  </si>
  <si>
    <t>78.3 Other human resources provision</t>
  </si>
  <si>
    <t>http://data.europa.eu/ux2/nace2/783</t>
  </si>
  <si>
    <t>791</t>
  </si>
  <si>
    <t>79.1 Travel agency and tour operator activities</t>
  </si>
  <si>
    <t>http://data.europa.eu/ux2/nace2/791</t>
  </si>
  <si>
    <t>799</t>
  </si>
  <si>
    <t>79.9 Other reservation service and related activities</t>
  </si>
  <si>
    <t>http://data.europa.eu/ux2/nace2/799</t>
  </si>
  <si>
    <t>801</t>
  </si>
  <si>
    <t>80.1 Private security activities</t>
  </si>
  <si>
    <t>http://data.europa.eu/ux2/nace2/801</t>
  </si>
  <si>
    <t>802</t>
  </si>
  <si>
    <t>80.2 Security systems service activities</t>
  </si>
  <si>
    <t>http://data.europa.eu/ux2/nace2/802</t>
  </si>
  <si>
    <t>803</t>
  </si>
  <si>
    <t>80.3 Investigation activities</t>
  </si>
  <si>
    <t>http://data.europa.eu/ux2/nace2/803</t>
  </si>
  <si>
    <t>811</t>
  </si>
  <si>
    <t>81.1 Combined facilities support activities</t>
  </si>
  <si>
    <t>http://data.europa.eu/ux2/nace2/811</t>
  </si>
  <si>
    <t>812</t>
  </si>
  <si>
    <t>81.2 Cleaning activities</t>
  </si>
  <si>
    <t>http://data.europa.eu/ux2/nace2/812</t>
  </si>
  <si>
    <t>813</t>
  </si>
  <si>
    <t>81.3 Landscape service activities</t>
  </si>
  <si>
    <t>http://data.europa.eu/ux2/nace2/813</t>
  </si>
  <si>
    <t>821</t>
  </si>
  <si>
    <t>82.1 Office administrative and support activities</t>
  </si>
  <si>
    <t>http://data.europa.eu/ux2/nace2/821</t>
  </si>
  <si>
    <t>822</t>
  </si>
  <si>
    <t>82.2 Activities of call centres</t>
  </si>
  <si>
    <t>http://data.europa.eu/ux2/nace2/822</t>
  </si>
  <si>
    <t>823</t>
  </si>
  <si>
    <t>82.3 Organisation of conventions and trade shows</t>
  </si>
  <si>
    <t>http://data.europa.eu/ux2/nace2/823</t>
  </si>
  <si>
    <t>829</t>
  </si>
  <si>
    <t>82.9 Business support service activities n.e.c.</t>
  </si>
  <si>
    <t>http://data.europa.eu/ux2/nace2/829</t>
  </si>
  <si>
    <t>841</t>
  </si>
  <si>
    <t>84.1 Administration of the State and the economic and social policy of the community</t>
  </si>
  <si>
    <t>http://data.europa.eu/ux2/nace2/841</t>
  </si>
  <si>
    <t>842</t>
  </si>
  <si>
    <t>84.2 Provision of services to the community as a whole</t>
  </si>
  <si>
    <t>http://data.europa.eu/ux2/nace2/842</t>
  </si>
  <si>
    <t>843</t>
  </si>
  <si>
    <t>84.3 Compulsory social security activities</t>
  </si>
  <si>
    <t>http://data.europa.eu/ux2/nace2/843</t>
  </si>
  <si>
    <t>851</t>
  </si>
  <si>
    <t>85.1 Pre-primary education</t>
  </si>
  <si>
    <t>http://data.europa.eu/ux2/nace2/851</t>
  </si>
  <si>
    <t>852</t>
  </si>
  <si>
    <t>85.2 Primary education</t>
  </si>
  <si>
    <t>http://data.europa.eu/ux2/nace2/852</t>
  </si>
  <si>
    <t>853</t>
  </si>
  <si>
    <t>85.3 Secondary education</t>
  </si>
  <si>
    <t>http://data.europa.eu/ux2/nace2/853</t>
  </si>
  <si>
    <t>854</t>
  </si>
  <si>
    <t>85.4 Higher education</t>
  </si>
  <si>
    <t>http://data.europa.eu/ux2/nace2/854</t>
  </si>
  <si>
    <t>855</t>
  </si>
  <si>
    <t>85.5 Other education</t>
  </si>
  <si>
    <t>http://data.europa.eu/ux2/nace2/855</t>
  </si>
  <si>
    <t>856</t>
  </si>
  <si>
    <t>85.6 Educational support activities</t>
  </si>
  <si>
    <t>http://data.europa.eu/ux2/nace2/856</t>
  </si>
  <si>
    <t>861</t>
  </si>
  <si>
    <t>86.1 Hospital activities</t>
  </si>
  <si>
    <t>http://data.europa.eu/ux2/nace2/861</t>
  </si>
  <si>
    <t>862</t>
  </si>
  <si>
    <t>86.2 Medical and dental practice activities</t>
  </si>
  <si>
    <t>http://data.europa.eu/ux2/nace2/862</t>
  </si>
  <si>
    <t>869</t>
  </si>
  <si>
    <t>86.9 Other human health activities</t>
  </si>
  <si>
    <t>http://data.europa.eu/ux2/nace2/869</t>
  </si>
  <si>
    <t>871</t>
  </si>
  <si>
    <t>87.1 Residential nursing care activities</t>
  </si>
  <si>
    <t>http://data.europa.eu/ux2/nace2/871</t>
  </si>
  <si>
    <t>872</t>
  </si>
  <si>
    <t>87.2 Residential care activities for mental retardation, mental health and substance abuse</t>
  </si>
  <si>
    <t>http://data.europa.eu/ux2/nace2/872</t>
  </si>
  <si>
    <t>873</t>
  </si>
  <si>
    <t>87.3 Residential care activities for the elderly and disabled</t>
  </si>
  <si>
    <t>http://data.europa.eu/ux2/nace2/873</t>
  </si>
  <si>
    <t>879</t>
  </si>
  <si>
    <t>87.9 Other residential care activities</t>
  </si>
  <si>
    <t>http://data.europa.eu/ux2/nace2/879</t>
  </si>
  <si>
    <t>881</t>
  </si>
  <si>
    <t>88.1 Social work activities without accommodation for the elderly and disabled</t>
  </si>
  <si>
    <t>http://data.europa.eu/ux2/nace2/881</t>
  </si>
  <si>
    <t>889</t>
  </si>
  <si>
    <t>88.9 Other social work activities without accommodation</t>
  </si>
  <si>
    <t>http://data.europa.eu/ux2/nace2/889</t>
  </si>
  <si>
    <t>900</t>
  </si>
  <si>
    <t>90.0 Creative, arts and entertainment activities</t>
  </si>
  <si>
    <t>http://data.europa.eu/ux2/nace2/900</t>
  </si>
  <si>
    <t>910</t>
  </si>
  <si>
    <t>91.0 Libraries, archives, museums and other cultural activities</t>
  </si>
  <si>
    <t>http://data.europa.eu/ux2/nace2/910</t>
  </si>
  <si>
    <t>920</t>
  </si>
  <si>
    <t>92.0 Gambling and betting activities</t>
  </si>
  <si>
    <t>http://data.europa.eu/ux2/nace2/920</t>
  </si>
  <si>
    <t>931</t>
  </si>
  <si>
    <t>93.1 Sports activities</t>
  </si>
  <si>
    <t>http://data.europa.eu/ux2/nace2/931</t>
  </si>
  <si>
    <t>932</t>
  </si>
  <si>
    <t>93.2 Amusement and recreation activities</t>
  </si>
  <si>
    <t>http://data.europa.eu/ux2/nace2/932</t>
  </si>
  <si>
    <t>941</t>
  </si>
  <si>
    <t>94.1 Activities of business, employers and professional membership organisations</t>
  </si>
  <si>
    <t>http://data.europa.eu/ux2/nace2/941</t>
  </si>
  <si>
    <t>942</t>
  </si>
  <si>
    <t>94.2 Activities of trade unions</t>
  </si>
  <si>
    <t>http://data.europa.eu/ux2/nace2/942</t>
  </si>
  <si>
    <t>949</t>
  </si>
  <si>
    <t>94.9 Activities of other membership organisations</t>
  </si>
  <si>
    <t>http://data.europa.eu/ux2/nace2/949</t>
  </si>
  <si>
    <t>951</t>
  </si>
  <si>
    <t>95.1 Repair of computers and communication equipment</t>
  </si>
  <si>
    <t>http://data.europa.eu/ux2/nace2/951</t>
  </si>
  <si>
    <t>952</t>
  </si>
  <si>
    <t>95.2 Repair of personal and household goods</t>
  </si>
  <si>
    <t>http://data.europa.eu/ux2/nace2/952</t>
  </si>
  <si>
    <t>960</t>
  </si>
  <si>
    <t>96.0 Other personal service activities</t>
  </si>
  <si>
    <t>http://data.europa.eu/ux2/nace2/960</t>
  </si>
  <si>
    <t>970</t>
  </si>
  <si>
    <t>97.0 Activities of households as employers of domestic personnel</t>
  </si>
  <si>
    <t>http://data.europa.eu/ux2/nace2/970</t>
  </si>
  <si>
    <t>981</t>
  </si>
  <si>
    <t>98.1 Undifferentiated goods-producing activities of private households for own use</t>
  </si>
  <si>
    <t>http://data.europa.eu/ux2/nace2/981</t>
  </si>
  <si>
    <t>982</t>
  </si>
  <si>
    <t>98.2 Undifferentiated service-producing activities of private households for own use</t>
  </si>
  <si>
    <t>http://data.europa.eu/ux2/nace2/982</t>
  </si>
  <si>
    <t>990</t>
  </si>
  <si>
    <t>99.0 Activities of extraterritorial organisations and bodies</t>
  </si>
  <si>
    <t>http://data.europa.eu/ux2/nace2/990</t>
  </si>
  <si>
    <t>0111</t>
  </si>
  <si>
    <t>01.11 Growing of cereals (except rice), leguminous crops and oil seeds</t>
  </si>
  <si>
    <t>http://data.europa.eu/ux2/nace2/0111</t>
  </si>
  <si>
    <t>0112</t>
  </si>
  <si>
    <t>01.12 Growing of rice</t>
  </si>
  <si>
    <t>http://data.europa.eu/ux2/nace2/0112</t>
  </si>
  <si>
    <t>0113</t>
  </si>
  <si>
    <t>01.13 Growing of vegetables and melons, roots and tubers</t>
  </si>
  <si>
    <t>http://data.europa.eu/ux2/nace2/0113</t>
  </si>
  <si>
    <t>0114</t>
  </si>
  <si>
    <t>01.14 Growing of sugar cane</t>
  </si>
  <si>
    <t>http://data.europa.eu/ux2/nace2/0114</t>
  </si>
  <si>
    <t>0115</t>
  </si>
  <si>
    <t>01.15 Growing of tobacco</t>
  </si>
  <si>
    <t>http://data.europa.eu/ux2/nace2/0115</t>
  </si>
  <si>
    <t>0116</t>
  </si>
  <si>
    <t>01.16 Growing of fibre crops</t>
  </si>
  <si>
    <t>http://data.europa.eu/ux2/nace2/0116</t>
  </si>
  <si>
    <t>0119</t>
  </si>
  <si>
    <t>01.19 Growing of other non-perennial crops</t>
  </si>
  <si>
    <t>http://data.europa.eu/ux2/nace2/0119</t>
  </si>
  <si>
    <t>0121</t>
  </si>
  <si>
    <t>01.21 Growing of grapes</t>
  </si>
  <si>
    <t>http://data.europa.eu/ux2/nace2/0121</t>
  </si>
  <si>
    <t>0122</t>
  </si>
  <si>
    <t>01.22 Growing of tropical and subtropical fruits</t>
  </si>
  <si>
    <t>http://data.europa.eu/ux2/nace2/0122</t>
  </si>
  <si>
    <t>0123</t>
  </si>
  <si>
    <t>01.23 Growing of citrus fruits</t>
  </si>
  <si>
    <t>http://data.europa.eu/ux2/nace2/0123</t>
  </si>
  <si>
    <t>0124</t>
  </si>
  <si>
    <t>01.24 Growing of pome fruits and stone fruits</t>
  </si>
  <si>
    <t>http://data.europa.eu/ux2/nace2/0124</t>
  </si>
  <si>
    <t>0125</t>
  </si>
  <si>
    <t>01.25 Growing of other tree and bush fruits and nuts</t>
  </si>
  <si>
    <t>http://data.europa.eu/ux2/nace2/0125</t>
  </si>
  <si>
    <t>0126</t>
  </si>
  <si>
    <t>01.26 Growing of oleaginous fruits</t>
  </si>
  <si>
    <t>http://data.europa.eu/ux2/nace2/0126</t>
  </si>
  <si>
    <t>0127</t>
  </si>
  <si>
    <t>01.27 Growing of beverage crops</t>
  </si>
  <si>
    <t>http://data.europa.eu/ux2/nace2/0127</t>
  </si>
  <si>
    <t>0128</t>
  </si>
  <si>
    <t>01.28 Growing of spices, aromatic, drug and pharmaceutical crops</t>
  </si>
  <si>
    <t>http://data.europa.eu/ux2/nace2/0128</t>
  </si>
  <si>
    <t>0129</t>
  </si>
  <si>
    <t>01.29 Growing of other perennial crops</t>
  </si>
  <si>
    <t>http://data.europa.eu/ux2/nace2/0129</t>
  </si>
  <si>
    <t>0130</t>
  </si>
  <si>
    <t>01.30 Plant propagation</t>
  </si>
  <si>
    <t>http://data.europa.eu/ux2/nace2/0130</t>
  </si>
  <si>
    <t>0141</t>
  </si>
  <si>
    <t>01.41 Raising of dairy cattle</t>
  </si>
  <si>
    <t>http://data.europa.eu/ux2/nace2/0141</t>
  </si>
  <si>
    <t>0142</t>
  </si>
  <si>
    <t>01.42 Raising of other cattle and buffaloes</t>
  </si>
  <si>
    <t>http://data.europa.eu/ux2/nace2/0142</t>
  </si>
  <si>
    <t>0143</t>
  </si>
  <si>
    <t>01.43 Raising of horses and other equines</t>
  </si>
  <si>
    <t>http://data.europa.eu/ux2/nace2/0143</t>
  </si>
  <si>
    <t>0144</t>
  </si>
  <si>
    <t>01.44 Raising of camels and camelids</t>
  </si>
  <si>
    <t>http://data.europa.eu/ux2/nace2/0144</t>
  </si>
  <si>
    <t>0145</t>
  </si>
  <si>
    <t>01.45 Raising of sheep and goats</t>
  </si>
  <si>
    <t>http://data.europa.eu/ux2/nace2/0145</t>
  </si>
  <si>
    <t>0146</t>
  </si>
  <si>
    <t>01.46 Raising of swine/pigs</t>
  </si>
  <si>
    <t>http://data.europa.eu/ux2/nace2/0146</t>
  </si>
  <si>
    <t>0147</t>
  </si>
  <si>
    <t>01.47 Raising of poultry</t>
  </si>
  <si>
    <t>http://data.europa.eu/ux2/nace2/0147</t>
  </si>
  <si>
    <t>0149</t>
  </si>
  <si>
    <t>01.49 Raising of other animals</t>
  </si>
  <si>
    <t>http://data.europa.eu/ux2/nace2/0149</t>
  </si>
  <si>
    <t>0150</t>
  </si>
  <si>
    <t>01.50 Mixed farming</t>
  </si>
  <si>
    <t>http://data.europa.eu/ux2/nace2/0150</t>
  </si>
  <si>
    <t>0161</t>
  </si>
  <si>
    <t>01.61 Support activities for crop production</t>
  </si>
  <si>
    <t>http://data.europa.eu/ux2/nace2/0161</t>
  </si>
  <si>
    <t>0162</t>
  </si>
  <si>
    <t>01.62 Support activities for animal production</t>
  </si>
  <si>
    <t>http://data.europa.eu/ux2/nace2/0162</t>
  </si>
  <si>
    <t>0163</t>
  </si>
  <si>
    <t>01.63 Post-harvest crop activities</t>
  </si>
  <si>
    <t>http://data.europa.eu/ux2/nace2/0163</t>
  </si>
  <si>
    <t>0164</t>
  </si>
  <si>
    <t>01.64 Seed processing for propagation</t>
  </si>
  <si>
    <t>http://data.europa.eu/ux2/nace2/0164</t>
  </si>
  <si>
    <t>0170</t>
  </si>
  <si>
    <t>01.70 Hunting, trapping and related service activities</t>
  </si>
  <si>
    <t>http://data.europa.eu/ux2/nace2/0170</t>
  </si>
  <si>
    <t>0210</t>
  </si>
  <si>
    <t>02.10 Silviculture and other forestry activities</t>
  </si>
  <si>
    <t>http://data.europa.eu/ux2/nace2/0210</t>
  </si>
  <si>
    <t>0220</t>
  </si>
  <si>
    <t>02.20 Logging</t>
  </si>
  <si>
    <t>http://data.europa.eu/ux2/nace2/0220</t>
  </si>
  <si>
    <t>0230</t>
  </si>
  <si>
    <t>02.30 Gathering of wild growing non-wood products</t>
  </si>
  <si>
    <t>http://data.europa.eu/ux2/nace2/0230</t>
  </si>
  <si>
    <t>0240</t>
  </si>
  <si>
    <t>02.40 Support services to forestry</t>
  </si>
  <si>
    <t>http://data.europa.eu/ux2/nace2/0240</t>
  </si>
  <si>
    <t>0311</t>
  </si>
  <si>
    <t>03.11 Marine fishing</t>
  </si>
  <si>
    <t>http://data.europa.eu/ux2/nace2/0311</t>
  </si>
  <si>
    <t>0312</t>
  </si>
  <si>
    <t>03.12 Freshwater fishing</t>
  </si>
  <si>
    <t>http://data.europa.eu/ux2/nace2/0312</t>
  </si>
  <si>
    <t>0321</t>
  </si>
  <si>
    <t>03.21 Marine aquaculture</t>
  </si>
  <si>
    <t>http://data.europa.eu/ux2/nace2/0321</t>
  </si>
  <si>
    <t>0322</t>
  </si>
  <si>
    <t>03.22 Freshwater aquaculture</t>
  </si>
  <si>
    <t>http://data.europa.eu/ux2/nace2/0322</t>
  </si>
  <si>
    <t>0510</t>
  </si>
  <si>
    <t>05.10 Mining of hard coal</t>
  </si>
  <si>
    <t>http://data.europa.eu/ux2/nace2/0510</t>
  </si>
  <si>
    <t>0520</t>
  </si>
  <si>
    <t>05.20 Mining of lignite</t>
  </si>
  <si>
    <t>http://data.europa.eu/ux2/nace2/0520</t>
  </si>
  <si>
    <t>0610</t>
  </si>
  <si>
    <t>06.10 Extraction of crude petroleum</t>
  </si>
  <si>
    <t>http://data.europa.eu/ux2/nace2/0610</t>
  </si>
  <si>
    <t>0620</t>
  </si>
  <si>
    <t>06.20 Extraction of natural gas</t>
  </si>
  <si>
    <t>http://data.europa.eu/ux2/nace2/0620</t>
  </si>
  <si>
    <t>0710</t>
  </si>
  <si>
    <t>07.10 Mining of iron ores</t>
  </si>
  <si>
    <t>http://data.europa.eu/ux2/nace2/0710</t>
  </si>
  <si>
    <t>0721</t>
  </si>
  <si>
    <t>07.21 Mining of uranium and thorium ores</t>
  </si>
  <si>
    <t>http://data.europa.eu/ux2/nace2/0721</t>
  </si>
  <si>
    <t>0729</t>
  </si>
  <si>
    <t>07.29 Mining of other non-ferrous metal ores</t>
  </si>
  <si>
    <t>http://data.europa.eu/ux2/nace2/0729</t>
  </si>
  <si>
    <t>0811</t>
  </si>
  <si>
    <t>08.11 Quarrying of ornamental and building stone, limestone, gypsum, chalk and slate</t>
  </si>
  <si>
    <t>http://data.europa.eu/ux2/nace2/0811</t>
  </si>
  <si>
    <t>0812</t>
  </si>
  <si>
    <t>08.12 Operation of gravel and sand pits; mining of clays and kaolin</t>
  </si>
  <si>
    <t>http://data.europa.eu/ux2/nace2/0812</t>
  </si>
  <si>
    <t>0891</t>
  </si>
  <si>
    <t>08.91 Mining of chemical and fertiliser minerals</t>
  </si>
  <si>
    <t>http://data.europa.eu/ux2/nace2/0891</t>
  </si>
  <si>
    <t>0892</t>
  </si>
  <si>
    <t>08.92 Extraction of peat</t>
  </si>
  <si>
    <t>http://data.europa.eu/ux2/nace2/0892</t>
  </si>
  <si>
    <t>0893</t>
  </si>
  <si>
    <t>08.93 Extraction of salt</t>
  </si>
  <si>
    <t>http://data.europa.eu/ux2/nace2/0893</t>
  </si>
  <si>
    <t>0899</t>
  </si>
  <si>
    <t>08.99 Other mining and quarrying n.e.c.</t>
  </si>
  <si>
    <t>http://data.europa.eu/ux2/nace2/0899</t>
  </si>
  <si>
    <t>0910</t>
  </si>
  <si>
    <t>09.10 Support activities for petroleum and natural gas extraction</t>
  </si>
  <si>
    <t>http://data.europa.eu/ux2/nace2/0910</t>
  </si>
  <si>
    <t>0990</t>
  </si>
  <si>
    <t>09.90 Support activities for other mining and quarrying</t>
  </si>
  <si>
    <t>http://data.europa.eu/ux2/nace2/0990</t>
  </si>
  <si>
    <t>1011</t>
  </si>
  <si>
    <t>10.11 Processing and preserving of meat</t>
  </si>
  <si>
    <t>http://data.europa.eu/ux2/nace2/1011</t>
  </si>
  <si>
    <t>1012</t>
  </si>
  <si>
    <t>10.12 Processing and preserving of poultry meat</t>
  </si>
  <si>
    <t>http://data.europa.eu/ux2/nace2/1012</t>
  </si>
  <si>
    <t>1013</t>
  </si>
  <si>
    <t>10.13 Production of meat and poultry meat products</t>
  </si>
  <si>
    <t>http://data.europa.eu/ux2/nace2/1013</t>
  </si>
  <si>
    <t>1020</t>
  </si>
  <si>
    <t>10.20 Processing and preserving of fish, crustaceans and molluscs</t>
  </si>
  <si>
    <t>http://data.europa.eu/ux2/nace2/1020</t>
  </si>
  <si>
    <t>1031</t>
  </si>
  <si>
    <t>10.31 Processing and preserving of potatoes</t>
  </si>
  <si>
    <t>http://data.europa.eu/ux2/nace2/1031</t>
  </si>
  <si>
    <t>1032</t>
  </si>
  <si>
    <t>10.32 Manufacture of fruit and vegetable juice</t>
  </si>
  <si>
    <t>http://data.europa.eu/ux2/nace2/1032</t>
  </si>
  <si>
    <t>1039</t>
  </si>
  <si>
    <t>10.39 Other processing and preserving of fruit and vegetables</t>
  </si>
  <si>
    <t>http://data.europa.eu/ux2/nace2/1039</t>
  </si>
  <si>
    <t>1041</t>
  </si>
  <si>
    <t>10.41 Manufacture of oils and fats</t>
  </si>
  <si>
    <t>http://data.europa.eu/ux2/nace2/1041</t>
  </si>
  <si>
    <t>1042</t>
  </si>
  <si>
    <t>10.42 Manufacture of margarine and similar edible fats</t>
  </si>
  <si>
    <t>http://data.europa.eu/ux2/nace2/1042</t>
  </si>
  <si>
    <t>1051</t>
  </si>
  <si>
    <t>10.51 Operation of dairies and cheese making</t>
  </si>
  <si>
    <t>http://data.europa.eu/ux2/nace2/1051</t>
  </si>
  <si>
    <t>1052</t>
  </si>
  <si>
    <t>10.52 Manufacture of ice cream</t>
  </si>
  <si>
    <t>http://data.europa.eu/ux2/nace2/1052</t>
  </si>
  <si>
    <t>1061</t>
  </si>
  <si>
    <t>10.61 Manufacture of grain mill products</t>
  </si>
  <si>
    <t>http://data.europa.eu/ux2/nace2/1061</t>
  </si>
  <si>
    <t>1062</t>
  </si>
  <si>
    <t>10.62 Manufacture of starches and starch products</t>
  </si>
  <si>
    <t>http://data.europa.eu/ux2/nace2/1062</t>
  </si>
  <si>
    <t>1071</t>
  </si>
  <si>
    <t>10.71 Manufacture of bread; manufacture of fresh pastry goods and cakes</t>
  </si>
  <si>
    <t>http://data.europa.eu/ux2/nace2/1071</t>
  </si>
  <si>
    <t>1072</t>
  </si>
  <si>
    <t>10.72 Manufacture of rusks and biscuits; manufacture of preserved pastry goods and cakes</t>
  </si>
  <si>
    <t>http://data.europa.eu/ux2/nace2/1072</t>
  </si>
  <si>
    <t>1073</t>
  </si>
  <si>
    <t>10.73 Manufacture of macaroni, noodles, couscous and similar farinaceous products</t>
  </si>
  <si>
    <t>http://data.europa.eu/ux2/nace2/1073</t>
  </si>
  <si>
    <t>1081</t>
  </si>
  <si>
    <t>10.81 Manufacture of sugar</t>
  </si>
  <si>
    <t>http://data.europa.eu/ux2/nace2/1081</t>
  </si>
  <si>
    <t>1082</t>
  </si>
  <si>
    <t>10.82 Manufacture of cocoa, chocolate and sugar confectionery</t>
  </si>
  <si>
    <t>http://data.europa.eu/ux2/nace2/1082</t>
  </si>
  <si>
    <t>1083</t>
  </si>
  <si>
    <t>10.83 Processing of tea and coffee</t>
  </si>
  <si>
    <t>http://data.europa.eu/ux2/nace2/1083</t>
  </si>
  <si>
    <t>1084</t>
  </si>
  <si>
    <t>10.84 Manufacture of condiments and seasonings</t>
  </si>
  <si>
    <t>http://data.europa.eu/ux2/nace2/1084</t>
  </si>
  <si>
    <t>1085</t>
  </si>
  <si>
    <t>10.85 Manufacture of prepared meals and dishes</t>
  </si>
  <si>
    <t>http://data.europa.eu/ux2/nace2/1085</t>
  </si>
  <si>
    <t>1086</t>
  </si>
  <si>
    <t>10.86 Manufacture of homogenised food preparations and dietetic food</t>
  </si>
  <si>
    <t>http://data.europa.eu/ux2/nace2/1086</t>
  </si>
  <si>
    <t>1089</t>
  </si>
  <si>
    <t>10.89 Manufacture of other food products n.e.c.</t>
  </si>
  <si>
    <t>http://data.europa.eu/ux2/nace2/1089</t>
  </si>
  <si>
    <t>1091</t>
  </si>
  <si>
    <t>10.91 Manufacture of prepared feeds for farm animals</t>
  </si>
  <si>
    <t>http://data.europa.eu/ux2/nace2/1091</t>
  </si>
  <si>
    <t>1092</t>
  </si>
  <si>
    <t>10.92 Manufacture of prepared pet foods</t>
  </si>
  <si>
    <t>http://data.europa.eu/ux2/nace2/1092</t>
  </si>
  <si>
    <t>1101</t>
  </si>
  <si>
    <t>11.01 Distilling, rectifying and blending of spirits</t>
  </si>
  <si>
    <t>http://data.europa.eu/ux2/nace2/1101</t>
  </si>
  <si>
    <t>1102</t>
  </si>
  <si>
    <t>11.02 Manufacture of wine from grape</t>
  </si>
  <si>
    <t>http://data.europa.eu/ux2/nace2/1102</t>
  </si>
  <si>
    <t>1103</t>
  </si>
  <si>
    <t>11.03 Manufacture of cider and other fruit wines</t>
  </si>
  <si>
    <t>http://data.europa.eu/ux2/nace2/1103</t>
  </si>
  <si>
    <t>1104</t>
  </si>
  <si>
    <t>11.04 Manufacture of other non-distilled fermented beverages</t>
  </si>
  <si>
    <t>http://data.europa.eu/ux2/nace2/1104</t>
  </si>
  <si>
    <t>1105</t>
  </si>
  <si>
    <t>11.05 Manufacture of beer</t>
  </si>
  <si>
    <t>http://data.europa.eu/ux2/nace2/1105</t>
  </si>
  <si>
    <t>1106</t>
  </si>
  <si>
    <t>11.06 Manufacture of malt</t>
  </si>
  <si>
    <t>http://data.europa.eu/ux2/nace2/1106</t>
  </si>
  <si>
    <t>1107</t>
  </si>
  <si>
    <t>11.07 Manufacture of soft drinks; production of mineral waters and other bottled waters</t>
  </si>
  <si>
    <t>http://data.europa.eu/ux2/nace2/1107</t>
  </si>
  <si>
    <t>1200</t>
  </si>
  <si>
    <t>12.00 Manufacture of tobacco products</t>
  </si>
  <si>
    <t>http://data.europa.eu/ux2/nace2/1200</t>
  </si>
  <si>
    <t>1310</t>
  </si>
  <si>
    <t>13.10 Preparation and spinning of textile fibres</t>
  </si>
  <si>
    <t>http://data.europa.eu/ux2/nace2/1310</t>
  </si>
  <si>
    <t>1320</t>
  </si>
  <si>
    <t>13.20 Weaving of textiles</t>
  </si>
  <si>
    <t>http://data.europa.eu/ux2/nace2/1320</t>
  </si>
  <si>
    <t>1330</t>
  </si>
  <si>
    <t>13.30 Finishing of textiles</t>
  </si>
  <si>
    <t>http://data.europa.eu/ux2/nace2/1330</t>
  </si>
  <si>
    <t>1391</t>
  </si>
  <si>
    <t>13.91 Manufacture of knitted and crocheted fabrics</t>
  </si>
  <si>
    <t>http://data.europa.eu/ux2/nace2/1391</t>
  </si>
  <si>
    <t>1392</t>
  </si>
  <si>
    <t>13.92 Manufacture of made-up textile articles, except apparel</t>
  </si>
  <si>
    <t>http://data.europa.eu/ux2/nace2/1392</t>
  </si>
  <si>
    <t>1393</t>
  </si>
  <si>
    <t>13.93 Manufacture of carpets and rugs</t>
  </si>
  <si>
    <t>http://data.europa.eu/ux2/nace2/1393</t>
  </si>
  <si>
    <t>1394</t>
  </si>
  <si>
    <t>13.94 Manufacture of cordage, rope, twine and netting</t>
  </si>
  <si>
    <t>http://data.europa.eu/ux2/nace2/1394</t>
  </si>
  <si>
    <t>1395</t>
  </si>
  <si>
    <t>13.95 Manufacture of non-wovens and articles made from non-wovens, except apparel</t>
  </si>
  <si>
    <t>http://data.europa.eu/ux2/nace2/1395</t>
  </si>
  <si>
    <t>1396</t>
  </si>
  <si>
    <t>13.96 Manufacture of other technical and industrial textiles</t>
  </si>
  <si>
    <t>http://data.europa.eu/ux2/nace2/1396</t>
  </si>
  <si>
    <t>1399</t>
  </si>
  <si>
    <t>13.99 Manufacture of other textiles n.e.c.</t>
  </si>
  <si>
    <t>http://data.europa.eu/ux2/nace2/1399</t>
  </si>
  <si>
    <t>1411</t>
  </si>
  <si>
    <t>14.11 Manufacture of leather clothes</t>
  </si>
  <si>
    <t>http://data.europa.eu/ux2/nace2/1411</t>
  </si>
  <si>
    <t>1412</t>
  </si>
  <si>
    <t>14.12 Manufacture of workwear</t>
  </si>
  <si>
    <t>http://data.europa.eu/ux2/nace2/1412</t>
  </si>
  <si>
    <t>1413</t>
  </si>
  <si>
    <t>14.13 Manufacture of other outerwear</t>
  </si>
  <si>
    <t>http://data.europa.eu/ux2/nace2/1413</t>
  </si>
  <si>
    <t>1414</t>
  </si>
  <si>
    <t>14.14 Manufacture of underwear</t>
  </si>
  <si>
    <t>http://data.europa.eu/ux2/nace2/1414</t>
  </si>
  <si>
    <t>1419</t>
  </si>
  <si>
    <t>14.19 Manufacture of other wearing apparel and accessories</t>
  </si>
  <si>
    <t>http://data.europa.eu/ux2/nace2/1419</t>
  </si>
  <si>
    <t>1420</t>
  </si>
  <si>
    <t>14.20 Manufacture of articles of fur</t>
  </si>
  <si>
    <t>http://data.europa.eu/ux2/nace2/1420</t>
  </si>
  <si>
    <t>1431</t>
  </si>
  <si>
    <t>14.31 Manufacture of knitted and crocheted hosiery</t>
  </si>
  <si>
    <t>http://data.europa.eu/ux2/nace2/1431</t>
  </si>
  <si>
    <t>1439</t>
  </si>
  <si>
    <t>14.39 Manufacture of other knitted and crocheted apparel</t>
  </si>
  <si>
    <t>http://data.europa.eu/ux2/nace2/1439</t>
  </si>
  <si>
    <t>1511</t>
  </si>
  <si>
    <t>15.11 Tanning and dressing of leather; dressing and dyeing of fur</t>
  </si>
  <si>
    <t>http://data.europa.eu/ux2/nace2/1511</t>
  </si>
  <si>
    <t>1512</t>
  </si>
  <si>
    <t>15.12 Manufacture of luggage, handbags and the like, saddlery and harness</t>
  </si>
  <si>
    <t>http://data.europa.eu/ux2/nace2/1512</t>
  </si>
  <si>
    <t>1520</t>
  </si>
  <si>
    <t>15.20 Manufacture of footwear</t>
  </si>
  <si>
    <t>http://data.europa.eu/ux2/nace2/1520</t>
  </si>
  <si>
    <t>1610</t>
  </si>
  <si>
    <t>16.10 Sawmilling and planing of wood</t>
  </si>
  <si>
    <t>http://data.europa.eu/ux2/nace2/1610</t>
  </si>
  <si>
    <t>1621</t>
  </si>
  <si>
    <t>16.21 Manufacture of veneer sheets and wood-based panels</t>
  </si>
  <si>
    <t>http://data.europa.eu/ux2/nace2/1621</t>
  </si>
  <si>
    <t>1622</t>
  </si>
  <si>
    <t>16.22 Manufacture of assembled parquet floors</t>
  </si>
  <si>
    <t>http://data.europa.eu/ux2/nace2/1622</t>
  </si>
  <si>
    <t>1623</t>
  </si>
  <si>
    <t>16.23 Manufacture of other builders' carpentry and joinery</t>
  </si>
  <si>
    <t>http://data.europa.eu/ux2/nace2/1623</t>
  </si>
  <si>
    <t>1624</t>
  </si>
  <si>
    <t>16.24 Manufacture of wooden containers</t>
  </si>
  <si>
    <t>http://data.europa.eu/ux2/nace2/1624</t>
  </si>
  <si>
    <t>1629</t>
  </si>
  <si>
    <t>16.29 Manufacture of other products of wood; manufacture of articles of cork, straw and plaiting materials</t>
  </si>
  <si>
    <t>http://data.europa.eu/ux2/nace2/1629</t>
  </si>
  <si>
    <t>1711</t>
  </si>
  <si>
    <t>17.11 Manufacture of pulp</t>
  </si>
  <si>
    <t>http://data.europa.eu/ux2/nace2/1711</t>
  </si>
  <si>
    <t>1712</t>
  </si>
  <si>
    <t>17.12 Manufacture of paper and paperboard</t>
  </si>
  <si>
    <t>http://data.europa.eu/ux2/nace2/1712</t>
  </si>
  <si>
    <t>1721</t>
  </si>
  <si>
    <t>17.21 Manufacture of corrugated paper and paperboard and of containers of paper and paperboard</t>
  </si>
  <si>
    <t>http://data.europa.eu/ux2/nace2/1721</t>
  </si>
  <si>
    <t>1722</t>
  </si>
  <si>
    <t>17.22 Manufacture of household and sanitary goods and of toilet requisites</t>
  </si>
  <si>
    <t>http://data.europa.eu/ux2/nace2/1722</t>
  </si>
  <si>
    <t>1723</t>
  </si>
  <si>
    <t>17.23 Manufacture of paper stationery</t>
  </si>
  <si>
    <t>http://data.europa.eu/ux2/nace2/1723</t>
  </si>
  <si>
    <t>1724</t>
  </si>
  <si>
    <t>17.24 Manufacture of wallpaper</t>
  </si>
  <si>
    <t>http://data.europa.eu/ux2/nace2/1724</t>
  </si>
  <si>
    <t>1729</t>
  </si>
  <si>
    <t>17.29 Manufacture of other articles of paper and paperboard</t>
  </si>
  <si>
    <t>http://data.europa.eu/ux2/nace2/1729</t>
  </si>
  <si>
    <t>1811</t>
  </si>
  <si>
    <t>18.11 Printing of newspapers</t>
  </si>
  <si>
    <t>http://data.europa.eu/ux2/nace2/1811</t>
  </si>
  <si>
    <t>1812</t>
  </si>
  <si>
    <t>18.12 Other printing</t>
  </si>
  <si>
    <t>http://data.europa.eu/ux2/nace2/1812</t>
  </si>
  <si>
    <t>1813</t>
  </si>
  <si>
    <t>18.13 Pre-press and pre-media services</t>
  </si>
  <si>
    <t>http://data.europa.eu/ux2/nace2/1813</t>
  </si>
  <si>
    <t>1814</t>
  </si>
  <si>
    <t>18.14 Binding and related services</t>
  </si>
  <si>
    <t>http://data.europa.eu/ux2/nace2/1814</t>
  </si>
  <si>
    <t>1820</t>
  </si>
  <si>
    <t>18.20 Reproduction of recorded media</t>
  </si>
  <si>
    <t>http://data.europa.eu/ux2/nace2/1820</t>
  </si>
  <si>
    <t>1910</t>
  </si>
  <si>
    <t>19.10 Manufacture of coke oven products</t>
  </si>
  <si>
    <t>http://data.europa.eu/ux2/nace2/1910</t>
  </si>
  <si>
    <t>1920</t>
  </si>
  <si>
    <t>19.20 Manufacture of refined petroleum products</t>
  </si>
  <si>
    <t>http://data.europa.eu/ux2/nace2/1920</t>
  </si>
  <si>
    <t>2011</t>
  </si>
  <si>
    <t>20.11 Manufacture of industrial gases</t>
  </si>
  <si>
    <t>http://data.europa.eu/ux2/nace2/2011</t>
  </si>
  <si>
    <t>2012</t>
  </si>
  <si>
    <t>20.12 Manufacture of dyes and pigments</t>
  </si>
  <si>
    <t>http://data.europa.eu/ux2/nace2/2012</t>
  </si>
  <si>
    <t>2013</t>
  </si>
  <si>
    <t>20.13 Manufacture of other inorganic basic chemicals</t>
  </si>
  <si>
    <t>http://data.europa.eu/ux2/nace2/2013</t>
  </si>
  <si>
    <t>2014</t>
  </si>
  <si>
    <t>20.14 Manufacture of other organic basic chemicals</t>
  </si>
  <si>
    <t>http://data.europa.eu/ux2/nace2/2014</t>
  </si>
  <si>
    <t>2015</t>
  </si>
  <si>
    <t>20.15 Manufacture of fertilisers and nitrogen compounds</t>
  </si>
  <si>
    <t>http://data.europa.eu/ux2/nace2/2015</t>
  </si>
  <si>
    <t>2016</t>
  </si>
  <si>
    <t>20.16 Manufacture of plastics in primary forms</t>
  </si>
  <si>
    <t>http://data.europa.eu/ux2/nace2/2016</t>
  </si>
  <si>
    <t>2017</t>
  </si>
  <si>
    <t>20.17 Manufacture of synthetic rubber in primary forms</t>
  </si>
  <si>
    <t>http://data.europa.eu/ux2/nace2/2017</t>
  </si>
  <si>
    <t>2020</t>
  </si>
  <si>
    <t>20.20 Manufacture of pesticides and other agrochemical products</t>
  </si>
  <si>
    <t>http://data.europa.eu/ux2/nace2/2020</t>
  </si>
  <si>
    <t>2030</t>
  </si>
  <si>
    <t>20.30 Manufacture of paints, varnishes and similar coatings, printing ink and mastics</t>
  </si>
  <si>
    <t>http://data.europa.eu/ux2/nace2/2030</t>
  </si>
  <si>
    <t>2041</t>
  </si>
  <si>
    <t>20.41 Manufacture of soap and detergents, cleaning and polishing preparations</t>
  </si>
  <si>
    <t>http://data.europa.eu/ux2/nace2/2041</t>
  </si>
  <si>
    <t>2042</t>
  </si>
  <si>
    <t>20.42 Manufacture of perfumes and toilet preparations</t>
  </si>
  <si>
    <t>http://data.europa.eu/ux2/nace2/2042</t>
  </si>
  <si>
    <t>2051</t>
  </si>
  <si>
    <t>20.51 Manufacture of explosives</t>
  </si>
  <si>
    <t>http://data.europa.eu/ux2/nace2/2051</t>
  </si>
  <si>
    <t>2052</t>
  </si>
  <si>
    <t>20.52 Manufacture of glues</t>
  </si>
  <si>
    <t>http://data.europa.eu/ux2/nace2/2052</t>
  </si>
  <si>
    <t>2053</t>
  </si>
  <si>
    <t>20.53 Manufacture of essential oils</t>
  </si>
  <si>
    <t>http://data.europa.eu/ux2/nace2/2053</t>
  </si>
  <si>
    <t>2059</t>
  </si>
  <si>
    <t>20.59 Manufacture of other chemical products n.e.c.</t>
  </si>
  <si>
    <t>http://data.europa.eu/ux2/nace2/2059</t>
  </si>
  <si>
    <t>2060</t>
  </si>
  <si>
    <t>20.60 Manufacture of man-made fibres</t>
  </si>
  <si>
    <t>http://data.europa.eu/ux2/nace2/2060</t>
  </si>
  <si>
    <t>2110</t>
  </si>
  <si>
    <t>21.10 Manufacture of basic pharmaceutical products</t>
  </si>
  <si>
    <t>http://data.europa.eu/ux2/nace2/2110</t>
  </si>
  <si>
    <t>2120</t>
  </si>
  <si>
    <t>21.20 Manufacture of pharmaceutical preparations</t>
  </si>
  <si>
    <t>http://data.europa.eu/ux2/nace2/2120</t>
  </si>
  <si>
    <t>2211</t>
  </si>
  <si>
    <t>22.11 Manufacture of rubber tyres and tubes; retreading and rebuilding of rubber tyres</t>
  </si>
  <si>
    <t>http://data.europa.eu/ux2/nace2/2211</t>
  </si>
  <si>
    <t>2219</t>
  </si>
  <si>
    <t>22.19 Manufacture of other rubber products</t>
  </si>
  <si>
    <t>http://data.europa.eu/ux2/nace2/2219</t>
  </si>
  <si>
    <t>2221</t>
  </si>
  <si>
    <t>22.21 Manufacture of plastic plates, sheets, tubes and profiles</t>
  </si>
  <si>
    <t>http://data.europa.eu/ux2/nace2/2221</t>
  </si>
  <si>
    <t>2222</t>
  </si>
  <si>
    <t>22.22 Manufacture of plastic packing goods</t>
  </si>
  <si>
    <t>http://data.europa.eu/ux2/nace2/2222</t>
  </si>
  <si>
    <t>2223</t>
  </si>
  <si>
    <t>22.23 Manufacture of builders’ ware of plastic</t>
  </si>
  <si>
    <t>http://data.europa.eu/ux2/nace2/2223</t>
  </si>
  <si>
    <t>2229</t>
  </si>
  <si>
    <t>22.29 Manufacture of other plastic products</t>
  </si>
  <si>
    <t>http://data.europa.eu/ux2/nace2/2229</t>
  </si>
  <si>
    <t>2311</t>
  </si>
  <si>
    <t>23.11 Manufacture of flat glass</t>
  </si>
  <si>
    <t>http://data.europa.eu/ux2/nace2/2311</t>
  </si>
  <si>
    <t>2312</t>
  </si>
  <si>
    <t>23.12 Shaping and processing of flat glass</t>
  </si>
  <si>
    <t>http://data.europa.eu/ux2/nace2/2312</t>
  </si>
  <si>
    <t>2313</t>
  </si>
  <si>
    <t>23.13 Manufacture of hollow glass</t>
  </si>
  <si>
    <t>http://data.europa.eu/ux2/nace2/2313</t>
  </si>
  <si>
    <t>2314</t>
  </si>
  <si>
    <t>23.14 Manufacture of glass fibres</t>
  </si>
  <si>
    <t>http://data.europa.eu/ux2/nace2/2314</t>
  </si>
  <si>
    <t>2319</t>
  </si>
  <si>
    <t>23.19 Manufacture and processing of other glass, including technical glassware</t>
  </si>
  <si>
    <t>http://data.europa.eu/ux2/nace2/2319</t>
  </si>
  <si>
    <t>2320</t>
  </si>
  <si>
    <t>23.20 Manufacture of refractory products</t>
  </si>
  <si>
    <t>http://data.europa.eu/ux2/nace2/2320</t>
  </si>
  <si>
    <t>2331</t>
  </si>
  <si>
    <t>23.31 Manufacture of ceramic tiles and flags</t>
  </si>
  <si>
    <t>http://data.europa.eu/ux2/nace2/2331</t>
  </si>
  <si>
    <t>2332</t>
  </si>
  <si>
    <t>23.32 Manufacture of bricks, tiles and construction products, in baked clay</t>
  </si>
  <si>
    <t>http://data.europa.eu/ux2/nace2/2332</t>
  </si>
  <si>
    <t>2341</t>
  </si>
  <si>
    <t>23.41 Manufacture of ceramic household and ornamental articles</t>
  </si>
  <si>
    <t>http://data.europa.eu/ux2/nace2/2341</t>
  </si>
  <si>
    <t>2342</t>
  </si>
  <si>
    <t>23.42 Manufacture of ceramic sanitary fixtures</t>
  </si>
  <si>
    <t>http://data.europa.eu/ux2/nace2/2342</t>
  </si>
  <si>
    <t>2343</t>
  </si>
  <si>
    <t>23.43 Manufacture of ceramic insulators and insulating fittings</t>
  </si>
  <si>
    <t>http://data.europa.eu/ux2/nace2/2343</t>
  </si>
  <si>
    <t>2344</t>
  </si>
  <si>
    <t>23.44 Manufacture of other technical ceramic products</t>
  </si>
  <si>
    <t>http://data.europa.eu/ux2/nace2/2344</t>
  </si>
  <si>
    <t>2349</t>
  </si>
  <si>
    <t>23.49 Manufacture of other ceramic products</t>
  </si>
  <si>
    <t>http://data.europa.eu/ux2/nace2/2349</t>
  </si>
  <si>
    <t>2351</t>
  </si>
  <si>
    <t>23.51 Manufacture of cement</t>
  </si>
  <si>
    <t>http://data.europa.eu/ux2/nace2/2351</t>
  </si>
  <si>
    <t>2352</t>
  </si>
  <si>
    <t>23.52 Manufacture of lime and plaster</t>
  </si>
  <si>
    <t>http://data.europa.eu/ux2/nace2/2352</t>
  </si>
  <si>
    <t>2361</t>
  </si>
  <si>
    <t>23.61 Manufacture of concrete products for construction purposes</t>
  </si>
  <si>
    <t>http://data.europa.eu/ux2/nace2/2361</t>
  </si>
  <si>
    <t>2362</t>
  </si>
  <si>
    <t>23.62 Manufacture of plaster products for construction purposes</t>
  </si>
  <si>
    <t>http://data.europa.eu/ux2/nace2/2362</t>
  </si>
  <si>
    <t>2363</t>
  </si>
  <si>
    <t>23.63 Manufacture of ready-mixed concrete</t>
  </si>
  <si>
    <t>http://data.europa.eu/ux2/nace2/2363</t>
  </si>
  <si>
    <t>2364</t>
  </si>
  <si>
    <t>23.64 Manufacture of mortars</t>
  </si>
  <si>
    <t>http://data.europa.eu/ux2/nace2/2364</t>
  </si>
  <si>
    <t>2365</t>
  </si>
  <si>
    <t>23.65 Manufacture of fibre cement</t>
  </si>
  <si>
    <t>http://data.europa.eu/ux2/nace2/2365</t>
  </si>
  <si>
    <t>2369</t>
  </si>
  <si>
    <t>23.69 Manufacture of other articles of concrete, plaster and cement</t>
  </si>
  <si>
    <t>http://data.europa.eu/ux2/nace2/2369</t>
  </si>
  <si>
    <t>2370</t>
  </si>
  <si>
    <t>23.70 Cutting, shaping and finishing of stone</t>
  </si>
  <si>
    <t>http://data.europa.eu/ux2/nace2/2370</t>
  </si>
  <si>
    <t>2391</t>
  </si>
  <si>
    <t>23.91 Production of abrasive products</t>
  </si>
  <si>
    <t>http://data.europa.eu/ux2/nace2/2391</t>
  </si>
  <si>
    <t>2399</t>
  </si>
  <si>
    <t>23.99 Manufacture of other non-metallic mineral products n.e.c.</t>
  </si>
  <si>
    <t>http://data.europa.eu/ux2/nace2/2399</t>
  </si>
  <si>
    <t>2410</t>
  </si>
  <si>
    <t>24.10 Manufacture of basic iron and steel and of ferro-alloys</t>
  </si>
  <si>
    <t>http://data.europa.eu/ux2/nace2/2410</t>
  </si>
  <si>
    <t>2420</t>
  </si>
  <si>
    <t>24.20 Manufacture of tubes, pipes, hollow profiles and related fittings, of steel</t>
  </si>
  <si>
    <t>http://data.europa.eu/ux2/nace2/2420</t>
  </si>
  <si>
    <t>2431</t>
  </si>
  <si>
    <t>24.31 Cold drawing of bars</t>
  </si>
  <si>
    <t>http://data.europa.eu/ux2/nace2/2431</t>
  </si>
  <si>
    <t>2432</t>
  </si>
  <si>
    <t>24.32 Cold rolling of narrow strip</t>
  </si>
  <si>
    <t>http://data.europa.eu/ux2/nace2/2432</t>
  </si>
  <si>
    <t>2433</t>
  </si>
  <si>
    <t>24.33 Cold forming or folding</t>
  </si>
  <si>
    <t>http://data.europa.eu/ux2/nace2/2433</t>
  </si>
  <si>
    <t>2434</t>
  </si>
  <si>
    <t>24.34 Cold drawing of wire</t>
  </si>
  <si>
    <t>http://data.europa.eu/ux2/nace2/2434</t>
  </si>
  <si>
    <t>2441</t>
  </si>
  <si>
    <t>24.41 Precious metals production</t>
  </si>
  <si>
    <t>http://data.europa.eu/ux2/nace2/2441</t>
  </si>
  <si>
    <t>2442</t>
  </si>
  <si>
    <t>24.42 Aluminium production</t>
  </si>
  <si>
    <t>http://data.europa.eu/ux2/nace2/2442</t>
  </si>
  <si>
    <t>2443</t>
  </si>
  <si>
    <t>24.43 Lead, zinc and tin production</t>
  </si>
  <si>
    <t>http://data.europa.eu/ux2/nace2/2443</t>
  </si>
  <si>
    <t>2444</t>
  </si>
  <si>
    <t>24.44 Copper production</t>
  </si>
  <si>
    <t>http://data.europa.eu/ux2/nace2/2444</t>
  </si>
  <si>
    <t>2445</t>
  </si>
  <si>
    <t>24.45 Other non-ferrous metal production</t>
  </si>
  <si>
    <t>http://data.europa.eu/ux2/nace2/2445</t>
  </si>
  <si>
    <t>2446</t>
  </si>
  <si>
    <t>24.46 Processing of nuclear fuel</t>
  </si>
  <si>
    <t>http://data.europa.eu/ux2/nace2/2446</t>
  </si>
  <si>
    <t>2451</t>
  </si>
  <si>
    <t>24.51 Casting of iron</t>
  </si>
  <si>
    <t>http://data.europa.eu/ux2/nace2/2451</t>
  </si>
  <si>
    <t>2452</t>
  </si>
  <si>
    <t>24.52 Casting of steel</t>
  </si>
  <si>
    <t>http://data.europa.eu/ux2/nace2/2452</t>
  </si>
  <si>
    <t>2453</t>
  </si>
  <si>
    <t>24.53 Casting of light metals</t>
  </si>
  <si>
    <t>http://data.europa.eu/ux2/nace2/2453</t>
  </si>
  <si>
    <t>2454</t>
  </si>
  <si>
    <t>24.54 Casting of other non-ferrous metals</t>
  </si>
  <si>
    <t>http://data.europa.eu/ux2/nace2/2454</t>
  </si>
  <si>
    <t>2511</t>
  </si>
  <si>
    <t>25.11 Manufacture of metal structures and parts of structures</t>
  </si>
  <si>
    <t>http://data.europa.eu/ux2/nace2/2511</t>
  </si>
  <si>
    <t>2512</t>
  </si>
  <si>
    <t>25.12 Manufacture of doors and windows of metal</t>
  </si>
  <si>
    <t>http://data.europa.eu/ux2/nace2/2512</t>
  </si>
  <si>
    <t>2521</t>
  </si>
  <si>
    <t>25.21 Manufacture of central heating radiators and boilers</t>
  </si>
  <si>
    <t>http://data.europa.eu/ux2/nace2/2521</t>
  </si>
  <si>
    <t>2529</t>
  </si>
  <si>
    <t>25.29 Manufacture of other tanks, reservoirs and containers of metal</t>
  </si>
  <si>
    <t>http://data.europa.eu/ux2/nace2/2529</t>
  </si>
  <si>
    <t>2530</t>
  </si>
  <si>
    <t>25.30 Manufacture of steam generators, except central heating hot water boilers</t>
  </si>
  <si>
    <t>http://data.europa.eu/ux2/nace2/2530</t>
  </si>
  <si>
    <t>2540</t>
  </si>
  <si>
    <t>25.40 Manufacture of weapons and ammunition</t>
  </si>
  <si>
    <t>http://data.europa.eu/ux2/nace2/2540</t>
  </si>
  <si>
    <t>2550</t>
  </si>
  <si>
    <t>25.50 Forging, pressing, stamping and roll-forming of metal; powder metallurgy</t>
  </si>
  <si>
    <t>http://data.europa.eu/ux2/nace2/2550</t>
  </si>
  <si>
    <t>2561</t>
  </si>
  <si>
    <t>25.61 Treatment and coating of metals</t>
  </si>
  <si>
    <t>http://data.europa.eu/ux2/nace2/2561</t>
  </si>
  <si>
    <t>2562</t>
  </si>
  <si>
    <t>25.62 Machining</t>
  </si>
  <si>
    <t>http://data.europa.eu/ux2/nace2/2562</t>
  </si>
  <si>
    <t>2571</t>
  </si>
  <si>
    <t>25.71 Manufacture of cutlery</t>
  </si>
  <si>
    <t>http://data.europa.eu/ux2/nace2/2571</t>
  </si>
  <si>
    <t>2572</t>
  </si>
  <si>
    <t>25.72 Manufacture of locks and hinges</t>
  </si>
  <si>
    <t>http://data.europa.eu/ux2/nace2/2572</t>
  </si>
  <si>
    <t>2573</t>
  </si>
  <si>
    <t>25.73 Manufacture of tools</t>
  </si>
  <si>
    <t>http://data.europa.eu/ux2/nace2/2573</t>
  </si>
  <si>
    <t>2591</t>
  </si>
  <si>
    <t>25.91 Manufacture of steel drums and similar containers</t>
  </si>
  <si>
    <t>http://data.europa.eu/ux2/nace2/2591</t>
  </si>
  <si>
    <t>2592</t>
  </si>
  <si>
    <t>25.92 Manufacture of light metal packaging</t>
  </si>
  <si>
    <t>http://data.europa.eu/ux2/nace2/2592</t>
  </si>
  <si>
    <t>2593</t>
  </si>
  <si>
    <t>25.93 Manufacture of wire products, chain and springs</t>
  </si>
  <si>
    <t>http://data.europa.eu/ux2/nace2/2593</t>
  </si>
  <si>
    <t>2594</t>
  </si>
  <si>
    <t>25.94 Manufacture of fasteners and screw machine products</t>
  </si>
  <si>
    <t>http://data.europa.eu/ux2/nace2/2594</t>
  </si>
  <si>
    <t>2599</t>
  </si>
  <si>
    <t>25.99 Manufacture of other fabricated metal products n.e.c.</t>
  </si>
  <si>
    <t>http://data.europa.eu/ux2/nace2/2599</t>
  </si>
  <si>
    <t>2611</t>
  </si>
  <si>
    <t>26.11 Manufacture of electronic components</t>
  </si>
  <si>
    <t>http://data.europa.eu/ux2/nace2/2611</t>
  </si>
  <si>
    <t>2612</t>
  </si>
  <si>
    <t>26.12 Manufacture of loaded electronic boards</t>
  </si>
  <si>
    <t>http://data.europa.eu/ux2/nace2/2612</t>
  </si>
  <si>
    <t>2620</t>
  </si>
  <si>
    <t>26.20 Manufacture of computers and peripheral equipment</t>
  </si>
  <si>
    <t>http://data.europa.eu/ux2/nace2/2620</t>
  </si>
  <si>
    <t>2630</t>
  </si>
  <si>
    <t>26.30 Manufacture of communication equipment</t>
  </si>
  <si>
    <t>http://data.europa.eu/ux2/nace2/2630</t>
  </si>
  <si>
    <t>2640</t>
  </si>
  <si>
    <t>26.40 Manufacture of consumer electronics</t>
  </si>
  <si>
    <t>http://data.europa.eu/ux2/nace2/2640</t>
  </si>
  <si>
    <t>2651</t>
  </si>
  <si>
    <t>26.51 Manufacture of instruments and appliances for measuring, testing and navigation</t>
  </si>
  <si>
    <t>http://data.europa.eu/ux2/nace2/2651</t>
  </si>
  <si>
    <t>2652</t>
  </si>
  <si>
    <t>26.52 Manufacture of watches and clocks</t>
  </si>
  <si>
    <t>http://data.europa.eu/ux2/nace2/2652</t>
  </si>
  <si>
    <t>2660</t>
  </si>
  <si>
    <t>26.60 Manufacture of irradiation, electromedical and electrotherapeutic equipment</t>
  </si>
  <si>
    <t>http://data.europa.eu/ux2/nace2/2660</t>
  </si>
  <si>
    <t>2670</t>
  </si>
  <si>
    <t>26.70 Manufacture of optical instruments and photographic equipment</t>
  </si>
  <si>
    <t>http://data.europa.eu/ux2/nace2/2670</t>
  </si>
  <si>
    <t>2680</t>
  </si>
  <si>
    <t>26.80 Manufacture of magnetic and optical media</t>
  </si>
  <si>
    <t>http://data.europa.eu/ux2/nace2/2680</t>
  </si>
  <si>
    <t>2711</t>
  </si>
  <si>
    <t>27.11 Manufacture of electric motors, generators and transformers</t>
  </si>
  <si>
    <t>http://data.europa.eu/ux2/nace2/2711</t>
  </si>
  <si>
    <t>2712</t>
  </si>
  <si>
    <t>27.12 Manufacture of electricity distribution and control apparatus</t>
  </si>
  <si>
    <t>http://data.europa.eu/ux2/nace2/2712</t>
  </si>
  <si>
    <t>2720</t>
  </si>
  <si>
    <t>27.20 Manufacture of batteries and accumulators</t>
  </si>
  <si>
    <t>http://data.europa.eu/ux2/nace2/2720</t>
  </si>
  <si>
    <t>2731</t>
  </si>
  <si>
    <t>27.31 Manufacture of fibre optic cables</t>
  </si>
  <si>
    <t>http://data.europa.eu/ux2/nace2/2731</t>
  </si>
  <si>
    <t>2732</t>
  </si>
  <si>
    <t>27.32 Manufacture of other electronic and electric wires and cables</t>
  </si>
  <si>
    <t>http://data.europa.eu/ux2/nace2/2732</t>
  </si>
  <si>
    <t>2733</t>
  </si>
  <si>
    <t>27.33 Manufacture of wiring devices</t>
  </si>
  <si>
    <t>http://data.europa.eu/ux2/nace2/2733</t>
  </si>
  <si>
    <t>2740</t>
  </si>
  <si>
    <t>27.40 Manufacture of electric lighting equipment</t>
  </si>
  <si>
    <t>http://data.europa.eu/ux2/nace2/2740</t>
  </si>
  <si>
    <t>2751</t>
  </si>
  <si>
    <t>27.51 Manufacture of electric domestic appliances</t>
  </si>
  <si>
    <t>http://data.europa.eu/ux2/nace2/2751</t>
  </si>
  <si>
    <t>2752</t>
  </si>
  <si>
    <t>27.52 Manufacture of non-electric domestic appliances</t>
  </si>
  <si>
    <t>http://data.europa.eu/ux2/nace2/2752</t>
  </si>
  <si>
    <t>2790</t>
  </si>
  <si>
    <t>27.90 Manufacture of other electrical equipment</t>
  </si>
  <si>
    <t>http://data.europa.eu/ux2/nace2/2790</t>
  </si>
  <si>
    <t>2811</t>
  </si>
  <si>
    <t>28.11 Manufacture of engines and turbines, except aircraft, vehicle and cycle engines</t>
  </si>
  <si>
    <t>http://data.europa.eu/ux2/nace2/2811</t>
  </si>
  <si>
    <t>2812</t>
  </si>
  <si>
    <t>28.12 Manufacture of fluid power equipment</t>
  </si>
  <si>
    <t>http://data.europa.eu/ux2/nace2/2812</t>
  </si>
  <si>
    <t>2813</t>
  </si>
  <si>
    <t>28.13 Manufacture of other pumps and compressors</t>
  </si>
  <si>
    <t>http://data.europa.eu/ux2/nace2/2813</t>
  </si>
  <si>
    <t>2814</t>
  </si>
  <si>
    <t>28.14 Manufacture of other taps and valves</t>
  </si>
  <si>
    <t>http://data.europa.eu/ux2/nace2/2814</t>
  </si>
  <si>
    <t>2815</t>
  </si>
  <si>
    <t>28.15 Manufacture of bearings, gears, gearing and driving elements</t>
  </si>
  <si>
    <t>http://data.europa.eu/ux2/nace2/2815</t>
  </si>
  <si>
    <t>2821</t>
  </si>
  <si>
    <t>28.21 Manufacture of ovens, furnaces and furnace burners</t>
  </si>
  <si>
    <t>http://data.europa.eu/ux2/nace2/2821</t>
  </si>
  <si>
    <t>2822</t>
  </si>
  <si>
    <t>28.22 Manufacture of lifting and handling equipment</t>
  </si>
  <si>
    <t>http://data.europa.eu/ux2/nace2/2822</t>
  </si>
  <si>
    <t>2823</t>
  </si>
  <si>
    <t>28.23 Manufacture of office machinery and equipment (except computers and peripheral equipment)</t>
  </si>
  <si>
    <t>http://data.europa.eu/ux2/nace2/2823</t>
  </si>
  <si>
    <t>2824</t>
  </si>
  <si>
    <t>28.24 Manufacture of power-driven hand tools</t>
  </si>
  <si>
    <t>http://data.europa.eu/ux2/nace2/2824</t>
  </si>
  <si>
    <t>2825</t>
  </si>
  <si>
    <t>28.25 Manufacture of non-domestic cooling and ventilation equipment</t>
  </si>
  <si>
    <t>http://data.europa.eu/ux2/nace2/2825</t>
  </si>
  <si>
    <t>2829</t>
  </si>
  <si>
    <t>28.29 Manufacture of other general-purpose machinery n.e.c.</t>
  </si>
  <si>
    <t>http://data.europa.eu/ux2/nace2/2829</t>
  </si>
  <si>
    <t>2830</t>
  </si>
  <si>
    <t>28.30 Manufacture of agricultural and forestry machinery</t>
  </si>
  <si>
    <t>http://data.europa.eu/ux2/nace2/2830</t>
  </si>
  <si>
    <t>2841</t>
  </si>
  <si>
    <t>28.41 Manufacture of metal forming machinery</t>
  </si>
  <si>
    <t>http://data.europa.eu/ux2/nace2/2841</t>
  </si>
  <si>
    <t>2849</t>
  </si>
  <si>
    <t>28.49 Manufacture of other machine tools</t>
  </si>
  <si>
    <t>http://data.europa.eu/ux2/nace2/2849</t>
  </si>
  <si>
    <t>2891</t>
  </si>
  <si>
    <t>28.91 Manufacture of machinery for metallurgy</t>
  </si>
  <si>
    <t>http://data.europa.eu/ux2/nace2/2891</t>
  </si>
  <si>
    <t>2892</t>
  </si>
  <si>
    <t>28.92 Manufacture of machinery for mining, quarrying and construction</t>
  </si>
  <si>
    <t>http://data.europa.eu/ux2/nace2/2892</t>
  </si>
  <si>
    <t>2893</t>
  </si>
  <si>
    <t>28.93 Manufacture of machinery for food, beverage and tobacco processing</t>
  </si>
  <si>
    <t>http://data.europa.eu/ux2/nace2/2893</t>
  </si>
  <si>
    <t>2894</t>
  </si>
  <si>
    <t>28.94 Manufacture of machinery for textile, apparel and leather production</t>
  </si>
  <si>
    <t>http://data.europa.eu/ux2/nace2/2894</t>
  </si>
  <si>
    <t>2895</t>
  </si>
  <si>
    <t>28.95 Manufacture of machinery for paper and paperboard production</t>
  </si>
  <si>
    <t>http://data.europa.eu/ux2/nace2/2895</t>
  </si>
  <si>
    <t>2896</t>
  </si>
  <si>
    <t>28.96 Manufacture of plastics and rubber machinery</t>
  </si>
  <si>
    <t>http://data.europa.eu/ux2/nace2/2896</t>
  </si>
  <si>
    <t>2899</t>
  </si>
  <si>
    <t>28.99 Manufacture of other special-purpose machinery n.e.c.</t>
  </si>
  <si>
    <t>http://data.europa.eu/ux2/nace2/2899</t>
  </si>
  <si>
    <t>2910</t>
  </si>
  <si>
    <t>29.10 Manufacture of motor vehicles</t>
  </si>
  <si>
    <t>http://data.europa.eu/ux2/nace2/2910</t>
  </si>
  <si>
    <t>2920</t>
  </si>
  <si>
    <t>29.20 Manufacture of bodies (coachwork) for motor vehicles; manufacture of trailers and semi-trailers</t>
  </si>
  <si>
    <t>http://data.europa.eu/ux2/nace2/2920</t>
  </si>
  <si>
    <t>2931</t>
  </si>
  <si>
    <t>29.31 Manufacture of electrical and electronic equipment for motor vehicles</t>
  </si>
  <si>
    <t>http://data.europa.eu/ux2/nace2/2931</t>
  </si>
  <si>
    <t>2932</t>
  </si>
  <si>
    <t>29.32 Manufacture of other parts and accessories for motor vehicles</t>
  </si>
  <si>
    <t>http://data.europa.eu/ux2/nace2/2932</t>
  </si>
  <si>
    <t>3011</t>
  </si>
  <si>
    <t>30.11 Building of ships and floating structures</t>
  </si>
  <si>
    <t>http://data.europa.eu/ux2/nace2/3011</t>
  </si>
  <si>
    <t>3012</t>
  </si>
  <si>
    <t>30.12 Building of pleasure and sporting boats</t>
  </si>
  <si>
    <t>http://data.europa.eu/ux2/nace2/3012</t>
  </si>
  <si>
    <t>3020</t>
  </si>
  <si>
    <t>30.20 Manufacture of railway locomotives and rolling stock</t>
  </si>
  <si>
    <t>http://data.europa.eu/ux2/nace2/3020</t>
  </si>
  <si>
    <t>3030</t>
  </si>
  <si>
    <t>30.30 Manufacture of air and spacecraft and related machinery</t>
  </si>
  <si>
    <t>http://data.europa.eu/ux2/nace2/3030</t>
  </si>
  <si>
    <t>3040</t>
  </si>
  <si>
    <t>30.40 Manufacture of military fighting vehicles</t>
  </si>
  <si>
    <t>http://data.europa.eu/ux2/nace2/3040</t>
  </si>
  <si>
    <t>3091</t>
  </si>
  <si>
    <t>30.91 Manufacture of motorcycles</t>
  </si>
  <si>
    <t>http://data.europa.eu/ux2/nace2/3091</t>
  </si>
  <si>
    <t>3092</t>
  </si>
  <si>
    <t>30.92 Manufacture of bicycles and invalid carriages</t>
  </si>
  <si>
    <t>http://data.europa.eu/ux2/nace2/3092</t>
  </si>
  <si>
    <t>3099</t>
  </si>
  <si>
    <t>30.99 Manufacture of other transport equipment n.e.c.</t>
  </si>
  <si>
    <t>http://data.europa.eu/ux2/nace2/3099</t>
  </si>
  <si>
    <t>3101</t>
  </si>
  <si>
    <t>31.01 Manufacture of office and shop furniture</t>
  </si>
  <si>
    <t>http://data.europa.eu/ux2/nace2/3101</t>
  </si>
  <si>
    <t>3102</t>
  </si>
  <si>
    <t>31.02 Manufacture of kitchen furniture</t>
  </si>
  <si>
    <t>http://data.europa.eu/ux2/nace2/3102</t>
  </si>
  <si>
    <t>3103</t>
  </si>
  <si>
    <t>31.03 Manufacture of mattresses</t>
  </si>
  <si>
    <t>http://data.europa.eu/ux2/nace2/3103</t>
  </si>
  <si>
    <t>3109</t>
  </si>
  <si>
    <t>31.09 Manufacture of other furniture</t>
  </si>
  <si>
    <t>http://data.europa.eu/ux2/nace2/3109</t>
  </si>
  <si>
    <t>3211</t>
  </si>
  <si>
    <t>32.11 Striking of coins</t>
  </si>
  <si>
    <t>http://data.europa.eu/ux2/nace2/3211</t>
  </si>
  <si>
    <t>3212</t>
  </si>
  <si>
    <t>32.12 Manufacture of jewellery and related articles</t>
  </si>
  <si>
    <t>http://data.europa.eu/ux2/nace2/3212</t>
  </si>
  <si>
    <t>3213</t>
  </si>
  <si>
    <t>32.13 Manufacture of imitation jewellery and related articles</t>
  </si>
  <si>
    <t>http://data.europa.eu/ux2/nace2/3213</t>
  </si>
  <si>
    <t>3220</t>
  </si>
  <si>
    <t>32.20 Manufacture of musical instruments</t>
  </si>
  <si>
    <t>http://data.europa.eu/ux2/nace2/3220</t>
  </si>
  <si>
    <t>3230</t>
  </si>
  <si>
    <t>32.30 Manufacture of sports goods</t>
  </si>
  <si>
    <t>http://data.europa.eu/ux2/nace2/3230</t>
  </si>
  <si>
    <t>3240</t>
  </si>
  <si>
    <t>32.40 Manufacture of games and toys</t>
  </si>
  <si>
    <t>http://data.europa.eu/ux2/nace2/3240</t>
  </si>
  <si>
    <t>3250</t>
  </si>
  <si>
    <t>32.50 Manufacture of medical and dental instruments and supplies</t>
  </si>
  <si>
    <t>http://data.europa.eu/ux2/nace2/3250</t>
  </si>
  <si>
    <t>3291</t>
  </si>
  <si>
    <t>32.91 Manufacture of brooms and brushes</t>
  </si>
  <si>
    <t>http://data.europa.eu/ux2/nace2/3291</t>
  </si>
  <si>
    <t>3299</t>
  </si>
  <si>
    <t>32.99 Other manufacturing n.e.c.</t>
  </si>
  <si>
    <t>http://data.europa.eu/ux2/nace2/3299</t>
  </si>
  <si>
    <t>3311</t>
  </si>
  <si>
    <t>33.11 Repair of fabricated metal products</t>
  </si>
  <si>
    <t>http://data.europa.eu/ux2/nace2/3311</t>
  </si>
  <si>
    <t>3312</t>
  </si>
  <si>
    <t>33.12 Repair of machinery</t>
  </si>
  <si>
    <t>http://data.europa.eu/ux2/nace2/3312</t>
  </si>
  <si>
    <t>3313</t>
  </si>
  <si>
    <t>33.13 Repair of electronic and optical equipment</t>
  </si>
  <si>
    <t>http://data.europa.eu/ux2/nace2/3313</t>
  </si>
  <si>
    <t>3314</t>
  </si>
  <si>
    <t>33.14 Repair of electrical equipment</t>
  </si>
  <si>
    <t>http://data.europa.eu/ux2/nace2/3314</t>
  </si>
  <si>
    <t>3315</t>
  </si>
  <si>
    <t>33.15 Repair and maintenance of ships and boats</t>
  </si>
  <si>
    <t>http://data.europa.eu/ux2/nace2/3315</t>
  </si>
  <si>
    <t>3316</t>
  </si>
  <si>
    <t>33.16 Repair and maintenance of aircraft and spacecraft</t>
  </si>
  <si>
    <t>http://data.europa.eu/ux2/nace2/3316</t>
  </si>
  <si>
    <t>3317</t>
  </si>
  <si>
    <t>33.17 Repair and maintenance of other transport equipment</t>
  </si>
  <si>
    <t>http://data.europa.eu/ux2/nace2/3317</t>
  </si>
  <si>
    <t>3319</t>
  </si>
  <si>
    <t>33.19 Repair of other equipment</t>
  </si>
  <si>
    <t>http://data.europa.eu/ux2/nace2/3319</t>
  </si>
  <si>
    <t>3320</t>
  </si>
  <si>
    <t>33.20 Installation of industrial machinery and equipment</t>
  </si>
  <si>
    <t>http://data.europa.eu/ux2/nace2/3320</t>
  </si>
  <si>
    <t>3511</t>
  </si>
  <si>
    <t>35.11 Production of electricity</t>
  </si>
  <si>
    <t>http://data.europa.eu/ux2/nace2/3511</t>
  </si>
  <si>
    <t>3512</t>
  </si>
  <si>
    <t>35.12 Transmission of electricity</t>
  </si>
  <si>
    <t>http://data.europa.eu/ux2/nace2/3512</t>
  </si>
  <si>
    <t>3513</t>
  </si>
  <si>
    <t>35.13 Distribution of electricity</t>
  </si>
  <si>
    <t>http://data.europa.eu/ux2/nace2/3513</t>
  </si>
  <si>
    <t>3514</t>
  </si>
  <si>
    <t>35.14 Trade of electricity</t>
  </si>
  <si>
    <t>http://data.europa.eu/ux2/nace2/3514</t>
  </si>
  <si>
    <t>3521</t>
  </si>
  <si>
    <t>35.21 Manufacture of gas</t>
  </si>
  <si>
    <t>http://data.europa.eu/ux2/nace2/3521</t>
  </si>
  <si>
    <t>3522</t>
  </si>
  <si>
    <t>35.22 Distribution of gaseous fuels through mains</t>
  </si>
  <si>
    <t>http://data.europa.eu/ux2/nace2/3522</t>
  </si>
  <si>
    <t>3523</t>
  </si>
  <si>
    <t>35.23 Trade of gas through mains</t>
  </si>
  <si>
    <t>http://data.europa.eu/ux2/nace2/3523</t>
  </si>
  <si>
    <t>3530</t>
  </si>
  <si>
    <t>35.30 Steam and air conditioning supply</t>
  </si>
  <si>
    <t>http://data.europa.eu/ux2/nace2/3530</t>
  </si>
  <si>
    <t>3600</t>
  </si>
  <si>
    <t>36.00 Water collection, treatment and supply</t>
  </si>
  <si>
    <t>http://data.europa.eu/ux2/nace2/3600</t>
  </si>
  <si>
    <t>3700</t>
  </si>
  <si>
    <t>37.00 Sewerage</t>
  </si>
  <si>
    <t>http://data.europa.eu/ux2/nace2/3700</t>
  </si>
  <si>
    <t>3811</t>
  </si>
  <si>
    <t>38.11 Collection of non-hazardous waste</t>
  </si>
  <si>
    <t>http://data.europa.eu/ux2/nace2/3811</t>
  </si>
  <si>
    <t>3812</t>
  </si>
  <si>
    <t>38.12 Collection of hazardous waste</t>
  </si>
  <si>
    <t>http://data.europa.eu/ux2/nace2/3812</t>
  </si>
  <si>
    <t>3821</t>
  </si>
  <si>
    <t>38.21 Treatment and disposal of non-hazardous waste</t>
  </si>
  <si>
    <t>http://data.europa.eu/ux2/nace2/3821</t>
  </si>
  <si>
    <t>3822</t>
  </si>
  <si>
    <t>38.22 Treatment and disposal of hazardous waste</t>
  </si>
  <si>
    <t>http://data.europa.eu/ux2/nace2/3822</t>
  </si>
  <si>
    <t>3831</t>
  </si>
  <si>
    <t>38.31 Dismantling of wrecks</t>
  </si>
  <si>
    <t>http://data.europa.eu/ux2/nace2/3831</t>
  </si>
  <si>
    <t>3832</t>
  </si>
  <si>
    <t>38.32 Recovery of sorted materials</t>
  </si>
  <si>
    <t>http://data.europa.eu/ux2/nace2/3832</t>
  </si>
  <si>
    <t>3900</t>
  </si>
  <si>
    <t>39.00 Remediation activities and other waste management services</t>
  </si>
  <si>
    <t>http://data.europa.eu/ux2/nace2/3900</t>
  </si>
  <si>
    <t>4110</t>
  </si>
  <si>
    <t>41.10 Development of building projects</t>
  </si>
  <si>
    <t>http://data.europa.eu/ux2/nace2/4110</t>
  </si>
  <si>
    <t>4120</t>
  </si>
  <si>
    <t>41.20 Construction of residential and non-residential buildings</t>
  </si>
  <si>
    <t>http://data.europa.eu/ux2/nace2/4120</t>
  </si>
  <si>
    <t>4211</t>
  </si>
  <si>
    <t>42.11 Construction of roads and motorways</t>
  </si>
  <si>
    <t>http://data.europa.eu/ux2/nace2/4211</t>
  </si>
  <si>
    <t>4212</t>
  </si>
  <si>
    <t>42.12 Construction of railways and underground railways</t>
  </si>
  <si>
    <t>http://data.europa.eu/ux2/nace2/4212</t>
  </si>
  <si>
    <t>4213</t>
  </si>
  <si>
    <t>42.13 Construction of bridges and tunnels</t>
  </si>
  <si>
    <t>http://data.europa.eu/ux2/nace2/4213</t>
  </si>
  <si>
    <t>4221</t>
  </si>
  <si>
    <t>42.21 Construction of utility projects for fluids</t>
  </si>
  <si>
    <t>http://data.europa.eu/ux2/nace2/4221</t>
  </si>
  <si>
    <t>4222</t>
  </si>
  <si>
    <t>42.22 Construction of utility projects for electricity and telecommunications</t>
  </si>
  <si>
    <t>http://data.europa.eu/ux2/nace2/4222</t>
  </si>
  <si>
    <t>4291</t>
  </si>
  <si>
    <t>42.91 Construction of water projects</t>
  </si>
  <si>
    <t>http://data.europa.eu/ux2/nace2/4291</t>
  </si>
  <si>
    <t>4299</t>
  </si>
  <si>
    <t>42.99 Construction of other civil engineering projects n.e.c.</t>
  </si>
  <si>
    <t>http://data.europa.eu/ux2/nace2/4299</t>
  </si>
  <si>
    <t>4311</t>
  </si>
  <si>
    <t>43.11 Demolition</t>
  </si>
  <si>
    <t>http://data.europa.eu/ux2/nace2/4311</t>
  </si>
  <si>
    <t>4312</t>
  </si>
  <si>
    <t>43.12 Site preparation</t>
  </si>
  <si>
    <t>http://data.europa.eu/ux2/nace2/4312</t>
  </si>
  <si>
    <t>4313</t>
  </si>
  <si>
    <t>43.13 Test drilling and boring</t>
  </si>
  <si>
    <t>http://data.europa.eu/ux2/nace2/4313</t>
  </si>
  <si>
    <t>4321</t>
  </si>
  <si>
    <t>43.21 Electrical installation</t>
  </si>
  <si>
    <t>http://data.europa.eu/ux2/nace2/4321</t>
  </si>
  <si>
    <t>4322</t>
  </si>
  <si>
    <t>43.22 Plumbing, heat and air-conditioning installation</t>
  </si>
  <si>
    <t>http://data.europa.eu/ux2/nace2/4322</t>
  </si>
  <si>
    <t>4329</t>
  </si>
  <si>
    <t>43.29 Other construction installation</t>
  </si>
  <si>
    <t>http://data.europa.eu/ux2/nace2/4329</t>
  </si>
  <si>
    <t>4331</t>
  </si>
  <si>
    <t>43.31 Plastering</t>
  </si>
  <si>
    <t>http://data.europa.eu/ux2/nace2/4331</t>
  </si>
  <si>
    <t>4332</t>
  </si>
  <si>
    <t>43.32 Joinery installation</t>
  </si>
  <si>
    <t>http://data.europa.eu/ux2/nace2/4332</t>
  </si>
  <si>
    <t>4333</t>
  </si>
  <si>
    <t>43.33 Floor and wall covering</t>
  </si>
  <si>
    <t>http://data.europa.eu/ux2/nace2/4333</t>
  </si>
  <si>
    <t>4334</t>
  </si>
  <si>
    <t>43.34 Painting and glazing</t>
  </si>
  <si>
    <t>http://data.europa.eu/ux2/nace2/4334</t>
  </si>
  <si>
    <t>4339</t>
  </si>
  <si>
    <t>43.39 Other building completion and finishing</t>
  </si>
  <si>
    <t>http://data.europa.eu/ux2/nace2/4339</t>
  </si>
  <si>
    <t>4391</t>
  </si>
  <si>
    <t>43.91 Roofing activities</t>
  </si>
  <si>
    <t>http://data.europa.eu/ux2/nace2/4391</t>
  </si>
  <si>
    <t>4399</t>
  </si>
  <si>
    <t>43.99 Other specialised construction activities n.e.c.</t>
  </si>
  <si>
    <t>http://data.europa.eu/ux2/nace2/4399</t>
  </si>
  <si>
    <t>4511</t>
  </si>
  <si>
    <t>45.11 Sale of cars and light motor vehicles</t>
  </si>
  <si>
    <t>http://data.europa.eu/ux2/nace2/4511</t>
  </si>
  <si>
    <t>4519</t>
  </si>
  <si>
    <t>45.19 Sale of other motor vehicles</t>
  </si>
  <si>
    <t>http://data.europa.eu/ux2/nace2/4519</t>
  </si>
  <si>
    <t>4520</t>
  </si>
  <si>
    <t>45.20 Maintenance and repair of motor vehicles</t>
  </si>
  <si>
    <t>http://data.europa.eu/ux2/nace2/4520</t>
  </si>
  <si>
    <t>4531</t>
  </si>
  <si>
    <t>45.31 Wholesale trade of motor vehicle parts and accessories</t>
  </si>
  <si>
    <t>http://data.europa.eu/ux2/nace2/4531</t>
  </si>
  <si>
    <t>4532</t>
  </si>
  <si>
    <t>45.32 Retail trade of motor vehicle parts and accessories</t>
  </si>
  <si>
    <t>http://data.europa.eu/ux2/nace2/4532</t>
  </si>
  <si>
    <t>4540</t>
  </si>
  <si>
    <t>45.40 Sale, maintenance and repair of motorcycles and related parts and accessories</t>
  </si>
  <si>
    <t>http://data.europa.eu/ux2/nace2/4540</t>
  </si>
  <si>
    <t>4611</t>
  </si>
  <si>
    <t>46.11 Agents involved in the sale of agricultural raw materials, live animals, textile raw materials and semi-finished goods</t>
  </si>
  <si>
    <t>http://data.europa.eu/ux2/nace2/4611</t>
  </si>
  <si>
    <t>4612</t>
  </si>
  <si>
    <t>46.12 Agents involved in the sale of fuels, ores, metals and industrial chemicals</t>
  </si>
  <si>
    <t>http://data.europa.eu/ux2/nace2/4612</t>
  </si>
  <si>
    <t>4613</t>
  </si>
  <si>
    <t>46.13 Agents involved in the sale of timber and building materials</t>
  </si>
  <si>
    <t>http://data.europa.eu/ux2/nace2/4613</t>
  </si>
  <si>
    <t>4614</t>
  </si>
  <si>
    <t>46.14 Agents involved in the sale of machinery, industrial equipment, ships and aircraft</t>
  </si>
  <si>
    <t>http://data.europa.eu/ux2/nace2/4614</t>
  </si>
  <si>
    <t>4615</t>
  </si>
  <si>
    <t>46.15 Agents involved in the sale of furniture, household goods, hardware and ironmongery</t>
  </si>
  <si>
    <t>http://data.europa.eu/ux2/nace2/4615</t>
  </si>
  <si>
    <t>4616</t>
  </si>
  <si>
    <t>46.16 Agents involved in the sale of textiles, clothing, fur, footwear and leather goods</t>
  </si>
  <si>
    <t>http://data.europa.eu/ux2/nace2/4616</t>
  </si>
  <si>
    <t>4617</t>
  </si>
  <si>
    <t>46.17 Agents involved in the sale of food, beverages and tobacco</t>
  </si>
  <si>
    <t>http://data.europa.eu/ux2/nace2/4617</t>
  </si>
  <si>
    <t>4618</t>
  </si>
  <si>
    <t>46.18 Agents specialised in the sale of other particular products</t>
  </si>
  <si>
    <t>http://data.europa.eu/ux2/nace2/4618</t>
  </si>
  <si>
    <t>4619</t>
  </si>
  <si>
    <t>46.19 Agents involved in the sale of a variety of goods</t>
  </si>
  <si>
    <t>http://data.europa.eu/ux2/nace2/4619</t>
  </si>
  <si>
    <t>4621</t>
  </si>
  <si>
    <t>46.21 Wholesale of grain, unmanufactured tobacco, seeds and animal feeds</t>
  </si>
  <si>
    <t>http://data.europa.eu/ux2/nace2/4621</t>
  </si>
  <si>
    <t>4622</t>
  </si>
  <si>
    <t>46.22 Wholesale of flowers and plants</t>
  </si>
  <si>
    <t>http://data.europa.eu/ux2/nace2/4622</t>
  </si>
  <si>
    <t>4623</t>
  </si>
  <si>
    <t>46.23 Wholesale of live animals</t>
  </si>
  <si>
    <t>http://data.europa.eu/ux2/nace2/4623</t>
  </si>
  <si>
    <t>4624</t>
  </si>
  <si>
    <t>46.24 Wholesale of hides, skins and leather</t>
  </si>
  <si>
    <t>http://data.europa.eu/ux2/nace2/4624</t>
  </si>
  <si>
    <t>4631</t>
  </si>
  <si>
    <t>46.31 Wholesale of fruit and vegetables</t>
  </si>
  <si>
    <t>http://data.europa.eu/ux2/nace2/4631</t>
  </si>
  <si>
    <t>4632</t>
  </si>
  <si>
    <t>46.32 Wholesale of meat and meat products</t>
  </si>
  <si>
    <t>http://data.europa.eu/ux2/nace2/4632</t>
  </si>
  <si>
    <t>4633</t>
  </si>
  <si>
    <t>46.33 Wholesale of dairy products, eggs and edible oils and fats</t>
  </si>
  <si>
    <t>http://data.europa.eu/ux2/nace2/4633</t>
  </si>
  <si>
    <t>4634</t>
  </si>
  <si>
    <t>46.34 Wholesale of beverages</t>
  </si>
  <si>
    <t>http://data.europa.eu/ux2/nace2/4634</t>
  </si>
  <si>
    <t>4635</t>
  </si>
  <si>
    <t>46.35 Wholesale of tobacco products</t>
  </si>
  <si>
    <t>http://data.europa.eu/ux2/nace2/4635</t>
  </si>
  <si>
    <t>4636</t>
  </si>
  <si>
    <t>46.36 Wholesale of sugar and chocolate and sugar confectionery</t>
  </si>
  <si>
    <t>http://data.europa.eu/ux2/nace2/4636</t>
  </si>
  <si>
    <t>4637</t>
  </si>
  <si>
    <t>46.37 Wholesale of coffee, tea, cocoa and spices</t>
  </si>
  <si>
    <t>http://data.europa.eu/ux2/nace2/4637</t>
  </si>
  <si>
    <t>4638</t>
  </si>
  <si>
    <t>46.38 Wholesale of other food, including fish, crustaceans and molluscs</t>
  </si>
  <si>
    <t>http://data.europa.eu/ux2/nace2/4638</t>
  </si>
  <si>
    <t>4639</t>
  </si>
  <si>
    <t>46.39 Non-specialised wholesale of food, beverages and tobacco</t>
  </si>
  <si>
    <t>http://data.europa.eu/ux2/nace2/4639</t>
  </si>
  <si>
    <t>4641</t>
  </si>
  <si>
    <t>46.41 Wholesale of textiles</t>
  </si>
  <si>
    <t>http://data.europa.eu/ux2/nace2/4641</t>
  </si>
  <si>
    <t>4642</t>
  </si>
  <si>
    <t>46.42 Wholesale of clothing and footwear</t>
  </si>
  <si>
    <t>http://data.europa.eu/ux2/nace2/4642</t>
  </si>
  <si>
    <t>4643</t>
  </si>
  <si>
    <t>46.43 Wholesale of electrical household appliances</t>
  </si>
  <si>
    <t>http://data.europa.eu/ux2/nace2/4643</t>
  </si>
  <si>
    <t>4644</t>
  </si>
  <si>
    <t>46.44 Wholesale of china and glassware and cleaning materials</t>
  </si>
  <si>
    <t>http://data.europa.eu/ux2/nace2/4644</t>
  </si>
  <si>
    <t>4645</t>
  </si>
  <si>
    <t>46.45 Wholesale of perfume and cosmetics</t>
  </si>
  <si>
    <t>http://data.europa.eu/ux2/nace2/4645</t>
  </si>
  <si>
    <t>4646</t>
  </si>
  <si>
    <t>46.46 Wholesale of pharmaceutical goods</t>
  </si>
  <si>
    <t>http://data.europa.eu/ux2/nace2/4646</t>
  </si>
  <si>
    <t>4647</t>
  </si>
  <si>
    <t>46.47 Wholesale of furniture, carpets and lighting equipment</t>
  </si>
  <si>
    <t>http://data.europa.eu/ux2/nace2/4647</t>
  </si>
  <si>
    <t>4648</t>
  </si>
  <si>
    <t>46.48 Wholesale of watches and jewellery</t>
  </si>
  <si>
    <t>http://data.europa.eu/ux2/nace2/4648</t>
  </si>
  <si>
    <t>4649</t>
  </si>
  <si>
    <t>46.49 Wholesale of other household goods</t>
  </si>
  <si>
    <t>http://data.europa.eu/ux2/nace2/4649</t>
  </si>
  <si>
    <t>4651</t>
  </si>
  <si>
    <t>46.51 Wholesale of computers, computer peripheral equipment and software</t>
  </si>
  <si>
    <t>http://data.europa.eu/ux2/nace2/4651</t>
  </si>
  <si>
    <t>4652</t>
  </si>
  <si>
    <t>46.52 Wholesale of electronic and telecommunications equipment and parts</t>
  </si>
  <si>
    <t>http://data.europa.eu/ux2/nace2/4652</t>
  </si>
  <si>
    <t>4661</t>
  </si>
  <si>
    <t>46.61 Wholesale of agricultural machinery, equipment and supplies</t>
  </si>
  <si>
    <t>http://data.europa.eu/ux2/nace2/4661</t>
  </si>
  <si>
    <t>4662</t>
  </si>
  <si>
    <t>46.62 Wholesale of machine tools</t>
  </si>
  <si>
    <t>http://data.europa.eu/ux2/nace2/4662</t>
  </si>
  <si>
    <t>4663</t>
  </si>
  <si>
    <t>46.63 Wholesale of mining, construction and civil engineering machinery</t>
  </si>
  <si>
    <t>http://data.europa.eu/ux2/nace2/4663</t>
  </si>
  <si>
    <t>4664</t>
  </si>
  <si>
    <t>46.64 Wholesale of machinery for the textile industry and of sewing and knitting machines</t>
  </si>
  <si>
    <t>http://data.europa.eu/ux2/nace2/4664</t>
  </si>
  <si>
    <t>4665</t>
  </si>
  <si>
    <t>46.65 Wholesale of office furniture</t>
  </si>
  <si>
    <t>http://data.europa.eu/ux2/nace2/4665</t>
  </si>
  <si>
    <t>4666</t>
  </si>
  <si>
    <t>46.66 Wholesale of other office machinery and equipment</t>
  </si>
  <si>
    <t>http://data.europa.eu/ux2/nace2/4666</t>
  </si>
  <si>
    <t>4669</t>
  </si>
  <si>
    <t>46.69 Wholesale of other machinery and equipment</t>
  </si>
  <si>
    <t>http://data.europa.eu/ux2/nace2/4669</t>
  </si>
  <si>
    <t>4671</t>
  </si>
  <si>
    <t>46.71 Wholesale of solid, liquid and gaseous fuels and related products</t>
  </si>
  <si>
    <t>http://data.europa.eu/ux2/nace2/4671</t>
  </si>
  <si>
    <t>4672</t>
  </si>
  <si>
    <t>46.72 Wholesale of metals and metal ores</t>
  </si>
  <si>
    <t>http://data.europa.eu/ux2/nace2/4672</t>
  </si>
  <si>
    <t>4673</t>
  </si>
  <si>
    <t>46.73 Wholesale of wood, construction materials and sanitary equipment</t>
  </si>
  <si>
    <t>http://data.europa.eu/ux2/nace2/4673</t>
  </si>
  <si>
    <t>4674</t>
  </si>
  <si>
    <t>46.74 Wholesale of hardware, plumbing and heating equipment and supplies</t>
  </si>
  <si>
    <t>http://data.europa.eu/ux2/nace2/4674</t>
  </si>
  <si>
    <t>4675</t>
  </si>
  <si>
    <t>46.75 Wholesale of chemical products</t>
  </si>
  <si>
    <t>http://data.europa.eu/ux2/nace2/4675</t>
  </si>
  <si>
    <t>4676</t>
  </si>
  <si>
    <t>46.76 Wholesale of other intermediate products</t>
  </si>
  <si>
    <t>http://data.europa.eu/ux2/nace2/4676</t>
  </si>
  <si>
    <t>4677</t>
  </si>
  <si>
    <t>46.77 Wholesale of waste and scrap</t>
  </si>
  <si>
    <t>http://data.europa.eu/ux2/nace2/4677</t>
  </si>
  <si>
    <t>4690</t>
  </si>
  <si>
    <t>46.90 Non-specialised wholesale trade</t>
  </si>
  <si>
    <t>http://data.europa.eu/ux2/nace2/4690</t>
  </si>
  <si>
    <t>4711</t>
  </si>
  <si>
    <t>47.11 Retail sale in non-specialised stores with food, beverages or tobacco predominating</t>
  </si>
  <si>
    <t>http://data.europa.eu/ux2/nace2/4711</t>
  </si>
  <si>
    <t>4719</t>
  </si>
  <si>
    <t>47.19 Other retail sale in non-specialised stores</t>
  </si>
  <si>
    <t>http://data.europa.eu/ux2/nace2/4719</t>
  </si>
  <si>
    <t>4721</t>
  </si>
  <si>
    <t>47.21 Retail sale of fruit and vegetables in specialised stores</t>
  </si>
  <si>
    <t>http://data.europa.eu/ux2/nace2/4721</t>
  </si>
  <si>
    <t>4722</t>
  </si>
  <si>
    <t>47.22 Retail sale of meat and meat products in specialised stores</t>
  </si>
  <si>
    <t>http://data.europa.eu/ux2/nace2/4722</t>
  </si>
  <si>
    <t>4723</t>
  </si>
  <si>
    <t>47.23 Retail sale of fish, crustaceans and molluscs in specialised stores</t>
  </si>
  <si>
    <t>http://data.europa.eu/ux2/nace2/4723</t>
  </si>
  <si>
    <t>4724</t>
  </si>
  <si>
    <t>47.24 Retail sale of bread, cakes, flour confectionery and sugar confectionery in specialised stores</t>
  </si>
  <si>
    <t>http://data.europa.eu/ux2/nace2/4724</t>
  </si>
  <si>
    <t>4725</t>
  </si>
  <si>
    <t>47.25 Retail sale of beverages in specialised stores</t>
  </si>
  <si>
    <t>http://data.europa.eu/ux2/nace2/4725</t>
  </si>
  <si>
    <t>4726</t>
  </si>
  <si>
    <t>47.26 Retail sale of tobacco products in specialised stores</t>
  </si>
  <si>
    <t>http://data.europa.eu/ux2/nace2/4726</t>
  </si>
  <si>
    <t>4729</t>
  </si>
  <si>
    <t>47.29 Other retail sale of food in specialised stores</t>
  </si>
  <si>
    <t>http://data.europa.eu/ux2/nace2/4729</t>
  </si>
  <si>
    <t>4730</t>
  </si>
  <si>
    <t>47.30 Retail sale of automotive fuel in specialised stores</t>
  </si>
  <si>
    <t>http://data.europa.eu/ux2/nace2/4730</t>
  </si>
  <si>
    <t>4741</t>
  </si>
  <si>
    <t>47.41 Retail sale of computers, peripheral units and software in specialised stores</t>
  </si>
  <si>
    <t>http://data.europa.eu/ux2/nace2/4741</t>
  </si>
  <si>
    <t>4742</t>
  </si>
  <si>
    <t>47.42 Retail sale of telecommunications equipment in specialised stores</t>
  </si>
  <si>
    <t>http://data.europa.eu/ux2/nace2/4742</t>
  </si>
  <si>
    <t>4743</t>
  </si>
  <si>
    <t>47.43 Retail sale of audio and video equipment in specialised stores</t>
  </si>
  <si>
    <t>http://data.europa.eu/ux2/nace2/4743</t>
  </si>
  <si>
    <t>4751</t>
  </si>
  <si>
    <t>47.51 Retail sale of textiles in specialised stores</t>
  </si>
  <si>
    <t>http://data.europa.eu/ux2/nace2/4751</t>
  </si>
  <si>
    <t>4752</t>
  </si>
  <si>
    <t>47.52 Retail sale of hardware, paints and glass in specialised stores</t>
  </si>
  <si>
    <t>http://data.europa.eu/ux2/nace2/4752</t>
  </si>
  <si>
    <t>4753</t>
  </si>
  <si>
    <t>47.53 Retail sale of carpets, rugs, wall and floor coverings in specialised stores</t>
  </si>
  <si>
    <t>http://data.europa.eu/ux2/nace2/4753</t>
  </si>
  <si>
    <t>4754</t>
  </si>
  <si>
    <t>47.54 Retail sale of electrical household appliances in specialised stores</t>
  </si>
  <si>
    <t>http://data.europa.eu/ux2/nace2/4754</t>
  </si>
  <si>
    <t>4759</t>
  </si>
  <si>
    <t>47.59 Retail sale of furniture, lighting equipment and other household articles in specialised stores</t>
  </si>
  <si>
    <t>http://data.europa.eu/ux2/nace2/4759</t>
  </si>
  <si>
    <t>4761</t>
  </si>
  <si>
    <t>47.61 Retail sale of books in specialised stores</t>
  </si>
  <si>
    <t>http://data.europa.eu/ux2/nace2/4761</t>
  </si>
  <si>
    <t>4762</t>
  </si>
  <si>
    <t>47.62 Retail sale of newspapers and stationery in specialised stores</t>
  </si>
  <si>
    <t>http://data.europa.eu/ux2/nace2/4762</t>
  </si>
  <si>
    <t>4763</t>
  </si>
  <si>
    <t>47.63 Retail sale of music and video recordings in specialised stores</t>
  </si>
  <si>
    <t>http://data.europa.eu/ux2/nace2/4763</t>
  </si>
  <si>
    <t>4764</t>
  </si>
  <si>
    <t>47.64 Retail sale of sporting equipment in specialised stores</t>
  </si>
  <si>
    <t>http://data.europa.eu/ux2/nace2/4764</t>
  </si>
  <si>
    <t>4765</t>
  </si>
  <si>
    <t>47.65 Retail sale of games and toys in specialised stores</t>
  </si>
  <si>
    <t>http://data.europa.eu/ux2/nace2/4765</t>
  </si>
  <si>
    <t>4771</t>
  </si>
  <si>
    <t>47.71 Retail sale of clothing in specialised stores</t>
  </si>
  <si>
    <t>http://data.europa.eu/ux2/nace2/4771</t>
  </si>
  <si>
    <t>4772</t>
  </si>
  <si>
    <t>47.72 Retail sale of footwear and leather goods in specialised stores</t>
  </si>
  <si>
    <t>http://data.europa.eu/ux2/nace2/4772</t>
  </si>
  <si>
    <t>4773</t>
  </si>
  <si>
    <t>47.73 Dispensing chemist in specialised stores</t>
  </si>
  <si>
    <t>http://data.europa.eu/ux2/nace2/4773</t>
  </si>
  <si>
    <t>4774</t>
  </si>
  <si>
    <t>47.74 Retail sale of medical and orthopaedic goods in specialised stores</t>
  </si>
  <si>
    <t>http://data.europa.eu/ux2/nace2/4774</t>
  </si>
  <si>
    <t>4775</t>
  </si>
  <si>
    <t>47.75 Retail sale of cosmetic and toilet articles in specialised stores</t>
  </si>
  <si>
    <t>http://data.europa.eu/ux2/nace2/4775</t>
  </si>
  <si>
    <t>4776</t>
  </si>
  <si>
    <t>47.76 Retail sale of flowers, plants, seeds, fertilisers, pet animals and pet food in specialised stores</t>
  </si>
  <si>
    <t>http://data.europa.eu/ux2/nace2/4776</t>
  </si>
  <si>
    <t>4777</t>
  </si>
  <si>
    <t>47.77 Retail sale of watches and jewellery in specialised stores</t>
  </si>
  <si>
    <t>http://data.europa.eu/ux2/nace2/4777</t>
  </si>
  <si>
    <t>4778</t>
  </si>
  <si>
    <t>47.78 Other retail sale of new goods in specialised stores</t>
  </si>
  <si>
    <t>http://data.europa.eu/ux2/nace2/4778</t>
  </si>
  <si>
    <t>4779</t>
  </si>
  <si>
    <t>47.79 Retail sale of second-hand goods in stores</t>
  </si>
  <si>
    <t>http://data.europa.eu/ux2/nace2/4779</t>
  </si>
  <si>
    <t>4781</t>
  </si>
  <si>
    <t>47.81 Retail sale via stalls and markets of food, beverages and tobacco products</t>
  </si>
  <si>
    <t>http://data.europa.eu/ux2/nace2/4781</t>
  </si>
  <si>
    <t>4782</t>
  </si>
  <si>
    <t>47.82 Retail sale via stalls and markets of textiles, clothing and footwear</t>
  </si>
  <si>
    <t>http://data.europa.eu/ux2/nace2/4782</t>
  </si>
  <si>
    <t>4789</t>
  </si>
  <si>
    <t>47.89 Retail sale via stalls and markets of other goods</t>
  </si>
  <si>
    <t>http://data.europa.eu/ux2/nace2/4789</t>
  </si>
  <si>
    <t>4791</t>
  </si>
  <si>
    <t>47.91 Retail sale via mail order houses or via Internet</t>
  </si>
  <si>
    <t>http://data.europa.eu/ux2/nace2/4791</t>
  </si>
  <si>
    <t>4799</t>
  </si>
  <si>
    <t>47.99 Other retail sale not in stores, stalls or markets</t>
  </si>
  <si>
    <t>http://data.europa.eu/ux2/nace2/4799</t>
  </si>
  <si>
    <t>4910</t>
  </si>
  <si>
    <t>49.10 Passenger rail transport, interurban</t>
  </si>
  <si>
    <t>http://data.europa.eu/ux2/nace2/4910</t>
  </si>
  <si>
    <t>4920</t>
  </si>
  <si>
    <t>49.20 Freight rail transport</t>
  </si>
  <si>
    <t>http://data.europa.eu/ux2/nace2/4920</t>
  </si>
  <si>
    <t>4931</t>
  </si>
  <si>
    <t>49.31 Urban and suburban passenger land transport</t>
  </si>
  <si>
    <t>http://data.europa.eu/ux2/nace2/4931</t>
  </si>
  <si>
    <t>4932</t>
  </si>
  <si>
    <t>49.32 Taxi operation</t>
  </si>
  <si>
    <t>http://data.europa.eu/ux2/nace2/4932</t>
  </si>
  <si>
    <t>4939</t>
  </si>
  <si>
    <t>49.39 Other passenger land transport n.e.c.</t>
  </si>
  <si>
    <t>http://data.europa.eu/ux2/nace2/4939</t>
  </si>
  <si>
    <t>4941</t>
  </si>
  <si>
    <t>49.41 Freight transport by road</t>
  </si>
  <si>
    <t>http://data.europa.eu/ux2/nace2/4941</t>
  </si>
  <si>
    <t>4942</t>
  </si>
  <si>
    <t>49.42 Removal services</t>
  </si>
  <si>
    <t>http://data.europa.eu/ux2/nace2/4942</t>
  </si>
  <si>
    <t>4950</t>
  </si>
  <si>
    <t>49.50 Transport via pipeline</t>
  </si>
  <si>
    <t>http://data.europa.eu/ux2/nace2/4950</t>
  </si>
  <si>
    <t>5010</t>
  </si>
  <si>
    <t>50.10 Sea and coastal passenger water transport</t>
  </si>
  <si>
    <t>http://data.europa.eu/ux2/nace2/5010</t>
  </si>
  <si>
    <t>5020</t>
  </si>
  <si>
    <t>50.20 Sea and coastal freight water transport</t>
  </si>
  <si>
    <t>http://data.europa.eu/ux2/nace2/5020</t>
  </si>
  <si>
    <t>5030</t>
  </si>
  <si>
    <t>50.30 Inland passenger water transport</t>
  </si>
  <si>
    <t>http://data.europa.eu/ux2/nace2/5030</t>
  </si>
  <si>
    <t>5040</t>
  </si>
  <si>
    <t>50.40 Inland freight water transport</t>
  </si>
  <si>
    <t>http://data.europa.eu/ux2/nace2/5040</t>
  </si>
  <si>
    <t>5110</t>
  </si>
  <si>
    <t>51.10 Passenger air transport</t>
  </si>
  <si>
    <t>http://data.europa.eu/ux2/nace2/5110</t>
  </si>
  <si>
    <t>5121</t>
  </si>
  <si>
    <t>51.21 Freight air transport</t>
  </si>
  <si>
    <t>http://data.europa.eu/ux2/nace2/5121</t>
  </si>
  <si>
    <t>5122</t>
  </si>
  <si>
    <t>51.22 Space transport</t>
  </si>
  <si>
    <t>http://data.europa.eu/ux2/nace2/5122</t>
  </si>
  <si>
    <t>5210</t>
  </si>
  <si>
    <t>52.10 Warehousing and storage</t>
  </si>
  <si>
    <t>http://data.europa.eu/ux2/nace2/5210</t>
  </si>
  <si>
    <t>5221</t>
  </si>
  <si>
    <t>52.21 Service activities incidental to land transportation</t>
  </si>
  <si>
    <t>http://data.europa.eu/ux2/nace2/5221</t>
  </si>
  <si>
    <t>5222</t>
  </si>
  <si>
    <t>52.22 Service activities incidental to water transportation</t>
  </si>
  <si>
    <t>http://data.europa.eu/ux2/nace2/5222</t>
  </si>
  <si>
    <t>5223</t>
  </si>
  <si>
    <t>52.23 Service activities incidental to air transportation</t>
  </si>
  <si>
    <t>http://data.europa.eu/ux2/nace2/5223</t>
  </si>
  <si>
    <t>5224</t>
  </si>
  <si>
    <t>52.24 Cargo handling</t>
  </si>
  <si>
    <t>http://data.europa.eu/ux2/nace2/5224</t>
  </si>
  <si>
    <t>5229</t>
  </si>
  <si>
    <t>52.29 Other transportation support activities</t>
  </si>
  <si>
    <t>http://data.europa.eu/ux2/nace2/5229</t>
  </si>
  <si>
    <t>5310</t>
  </si>
  <si>
    <t>53.10 Postal activities under universal service obligation</t>
  </si>
  <si>
    <t>http://data.europa.eu/ux2/nace2/5310</t>
  </si>
  <si>
    <t>5320</t>
  </si>
  <si>
    <t>53.20 Other postal and courier activities</t>
  </si>
  <si>
    <t>http://data.europa.eu/ux2/nace2/5320</t>
  </si>
  <si>
    <t>5510</t>
  </si>
  <si>
    <t>55.10 Hotels and similar accommodation</t>
  </si>
  <si>
    <t>http://data.europa.eu/ux2/nace2/5510</t>
  </si>
  <si>
    <t>5520</t>
  </si>
  <si>
    <t>55.20 Holiday and other short-stay accommodation</t>
  </si>
  <si>
    <t>http://data.europa.eu/ux2/nace2/5520</t>
  </si>
  <si>
    <t>5530</t>
  </si>
  <si>
    <t>55.30 Camping grounds, recreational vehicle parks and trailer parks</t>
  </si>
  <si>
    <t>http://data.europa.eu/ux2/nace2/5530</t>
  </si>
  <si>
    <t>5590</t>
  </si>
  <si>
    <t>55.90 Other accommodation</t>
  </si>
  <si>
    <t>http://data.europa.eu/ux2/nace2/5590</t>
  </si>
  <si>
    <t>5610</t>
  </si>
  <si>
    <t>56.10 Restaurants and mobile food service activities</t>
  </si>
  <si>
    <t>http://data.europa.eu/ux2/nace2/5610</t>
  </si>
  <si>
    <t>5621</t>
  </si>
  <si>
    <t>56.21 Event catering activities</t>
  </si>
  <si>
    <t>http://data.europa.eu/ux2/nace2/5621</t>
  </si>
  <si>
    <t>5629</t>
  </si>
  <si>
    <t>56.29 Other food service activities</t>
  </si>
  <si>
    <t>http://data.europa.eu/ux2/nace2/5629</t>
  </si>
  <si>
    <t>5630</t>
  </si>
  <si>
    <t>56.30 Beverage serving activities</t>
  </si>
  <si>
    <t>http://data.europa.eu/ux2/nace2/5630</t>
  </si>
  <si>
    <t>5811</t>
  </si>
  <si>
    <t>58.11 Book publishing</t>
  </si>
  <si>
    <t>http://data.europa.eu/ux2/nace2/5811</t>
  </si>
  <si>
    <t>5812</t>
  </si>
  <si>
    <t>58.12 Publishing of directories and mailing lists</t>
  </si>
  <si>
    <t>http://data.europa.eu/ux2/nace2/5812</t>
  </si>
  <si>
    <t>5813</t>
  </si>
  <si>
    <t>58.13 Publishing of newspapers</t>
  </si>
  <si>
    <t>http://data.europa.eu/ux2/nace2/5813</t>
  </si>
  <si>
    <t>5814</t>
  </si>
  <si>
    <t>58.14 Publishing of journals and periodicals</t>
  </si>
  <si>
    <t>http://data.europa.eu/ux2/nace2/5814</t>
  </si>
  <si>
    <t>5819</t>
  </si>
  <si>
    <t>58.19 Other publishing activities</t>
  </si>
  <si>
    <t>http://data.europa.eu/ux2/nace2/5819</t>
  </si>
  <si>
    <t>5821</t>
  </si>
  <si>
    <t>58.21 Publishing of computer games</t>
  </si>
  <si>
    <t>http://data.europa.eu/ux2/nace2/5821</t>
  </si>
  <si>
    <t>5829</t>
  </si>
  <si>
    <t>58.29 Other software publishing</t>
  </si>
  <si>
    <t>http://data.europa.eu/ux2/nace2/5829</t>
  </si>
  <si>
    <t>5911</t>
  </si>
  <si>
    <t>59.11 Motion picture, video and television programme production activities</t>
  </si>
  <si>
    <t>http://data.europa.eu/ux2/nace2/5911</t>
  </si>
  <si>
    <t>5912</t>
  </si>
  <si>
    <t>59.12 Motion picture, video and television programme post-production activities</t>
  </si>
  <si>
    <t>http://data.europa.eu/ux2/nace2/5912</t>
  </si>
  <si>
    <t>5913</t>
  </si>
  <si>
    <t>59.13 Motion picture, video and television programme distribution activities</t>
  </si>
  <si>
    <t>http://data.europa.eu/ux2/nace2/5913</t>
  </si>
  <si>
    <t>5914</t>
  </si>
  <si>
    <t>59.14 Motion picture projection activities</t>
  </si>
  <si>
    <t>http://data.europa.eu/ux2/nace2/5914</t>
  </si>
  <si>
    <t>5920</t>
  </si>
  <si>
    <t>59.20 Sound recording and music publishing activities</t>
  </si>
  <si>
    <t>http://data.europa.eu/ux2/nace2/5920</t>
  </si>
  <si>
    <t>6010</t>
  </si>
  <si>
    <t>60.10 Radio broadcasting</t>
  </si>
  <si>
    <t>http://data.europa.eu/ux2/nace2/6010</t>
  </si>
  <si>
    <t>6020</t>
  </si>
  <si>
    <t>60.20 Television programming and broadcasting activities</t>
  </si>
  <si>
    <t>http://data.europa.eu/ux2/nace2/6020</t>
  </si>
  <si>
    <t>6110</t>
  </si>
  <si>
    <t>61.10 Wired telecommunications activities</t>
  </si>
  <si>
    <t>http://data.europa.eu/ux2/nace2/6110</t>
  </si>
  <si>
    <t>6120</t>
  </si>
  <si>
    <t>61.20 Wireless telecommunications activities</t>
  </si>
  <si>
    <t>http://data.europa.eu/ux2/nace2/6120</t>
  </si>
  <si>
    <t>6130</t>
  </si>
  <si>
    <t>61.30 Satellite telecommunications activities</t>
  </si>
  <si>
    <t>http://data.europa.eu/ux2/nace2/6130</t>
  </si>
  <si>
    <t>6190</t>
  </si>
  <si>
    <t>61.90 Other telecommunications activities</t>
  </si>
  <si>
    <t>http://data.europa.eu/ux2/nace2/6190</t>
  </si>
  <si>
    <t>6201</t>
  </si>
  <si>
    <t>62.01 Computer programming activities</t>
  </si>
  <si>
    <t>http://data.europa.eu/ux2/nace2/6201</t>
  </si>
  <si>
    <t>6202</t>
  </si>
  <si>
    <t>62.02 Computer consultancy activities</t>
  </si>
  <si>
    <t>http://data.europa.eu/ux2/nace2/6202</t>
  </si>
  <si>
    <t>6203</t>
  </si>
  <si>
    <t>62.03 Computer facilities management activities</t>
  </si>
  <si>
    <t>http://data.europa.eu/ux2/nace2/6203</t>
  </si>
  <si>
    <t>6209</t>
  </si>
  <si>
    <t>62.09 Other information technology and computer service activities</t>
  </si>
  <si>
    <t>http://data.europa.eu/ux2/nace2/6209</t>
  </si>
  <si>
    <t>6311</t>
  </si>
  <si>
    <t>63.11 Data processing, hosting and related activities</t>
  </si>
  <si>
    <t>http://data.europa.eu/ux2/nace2/6311</t>
  </si>
  <si>
    <t>6312</t>
  </si>
  <si>
    <t>63.12 Web portals</t>
  </si>
  <si>
    <t>http://data.europa.eu/ux2/nace2/6312</t>
  </si>
  <si>
    <t>6391</t>
  </si>
  <si>
    <t>63.91 News agency activities</t>
  </si>
  <si>
    <t>http://data.europa.eu/ux2/nace2/6391</t>
  </si>
  <si>
    <t>6399</t>
  </si>
  <si>
    <t>63.99 Other information service activities n.e.c.</t>
  </si>
  <si>
    <t>http://data.europa.eu/ux2/nace2/6399</t>
  </si>
  <si>
    <t>6411</t>
  </si>
  <si>
    <t>64.11 Central banking</t>
  </si>
  <si>
    <t>http://data.europa.eu/ux2/nace2/6411</t>
  </si>
  <si>
    <t>6419</t>
  </si>
  <si>
    <t>64.19 Other monetary intermediation</t>
  </si>
  <si>
    <t>http://data.europa.eu/ux2/nace2/6419</t>
  </si>
  <si>
    <t>6420</t>
  </si>
  <si>
    <t>64.20 Activities of holding companies</t>
  </si>
  <si>
    <t>http://data.europa.eu/ux2/nace2/6420</t>
  </si>
  <si>
    <t>6430</t>
  </si>
  <si>
    <t>64.30 Trusts, funds and similar financial entities</t>
  </si>
  <si>
    <t>http://data.europa.eu/ux2/nace2/6430</t>
  </si>
  <si>
    <t>6491</t>
  </si>
  <si>
    <t>64.91 Financial leasing</t>
  </si>
  <si>
    <t>http://data.europa.eu/ux2/nace2/6491</t>
  </si>
  <si>
    <t>6492</t>
  </si>
  <si>
    <t>64.92 Other credit granting</t>
  </si>
  <si>
    <t>http://data.europa.eu/ux2/nace2/6492</t>
  </si>
  <si>
    <t>6499</t>
  </si>
  <si>
    <t>64.99 Other financial service activities, except insurance and pension funding n.e.c.</t>
  </si>
  <si>
    <t>http://data.europa.eu/ux2/nace2/6499</t>
  </si>
  <si>
    <t>6511</t>
  </si>
  <si>
    <t>65.11 Life insurance</t>
  </si>
  <si>
    <t>http://data.europa.eu/ux2/nace2/6511</t>
  </si>
  <si>
    <t>6512</t>
  </si>
  <si>
    <t>65.12 Non-life insurance</t>
  </si>
  <si>
    <t>http://data.europa.eu/ux2/nace2/6512</t>
  </si>
  <si>
    <t>6520</t>
  </si>
  <si>
    <t>65.20 Reinsurance</t>
  </si>
  <si>
    <t>http://data.europa.eu/ux2/nace2/6520</t>
  </si>
  <si>
    <t>6530</t>
  </si>
  <si>
    <t>65.30 Pension funding</t>
  </si>
  <si>
    <t>http://data.europa.eu/ux2/nace2/6530</t>
  </si>
  <si>
    <t>6611</t>
  </si>
  <si>
    <t>66.11 Administration of financial markets</t>
  </si>
  <si>
    <t>http://data.europa.eu/ux2/nace2/6611</t>
  </si>
  <si>
    <t>6612</t>
  </si>
  <si>
    <t>66.12 Security and commodity contracts brokerage</t>
  </si>
  <si>
    <t>http://data.europa.eu/ux2/nace2/6612</t>
  </si>
  <si>
    <t>6619</t>
  </si>
  <si>
    <t>66.19 Other activities auxiliary to financial services, except insurance and pension funding</t>
  </si>
  <si>
    <t>http://data.europa.eu/ux2/nace2/6619</t>
  </si>
  <si>
    <t>6621</t>
  </si>
  <si>
    <t>66.21 Risk and damage evaluation</t>
  </si>
  <si>
    <t>http://data.europa.eu/ux2/nace2/6621</t>
  </si>
  <si>
    <t>6622</t>
  </si>
  <si>
    <t>66.22 Activities of insurance agents and brokers</t>
  </si>
  <si>
    <t>http://data.europa.eu/ux2/nace2/6622</t>
  </si>
  <si>
    <t>6629</t>
  </si>
  <si>
    <t>66.29 Other activities auxiliary to insurance and pension funding</t>
  </si>
  <si>
    <t>http://data.europa.eu/ux2/nace2/6629</t>
  </si>
  <si>
    <t>6630</t>
  </si>
  <si>
    <t>66.30 Fund management activities</t>
  </si>
  <si>
    <t>http://data.europa.eu/ux2/nace2/6630</t>
  </si>
  <si>
    <t>6810</t>
  </si>
  <si>
    <t>68.10 Buying and selling of own real estate</t>
  </si>
  <si>
    <t>http://data.europa.eu/ux2/nace2/6810</t>
  </si>
  <si>
    <t>6820</t>
  </si>
  <si>
    <t>68.20 Rental and operating of own or leased real estate</t>
  </si>
  <si>
    <t>http://data.europa.eu/ux2/nace2/6820</t>
  </si>
  <si>
    <t>6831</t>
  </si>
  <si>
    <t>68.31 Real estate agencies</t>
  </si>
  <si>
    <t>http://data.europa.eu/ux2/nace2/6831</t>
  </si>
  <si>
    <t>6832</t>
  </si>
  <si>
    <t>68.32 Management of real estate on a fee or contract basis</t>
  </si>
  <si>
    <t>http://data.europa.eu/ux2/nace2/6832</t>
  </si>
  <si>
    <t>6910</t>
  </si>
  <si>
    <t>69.10 Legal activities</t>
  </si>
  <si>
    <t>http://data.europa.eu/ux2/nace2/6910</t>
  </si>
  <si>
    <t>6920</t>
  </si>
  <si>
    <t>69.20 Accounting, bookkeeping and auditing activities; tax consultancy</t>
  </si>
  <si>
    <t>http://data.europa.eu/ux2/nace2/6920</t>
  </si>
  <si>
    <t>7010</t>
  </si>
  <si>
    <t>70.10 Activities of head offices</t>
  </si>
  <si>
    <t>http://data.europa.eu/ux2/nace2/7010</t>
  </si>
  <si>
    <t>7021</t>
  </si>
  <si>
    <t>70.21 Public relations and communication activities</t>
  </si>
  <si>
    <t>http://data.europa.eu/ux2/nace2/7021</t>
  </si>
  <si>
    <t>7022</t>
  </si>
  <si>
    <t>70.22 Business and other management consultancy activities</t>
  </si>
  <si>
    <t>http://data.europa.eu/ux2/nace2/7022</t>
  </si>
  <si>
    <t>7111</t>
  </si>
  <si>
    <t>71.11 Architectural activities</t>
  </si>
  <si>
    <t>http://data.europa.eu/ux2/nace2/7111</t>
  </si>
  <si>
    <t>7112</t>
  </si>
  <si>
    <t>71.12 Engineering activities and related technical consultancy</t>
  </si>
  <si>
    <t>http://data.europa.eu/ux2/nace2/7112</t>
  </si>
  <si>
    <t>7120</t>
  </si>
  <si>
    <t>71.20 Technical testing and analysis</t>
  </si>
  <si>
    <t>http://data.europa.eu/ux2/nace2/7120</t>
  </si>
  <si>
    <t>7211</t>
  </si>
  <si>
    <t>72.11 Research and experimental development on biotechnology</t>
  </si>
  <si>
    <t>http://data.europa.eu/ux2/nace2/7211</t>
  </si>
  <si>
    <t>7219</t>
  </si>
  <si>
    <t>72.19 Other research and experimental development on natural sciences and engineering</t>
  </si>
  <si>
    <t>http://data.europa.eu/ux2/nace2/7219</t>
  </si>
  <si>
    <t>7220</t>
  </si>
  <si>
    <t>72.20 Research and experimental development on social sciences and humanities</t>
  </si>
  <si>
    <t>http://data.europa.eu/ux2/nace2/7220</t>
  </si>
  <si>
    <t>7311</t>
  </si>
  <si>
    <t>73.11 Advertising agencies</t>
  </si>
  <si>
    <t>http://data.europa.eu/ux2/nace2/7311</t>
  </si>
  <si>
    <t>7312</t>
  </si>
  <si>
    <t>73.12 Media representation</t>
  </si>
  <si>
    <t>http://data.europa.eu/ux2/nace2/7312</t>
  </si>
  <si>
    <t>7320</t>
  </si>
  <si>
    <t>73.20 Market research and public opinion polling</t>
  </si>
  <si>
    <t>http://data.europa.eu/ux2/nace2/7320</t>
  </si>
  <si>
    <t>7410</t>
  </si>
  <si>
    <t>74.10 Specialised design activities</t>
  </si>
  <si>
    <t>http://data.europa.eu/ux2/nace2/7410</t>
  </si>
  <si>
    <t>7420</t>
  </si>
  <si>
    <t>74.20 Photographic activities</t>
  </si>
  <si>
    <t>http://data.europa.eu/ux2/nace2/7420</t>
  </si>
  <si>
    <t>7430</t>
  </si>
  <si>
    <t>74.30 Translation and interpretation activities</t>
  </si>
  <si>
    <t>http://data.europa.eu/ux2/nace2/7430</t>
  </si>
  <si>
    <t>7490</t>
  </si>
  <si>
    <t>74.90 Other professional, scientific and technical activities n.e.c.</t>
  </si>
  <si>
    <t>http://data.europa.eu/ux2/nace2/7490</t>
  </si>
  <si>
    <t>7500</t>
  </si>
  <si>
    <t>75.00 Veterinary activities</t>
  </si>
  <si>
    <t>http://data.europa.eu/ux2/nace2/7500</t>
  </si>
  <si>
    <t>7711</t>
  </si>
  <si>
    <t>77.11 Rental and leasing of cars and light motor vehicles</t>
  </si>
  <si>
    <t>http://data.europa.eu/ux2/nace2/7711</t>
  </si>
  <si>
    <t>7712</t>
  </si>
  <si>
    <t>77.12 Rental and leasing of trucks</t>
  </si>
  <si>
    <t>http://data.europa.eu/ux2/nace2/7712</t>
  </si>
  <si>
    <t>7721</t>
  </si>
  <si>
    <t>77.21 Rental and leasing of recreational and sports goods</t>
  </si>
  <si>
    <t>http://data.europa.eu/ux2/nace2/7721</t>
  </si>
  <si>
    <t>7722</t>
  </si>
  <si>
    <t>77.22 Rental of video tapes and disks</t>
  </si>
  <si>
    <t>http://data.europa.eu/ux2/nace2/7722</t>
  </si>
  <si>
    <t>7729</t>
  </si>
  <si>
    <t>77.29 Rental and leasing of other personal and household goods</t>
  </si>
  <si>
    <t>http://data.europa.eu/ux2/nace2/7729</t>
  </si>
  <si>
    <t>7731</t>
  </si>
  <si>
    <t>77.31 Rental and leasing of agricultural machinery and equipment</t>
  </si>
  <si>
    <t>http://data.europa.eu/ux2/nace2/7731</t>
  </si>
  <si>
    <t>7732</t>
  </si>
  <si>
    <t>77.32 Rental and leasing of construction and civil engineering machinery and equipment</t>
  </si>
  <si>
    <t>http://data.europa.eu/ux2/nace2/7732</t>
  </si>
  <si>
    <t>7733</t>
  </si>
  <si>
    <t>77.33 Rental and leasing of office machinery and equipment (including computers)</t>
  </si>
  <si>
    <t>http://data.europa.eu/ux2/nace2/7733</t>
  </si>
  <si>
    <t>7734</t>
  </si>
  <si>
    <t>77.34 Rental and leasing of water transport equipment</t>
  </si>
  <si>
    <t>http://data.europa.eu/ux2/nace2/7734</t>
  </si>
  <si>
    <t>7735</t>
  </si>
  <si>
    <t>77.35 Rental and leasing of air transport equipment</t>
  </si>
  <si>
    <t>http://data.europa.eu/ux2/nace2/7735</t>
  </si>
  <si>
    <t>7739</t>
  </si>
  <si>
    <t>77.39 Rental and leasing of other machinery, equipment and tangible goods n.e.c.</t>
  </si>
  <si>
    <t>http://data.europa.eu/ux2/nace2/7739</t>
  </si>
  <si>
    <t>7740</t>
  </si>
  <si>
    <t>77.40 Leasing of intellectual property and similar products, except copyrighted works</t>
  </si>
  <si>
    <t>http://data.europa.eu/ux2/nace2/7740</t>
  </si>
  <si>
    <t>7810</t>
  </si>
  <si>
    <t>78.10 Activities of employment placement agencies</t>
  </si>
  <si>
    <t>http://data.europa.eu/ux2/nace2/7810</t>
  </si>
  <si>
    <t>7820</t>
  </si>
  <si>
    <t>78.20 Temporary employment agency activities</t>
  </si>
  <si>
    <t>http://data.europa.eu/ux2/nace2/7820</t>
  </si>
  <si>
    <t>7830</t>
  </si>
  <si>
    <t>78.30 Other human resources provision</t>
  </si>
  <si>
    <t>http://data.europa.eu/ux2/nace2/7830</t>
  </si>
  <si>
    <t>7911</t>
  </si>
  <si>
    <t>79.11 Travel agency activities</t>
  </si>
  <si>
    <t>http://data.europa.eu/ux2/nace2/7911</t>
  </si>
  <si>
    <t>7912</t>
  </si>
  <si>
    <t>79.12 Tour operator activities</t>
  </si>
  <si>
    <t>http://data.europa.eu/ux2/nace2/7912</t>
  </si>
  <si>
    <t>7990</t>
  </si>
  <si>
    <t>79.90 Other reservation service and related activities</t>
  </si>
  <si>
    <t>http://data.europa.eu/ux2/nace2/7990</t>
  </si>
  <si>
    <t>8010</t>
  </si>
  <si>
    <t>80.10 Private security activities</t>
  </si>
  <si>
    <t>http://data.europa.eu/ux2/nace2/8010</t>
  </si>
  <si>
    <t>8020</t>
  </si>
  <si>
    <t>80.20 Security systems service activities</t>
  </si>
  <si>
    <t>http://data.europa.eu/ux2/nace2/8020</t>
  </si>
  <si>
    <t>8030</t>
  </si>
  <si>
    <t>80.30 Investigation activities</t>
  </si>
  <si>
    <t>http://data.europa.eu/ux2/nace2/8030</t>
  </si>
  <si>
    <t>8110</t>
  </si>
  <si>
    <t>81.10 Combined facilities support activities</t>
  </si>
  <si>
    <t>http://data.europa.eu/ux2/nace2/8110</t>
  </si>
  <si>
    <t>8121</t>
  </si>
  <si>
    <t>81.21 General cleaning of buildings</t>
  </si>
  <si>
    <t>http://data.europa.eu/ux2/nace2/8121</t>
  </si>
  <si>
    <t>8122</t>
  </si>
  <si>
    <t>81.22 Other building and industrial cleaning activities</t>
  </si>
  <si>
    <t>http://data.europa.eu/ux2/nace2/8122</t>
  </si>
  <si>
    <t>8129</t>
  </si>
  <si>
    <t>81.29 Other cleaning activities</t>
  </si>
  <si>
    <t>http://data.europa.eu/ux2/nace2/8129</t>
  </si>
  <si>
    <t>8130</t>
  </si>
  <si>
    <t>81.30 Landscape service activities</t>
  </si>
  <si>
    <t>http://data.europa.eu/ux2/nace2/8130</t>
  </si>
  <si>
    <t>8211</t>
  </si>
  <si>
    <t>82.11 Combined office administrative service activities</t>
  </si>
  <si>
    <t>http://data.europa.eu/ux2/nace2/8211</t>
  </si>
  <si>
    <t>8219</t>
  </si>
  <si>
    <t>82.19 Photocopying, document preparation and other specialised office support activities</t>
  </si>
  <si>
    <t>http://data.europa.eu/ux2/nace2/8219</t>
  </si>
  <si>
    <t>8220</t>
  </si>
  <si>
    <t>82.20 Activities of call centres</t>
  </si>
  <si>
    <t>http://data.europa.eu/ux2/nace2/8220</t>
  </si>
  <si>
    <t>8230</t>
  </si>
  <si>
    <t>82.30 Organisation of conventions and trade shows</t>
  </si>
  <si>
    <t>http://data.europa.eu/ux2/nace2/8230</t>
  </si>
  <si>
    <t>8291</t>
  </si>
  <si>
    <t>82.91 Activities of collection agencies and credit bureaus</t>
  </si>
  <si>
    <t>http://data.europa.eu/ux2/nace2/8291</t>
  </si>
  <si>
    <t>8292</t>
  </si>
  <si>
    <t>82.92 Packaging activities</t>
  </si>
  <si>
    <t>http://data.europa.eu/ux2/nace2/8292</t>
  </si>
  <si>
    <t>8299</t>
  </si>
  <si>
    <t>82.99 Other business support service activities n.e.c.</t>
  </si>
  <si>
    <t>http://data.europa.eu/ux2/nace2/8299</t>
  </si>
  <si>
    <t>8411</t>
  </si>
  <si>
    <t>84.11 General public administration activities</t>
  </si>
  <si>
    <t>http://data.europa.eu/ux2/nace2/8411</t>
  </si>
  <si>
    <t>8412</t>
  </si>
  <si>
    <t>84.12 Regulation of the activities of providing health care, education, cultural services and other social services, excluding social security</t>
  </si>
  <si>
    <t>http://data.europa.eu/ux2/nace2/8412</t>
  </si>
  <si>
    <t>8413</t>
  </si>
  <si>
    <t>84.13 Regulation of and contribution to more efficient operation of businesses</t>
  </si>
  <si>
    <t>http://data.europa.eu/ux2/nace2/8413</t>
  </si>
  <si>
    <t>8421</t>
  </si>
  <si>
    <t>84.21 Foreign affairs</t>
  </si>
  <si>
    <t>http://data.europa.eu/ux2/nace2/8421</t>
  </si>
  <si>
    <t>8422</t>
  </si>
  <si>
    <t>84.22 Defence activities</t>
  </si>
  <si>
    <t>http://data.europa.eu/ux2/nace2/8422</t>
  </si>
  <si>
    <t>8423</t>
  </si>
  <si>
    <t>84.23 Justice and judicial activities</t>
  </si>
  <si>
    <t>http://data.europa.eu/ux2/nace2/8423</t>
  </si>
  <si>
    <t>8424</t>
  </si>
  <si>
    <t>84.24 Public order and safety activities</t>
  </si>
  <si>
    <t>http://data.europa.eu/ux2/nace2/8424</t>
  </si>
  <si>
    <t>8425</t>
  </si>
  <si>
    <t>84.25 Fire service activities</t>
  </si>
  <si>
    <t>http://data.europa.eu/ux2/nace2/8425</t>
  </si>
  <si>
    <t>8430</t>
  </si>
  <si>
    <t>84.30 Compulsory social security activities</t>
  </si>
  <si>
    <t>http://data.europa.eu/ux2/nace2/8430</t>
  </si>
  <si>
    <t>8510</t>
  </si>
  <si>
    <t>85.10 Pre-primary education</t>
  </si>
  <si>
    <t>http://data.europa.eu/ux2/nace2/8510</t>
  </si>
  <si>
    <t>8520</t>
  </si>
  <si>
    <t>85.20 Primary education</t>
  </si>
  <si>
    <t>http://data.europa.eu/ux2/nace2/8520</t>
  </si>
  <si>
    <t>8531</t>
  </si>
  <si>
    <t>85.31 General secondary education</t>
  </si>
  <si>
    <t>http://data.europa.eu/ux2/nace2/8531</t>
  </si>
  <si>
    <t>8532</t>
  </si>
  <si>
    <t>85.32 Technical and vocational secondary education</t>
  </si>
  <si>
    <t>http://data.europa.eu/ux2/nace2/8532</t>
  </si>
  <si>
    <t>8541</t>
  </si>
  <si>
    <t>85.41 Post-secondary non-tertiary education</t>
  </si>
  <si>
    <t>http://data.europa.eu/ux2/nace2/8541</t>
  </si>
  <si>
    <t>8542</t>
  </si>
  <si>
    <t>85.42 Tertiary education</t>
  </si>
  <si>
    <t>http://data.europa.eu/ux2/nace2/8542</t>
  </si>
  <si>
    <t>8551</t>
  </si>
  <si>
    <t>85.51 Sports and recreation education</t>
  </si>
  <si>
    <t>http://data.europa.eu/ux2/nace2/8551</t>
  </si>
  <si>
    <t>8552</t>
  </si>
  <si>
    <t>85.52 Cultural education</t>
  </si>
  <si>
    <t>http://data.europa.eu/ux2/nace2/8552</t>
  </si>
  <si>
    <t>8553</t>
  </si>
  <si>
    <t>85.53 Driving school activities</t>
  </si>
  <si>
    <t>http://data.europa.eu/ux2/nace2/8553</t>
  </si>
  <si>
    <t>8559</t>
  </si>
  <si>
    <t>85.59 Other education n.e.c.</t>
  </si>
  <si>
    <t>http://data.europa.eu/ux2/nace2/8559</t>
  </si>
  <si>
    <t>8560</t>
  </si>
  <si>
    <t>85.60 Educational support activities</t>
  </si>
  <si>
    <t>http://data.europa.eu/ux2/nace2/8560</t>
  </si>
  <si>
    <t>8610</t>
  </si>
  <si>
    <t>86.10 Hospital activities</t>
  </si>
  <si>
    <t>http://data.europa.eu/ux2/nace2/8610</t>
  </si>
  <si>
    <t>8621</t>
  </si>
  <si>
    <t>86.21 General medical practice activities</t>
  </si>
  <si>
    <t>http://data.europa.eu/ux2/nace2/8621</t>
  </si>
  <si>
    <t>8622</t>
  </si>
  <si>
    <t>86.22 Specialist medical practice activities</t>
  </si>
  <si>
    <t>http://data.europa.eu/ux2/nace2/8622</t>
  </si>
  <si>
    <t>8623</t>
  </si>
  <si>
    <t>86.23 Dental practice activities</t>
  </si>
  <si>
    <t>http://data.europa.eu/ux2/nace2/8623</t>
  </si>
  <si>
    <t>8690</t>
  </si>
  <si>
    <t>86.90 Other human health activities</t>
  </si>
  <si>
    <t>http://data.europa.eu/ux2/nace2/8690</t>
  </si>
  <si>
    <t>8710</t>
  </si>
  <si>
    <t>87.10 Residential nursing care activities</t>
  </si>
  <si>
    <t>http://data.europa.eu/ux2/nace2/8710</t>
  </si>
  <si>
    <t>8720</t>
  </si>
  <si>
    <t>87.20 Residential care activities for mental retardation, mental health and substance abuse</t>
  </si>
  <si>
    <t>http://data.europa.eu/ux2/nace2/8720</t>
  </si>
  <si>
    <t>8730</t>
  </si>
  <si>
    <t>87.30 Residential care activities for the elderly and disabled</t>
  </si>
  <si>
    <t>http://data.europa.eu/ux2/nace2/8730</t>
  </si>
  <si>
    <t>8790</t>
  </si>
  <si>
    <t>87.90 Other residential care activities</t>
  </si>
  <si>
    <t>http://data.europa.eu/ux2/nace2/8790</t>
  </si>
  <si>
    <t>8810</t>
  </si>
  <si>
    <t>88.10 Social work activities without accommodation for the elderly and disabled</t>
  </si>
  <si>
    <t>http://data.europa.eu/ux2/nace2/8810</t>
  </si>
  <si>
    <t>8891</t>
  </si>
  <si>
    <t>88.91 Child day-care activities</t>
  </si>
  <si>
    <t>http://data.europa.eu/ux2/nace2/8891</t>
  </si>
  <si>
    <t>8899</t>
  </si>
  <si>
    <t>88.99 Other social work activities without accommodation n.e.c.</t>
  </si>
  <si>
    <t>http://data.europa.eu/ux2/nace2/8899</t>
  </si>
  <si>
    <t>9001</t>
  </si>
  <si>
    <t>90.01 Performing arts</t>
  </si>
  <si>
    <t>http://data.europa.eu/ux2/nace2/9001</t>
  </si>
  <si>
    <t>9002</t>
  </si>
  <si>
    <t>90.02 Support activities to performing arts</t>
  </si>
  <si>
    <t>http://data.europa.eu/ux2/nace2/9002</t>
  </si>
  <si>
    <t>9003</t>
  </si>
  <si>
    <t>90.03 Artistic creation</t>
  </si>
  <si>
    <t>http://data.europa.eu/ux2/nace2/9003</t>
  </si>
  <si>
    <t>9004</t>
  </si>
  <si>
    <t>90.04 Operation of arts facilities</t>
  </si>
  <si>
    <t>http://data.europa.eu/ux2/nace2/9004</t>
  </si>
  <si>
    <t>9101</t>
  </si>
  <si>
    <t>91.01 Library and archives activities</t>
  </si>
  <si>
    <t>http://data.europa.eu/ux2/nace2/9101</t>
  </si>
  <si>
    <t>9102</t>
  </si>
  <si>
    <t>91.02 Museums activities</t>
  </si>
  <si>
    <t>http://data.europa.eu/ux2/nace2/9102</t>
  </si>
  <si>
    <t>9103</t>
  </si>
  <si>
    <t>91.03 Operation of historical sites and buildings and similar visitor attractions</t>
  </si>
  <si>
    <t>http://data.europa.eu/ux2/nace2/9103</t>
  </si>
  <si>
    <t>9104</t>
  </si>
  <si>
    <t>91.04 Botanical and zoological gardens and nature reserves activities</t>
  </si>
  <si>
    <t>http://data.europa.eu/ux2/nace2/9104</t>
  </si>
  <si>
    <t>9200</t>
  </si>
  <si>
    <t>92.00 Gambling and betting activities</t>
  </si>
  <si>
    <t>http://data.europa.eu/ux2/nace2/9200</t>
  </si>
  <si>
    <t>9311</t>
  </si>
  <si>
    <t>93.11 Operation of sports facilities</t>
  </si>
  <si>
    <t>http://data.europa.eu/ux2/nace2/9311</t>
  </si>
  <si>
    <t>9312</t>
  </si>
  <si>
    <t>93.12 Activities of sports clubs</t>
  </si>
  <si>
    <t>http://data.europa.eu/ux2/nace2/9312</t>
  </si>
  <si>
    <t>9313</t>
  </si>
  <si>
    <t>93.13 Fitness facilities</t>
  </si>
  <si>
    <t>http://data.europa.eu/ux2/nace2/9313</t>
  </si>
  <si>
    <t>9319</t>
  </si>
  <si>
    <t>93.19 Other sports activities</t>
  </si>
  <si>
    <t>http://data.europa.eu/ux2/nace2/9319</t>
  </si>
  <si>
    <t>9321</t>
  </si>
  <si>
    <t>93.21 Activities of amusement parks and theme parks</t>
  </si>
  <si>
    <t>http://data.europa.eu/ux2/nace2/9321</t>
  </si>
  <si>
    <t>9329</t>
  </si>
  <si>
    <t>93.29 Other amusement and recreation activities</t>
  </si>
  <si>
    <t>http://data.europa.eu/ux2/nace2/9329</t>
  </si>
  <si>
    <t>9411</t>
  </si>
  <si>
    <t>94.11 Activities of business and employers membership organisations</t>
  </si>
  <si>
    <t>http://data.europa.eu/ux2/nace2/9411</t>
  </si>
  <si>
    <t>9412</t>
  </si>
  <si>
    <t>94.12 Activities of professional membership organisations</t>
  </si>
  <si>
    <t>http://data.europa.eu/ux2/nace2/9412</t>
  </si>
  <si>
    <t>9420</t>
  </si>
  <si>
    <t>94.20 Activities of trade unions</t>
  </si>
  <si>
    <t>http://data.europa.eu/ux2/nace2/9420</t>
  </si>
  <si>
    <t>9491</t>
  </si>
  <si>
    <t>94.91 Activities of religious organisations</t>
  </si>
  <si>
    <t>http://data.europa.eu/ux2/nace2/9491</t>
  </si>
  <si>
    <t>9492</t>
  </si>
  <si>
    <t>94.92 Activities of political organisations</t>
  </si>
  <si>
    <t>http://data.europa.eu/ux2/nace2/9492</t>
  </si>
  <si>
    <t>9499</t>
  </si>
  <si>
    <t>94.99 Activities of other membership organisations n.e.c.</t>
  </si>
  <si>
    <t>http://data.europa.eu/ux2/nace2/9499</t>
  </si>
  <si>
    <t>9511</t>
  </si>
  <si>
    <t>95.11 Repair of computers and peripheral equipment</t>
  </si>
  <si>
    <t>http://data.europa.eu/ux2/nace2/9511</t>
  </si>
  <si>
    <t>9512</t>
  </si>
  <si>
    <t>95.12 Repair of communication equipment</t>
  </si>
  <si>
    <t>http://data.europa.eu/ux2/nace2/9512</t>
  </si>
  <si>
    <t>9521</t>
  </si>
  <si>
    <t>95.21 Repair of consumer electronics</t>
  </si>
  <si>
    <t>http://data.europa.eu/ux2/nace2/9521</t>
  </si>
  <si>
    <t>9522</t>
  </si>
  <si>
    <t>95.22 Repair of household appliances and home and garden equipment</t>
  </si>
  <si>
    <t>http://data.europa.eu/ux2/nace2/9522</t>
  </si>
  <si>
    <t>9523</t>
  </si>
  <si>
    <t>95.23 Repair of footwear and leather goods</t>
  </si>
  <si>
    <t>http://data.europa.eu/ux2/nace2/9523</t>
  </si>
  <si>
    <t>9524</t>
  </si>
  <si>
    <t>95.24 Repair of furniture and home furnishings</t>
  </si>
  <si>
    <t>http://data.europa.eu/ux2/nace2/9524</t>
  </si>
  <si>
    <t>9525</t>
  </si>
  <si>
    <t>95.25 Repair of watches, clocks and jewellery</t>
  </si>
  <si>
    <t>http://data.europa.eu/ux2/nace2/9525</t>
  </si>
  <si>
    <t>9529</t>
  </si>
  <si>
    <t>95.29 Repair of other personal and household goods</t>
  </si>
  <si>
    <t>http://data.europa.eu/ux2/nace2/9529</t>
  </si>
  <si>
    <t>9601</t>
  </si>
  <si>
    <t>96.01 Washing and (dry-)cleaning of textile and fur products</t>
  </si>
  <si>
    <t>http://data.europa.eu/ux2/nace2/9601</t>
  </si>
  <si>
    <t>9602</t>
  </si>
  <si>
    <t>96.02 Hairdressing and other beauty treatment</t>
  </si>
  <si>
    <t>http://data.europa.eu/ux2/nace2/9602</t>
  </si>
  <si>
    <t>9603</t>
  </si>
  <si>
    <t>96.03 Funeral and related activities</t>
  </si>
  <si>
    <t>http://data.europa.eu/ux2/nace2/9603</t>
  </si>
  <si>
    <t>9604</t>
  </si>
  <si>
    <t>96.04 Physical well-being activities</t>
  </si>
  <si>
    <t>http://data.europa.eu/ux2/nace2/9604</t>
  </si>
  <si>
    <t>9609</t>
  </si>
  <si>
    <t>96.09 Other personal service activities n.e.c.</t>
  </si>
  <si>
    <t>http://data.europa.eu/ux2/nace2/9609</t>
  </si>
  <si>
    <t>9700</t>
  </si>
  <si>
    <t>97.00 Activities of households as employers of domestic personnel</t>
  </si>
  <si>
    <t>http://data.europa.eu/ux2/nace2/9700</t>
  </si>
  <si>
    <t>9810</t>
  </si>
  <si>
    <t>98.10 Undifferentiated goods-producing activities of private households for own use</t>
  </si>
  <si>
    <t>http://data.europa.eu/ux2/nace2/9810</t>
  </si>
  <si>
    <t>9820</t>
  </si>
  <si>
    <t>98.20 Undifferentiated service-producing activities of private households for own use</t>
  </si>
  <si>
    <t>http://data.europa.eu/ux2/nace2/9820</t>
  </si>
  <si>
    <t>9900</t>
  </si>
  <si>
    <t>99.00 Activities of extraterritorial organisations and bodies</t>
  </si>
  <si>
    <t>http://data.europa.eu/ux2/nace2/9900</t>
  </si>
  <si>
    <t>level</t>
  </si>
  <si>
    <t>name_clean</t>
  </si>
  <si>
    <t>label_original</t>
  </si>
  <si>
    <t>parent_code</t>
  </si>
  <si>
    <t>uri</t>
  </si>
  <si>
    <t>22.2 Manufacture of plastics products</t>
  </si>
  <si>
    <t>nace_level</t>
  </si>
  <si>
    <t>nace_code</t>
  </si>
  <si>
    <t>mapping_quality</t>
  </si>
  <si>
    <t>good</t>
  </si>
  <si>
    <t>Electricity, gas, steam and air conditioning supply</t>
  </si>
  <si>
    <t>approximate</t>
  </si>
  <si>
    <t>Manufacture of refined petroleum products</t>
  </si>
  <si>
    <t>exact</t>
  </si>
  <si>
    <t>Manufacture of coke oven products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</si>
  <si>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</si>
  <si>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</si>
  <si>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</si>
  <si>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Manufacture of basic precious and other non-ferrous metals</t>
  </si>
  <si>
    <t>Manufacture of cement, lime and plaster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</si>
  <si>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</si>
  <si>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</si>
  <si>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</si>
  <si>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</si>
  <si>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abrasive products and non-metallic mineral products n.e.c.</t>
  </si>
  <si>
    <t>Manufacture of articles of concrete, cement and plaster</t>
  </si>
  <si>
    <t>Manufacture of pulp, paper and paperboard</t>
  </si>
  <si>
    <t>Manufacture of basic chemicals, fertilisers and nitrogen compounds, plastics and synthetic rubber in primary forms</t>
  </si>
  <si>
    <t>Remediation activities and other waste management services</t>
  </si>
  <si>
    <t>not_mapped</t>
  </si>
  <si>
    <t>Aluminium production</t>
  </si>
  <si>
    <t>Passenger air transport</t>
  </si>
  <si>
    <t>Freight air transport and space transport</t>
  </si>
  <si>
    <t>broad combined</t>
  </si>
  <si>
    <t>Sea and coastal passenger water transport</t>
  </si>
  <si>
    <t>Sea and coastal freight water transport</t>
  </si>
  <si>
    <t>Not used for regression mapping</t>
  </si>
  <si>
    <t>combined_ets_activities</t>
  </si>
  <si>
    <t>cleaning_action</t>
  </si>
  <si>
    <t>exclusivity_note</t>
  </si>
  <si>
    <t>None</t>
  </si>
  <si>
    <t>Combine ETS activities</t>
  </si>
  <si>
    <t>Combine NACE cat</t>
  </si>
  <si>
    <t>ets_activity_name_combined</t>
  </si>
  <si>
    <t>Production of carbon black, nitric acid, adipic acid, glyoxal and glyoxylic acid, ammonia, bulk chemicals, hydrogen and synthesis gas, soda ash and sodium bicarbonate</t>
  </si>
  <si>
    <t>Metal ore roasting/sintering and production of pig iron/steel</t>
  </si>
  <si>
    <t>nace_label_combined</t>
  </si>
  <si>
    <t>nace_label_original</t>
  </si>
  <si>
    <t>ets_activity_name_original</t>
  </si>
  <si>
    <t>ets_activity_code_combined</t>
  </si>
  <si>
    <t>nace_code_combined</t>
  </si>
  <si>
    <t>mapped_uniq_ets_cnt</t>
  </si>
  <si>
    <t>mapped_uniq_nace_cnt</t>
  </si>
  <si>
    <t>Production of pulp, paper and cardboard</t>
  </si>
  <si>
    <t>Same NACE level-3 code intentionally reused; aggregate ETS rows to this NACE code before regression</t>
  </si>
  <si>
    <t>Exclusive NACE level-1-3 code; no selected parent/child overlap</t>
  </si>
  <si>
    <t>ETS activity is broader than selected NACE level-3 categories; sum NACE rows before regression</t>
  </si>
  <si>
    <t>Production of cement clinker and lime</t>
  </si>
  <si>
    <t>ETS activity is broader than selected NACE level-3 categories; sum NACE rows before regression; NACE 245 Casting of metals omitted because SBS level 3 cannot split ferrous and non-ferrous casting without overlap</t>
  </si>
  <si>
    <t>Production of primary aluminium, secondary aluminium and other non-ferrous metals</t>
  </si>
  <si>
    <t>Same NACE level-3 code intentionally reused; aggregate ETS rows to this NACE code before regression; NACE 245 Casting of metals omitted because SBS level 3 cannot split ferrous and non-ferrous casting without overlap</t>
  </si>
  <si>
    <t>Sea and coastal passenger water transport, Sea and coastal freight water transport</t>
  </si>
  <si>
    <t>Passenger air transport, Freight air transport and space transport</t>
  </si>
  <si>
    <t>Manufacture of refractory products, clay building materials, other porcelain and ceramic products</t>
  </si>
  <si>
    <t>Manufacture of tubes, pipes, hollow profiles and related fittings, of steel, other products of first processing of steel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</si>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</sst>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1"/>
      <name val="Calibri"/>
      <family val="2"/>
    </font>
    <font>
      <sz val="11"/>
      <name val="Calibri"/>
      <family val="2"/>
    </font>
    <font>
      <sz val="11"/>
      <name val="Carlito"/>
      <family val="2"/>
    </font>
    <font>
      <b/>
      <sz val="11"/>
      <name val="Carlito"/>
      <family val="2"/>
    </font>
    <font>
      <sz val="11"/>
      <name val="Calibri"/>
      <family val="2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</cellXfs>
  <cellStyles count="5">
    <cellStyle name="Normal" xfId="0" builtinId="0"/>
    <cellStyle name="Normal 2" xfId="2" xr:uid="{997A4B00-F4EF-4B4D-8852-1B0EF2C32317}"/>
    <cellStyle name="Percent 2" xfId="1" xr:uid="{94C8F1F7-05CF-4995-8647-85B890A0E83A}"/>
    <cellStyle name="Percent 2 2" xfId="4" xr:uid="{8951A3A7-E93B-45BD-BFCF-7B9AD5F7F6C3}"/>
    <cellStyle name="Percent 3" xfId="3" xr:uid="{CE1F91B6-CB96-42F9-A34A-7F81527D4F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B9AD-3968-47D0-82BA-5EADF4A05C2F}">
  <dimension ref="A1:O37"/>
  <sheetViews>
    <sheetView tabSelected="1" workbookViewId="0">
      <selection activeCell="H13" sqref="H13"/>
    </sheetView>
  </sheetViews>
  <sheetFormatPr defaultRowHeight="14.5" x14ac:dyDescent="0.35"/>
  <cols>
    <col min="2" max="2" width="8.7265625" customWidth="1"/>
    <col min="3" max="3" width="37.26953125" customWidth="1"/>
    <col min="4" max="4" width="19.1796875" bestFit="1" customWidth="1"/>
    <col min="5" max="5" width="98" bestFit="1" customWidth="1"/>
    <col min="8" max="8" width="19.453125" bestFit="1" customWidth="1"/>
    <col min="9" max="10" width="8.7265625" customWidth="1"/>
    <col min="11" max="11" width="26.453125" customWidth="1"/>
    <col min="12" max="12" width="46.81640625" customWidth="1"/>
  </cols>
  <sheetData>
    <row r="1" spans="1:15" x14ac:dyDescent="0.35">
      <c r="A1" t="s">
        <v>3308</v>
      </c>
      <c r="B1" t="s">
        <v>3309</v>
      </c>
      <c r="C1" t="s">
        <v>3349</v>
      </c>
      <c r="D1" t="s">
        <v>3352</v>
      </c>
      <c r="E1" t="s">
        <v>3348</v>
      </c>
      <c r="F1" t="s">
        <v>3353</v>
      </c>
      <c r="G1" t="s">
        <v>3339</v>
      </c>
      <c r="H1" t="s">
        <v>3340</v>
      </c>
      <c r="I1" t="s">
        <v>340</v>
      </c>
      <c r="J1" t="s">
        <v>3350</v>
      </c>
      <c r="K1" t="s">
        <v>3351</v>
      </c>
      <c r="L1" t="s">
        <v>3345</v>
      </c>
      <c r="M1" t="s">
        <v>3354</v>
      </c>
      <c r="N1" t="s">
        <v>3310</v>
      </c>
      <c r="O1" t="s">
        <v>3341</v>
      </c>
    </row>
    <row r="2" spans="1:15" x14ac:dyDescent="0.35">
      <c r="A2" s="7">
        <f>_xlfn.XLOOKUP(C2,'NACE Rev. All Levels'!$C:$C,'NACE Rev. All Levels'!A:A)</f>
        <v>3</v>
      </c>
      <c r="B2" t="str">
        <f>_xlfn.XLOOKUP(C2,'NACE Rev. All Levels'!$C:$C,'NACE Rev. All Levels'!B:B)</f>
        <v>171</v>
      </c>
      <c r="C2" t="s">
        <v>3328</v>
      </c>
      <c r="D2" s="7" t="str" cm="1">
        <f t="array" ref="D2">_xlfn.TEXTJOIN(", ",TRUE,_xlfn.UNIQUE(_xlfn._xlws.FILTER(B:B,E:E=E2)))</f>
        <v>171</v>
      </c>
      <c r="E2" t="s">
        <v>3328</v>
      </c>
      <c r="F2" s="7" cm="1">
        <f t="array" ref="F2">COUNTA(_xlfn.UNIQUE(_xlfn._xlws.FILTER(L:L,E:E=E2)))</f>
        <v>1</v>
      </c>
      <c r="G2" t="s">
        <v>3355</v>
      </c>
      <c r="H2" t="s">
        <v>3343</v>
      </c>
      <c r="I2" s="7" t="str">
        <f>_xlfn.XLOOKUP(J2,'ETS activities'!B:B,'ETS activities'!A:A)</f>
        <v>35</v>
      </c>
      <c r="J2" t="s">
        <v>37</v>
      </c>
      <c r="K2" t="str" cm="1">
        <f t="array" ref="K2">_xlfn.TEXTJOIN(", ",TRUE,_xlfn.UNIQUE(_xlfn._xlws.FILTER(I:I,L:L=L2)))</f>
        <v>35, 36</v>
      </c>
      <c r="L2" t="s">
        <v>3355</v>
      </c>
      <c r="M2" s="7" cm="1">
        <f t="array" ref="M2">COUNTA(_xlfn.UNIQUE(_xlfn._xlws.FILTER(E:E,L:L=L2)))</f>
        <v>1</v>
      </c>
      <c r="N2" t="s">
        <v>3335</v>
      </c>
      <c r="O2" t="s">
        <v>3356</v>
      </c>
    </row>
    <row r="3" spans="1:15" x14ac:dyDescent="0.35">
      <c r="A3" s="7">
        <f>_xlfn.XLOOKUP(C3,'NACE Rev. All Levels'!$C:$C,'NACE Rev. All Levels'!A:A)</f>
        <v>3</v>
      </c>
      <c r="B3" s="7" t="str">
        <f>_xlfn.XLOOKUP(C3,'NACE Rev. All Levels'!$C:$C,'NACE Rev. All Levels'!B:B)</f>
        <v>171</v>
      </c>
      <c r="C3" t="s">
        <v>3328</v>
      </c>
      <c r="D3" s="7" t="str" cm="1">
        <f t="array" ref="D3">_xlfn.TEXTJOIN(", ",TRUE,_xlfn.UNIQUE(_xlfn._xlws.FILTER(B:B,E:E=E3)))</f>
        <v>171</v>
      </c>
      <c r="E3" t="s">
        <v>3328</v>
      </c>
      <c r="F3" s="7" cm="1">
        <f t="array" ref="F3">COUNTA(_xlfn.UNIQUE(_xlfn._xlws.FILTER(L:L,E:E=E3)))</f>
        <v>1</v>
      </c>
      <c r="G3" t="s">
        <v>3355</v>
      </c>
      <c r="H3" t="s">
        <v>3343</v>
      </c>
      <c r="I3" s="7" t="str">
        <f>_xlfn.XLOOKUP(J3,'ETS activities'!B:B,'ETS activities'!A:A)</f>
        <v>36</v>
      </c>
      <c r="J3" t="s">
        <v>39</v>
      </c>
      <c r="K3" s="7" t="str" cm="1">
        <f t="array" ref="K3">_xlfn.TEXTJOIN(", ",TRUE,_xlfn.UNIQUE(_xlfn._xlws.FILTER(I:I,L:L=L3)))</f>
        <v>35, 36</v>
      </c>
      <c r="L3" t="s">
        <v>3355</v>
      </c>
      <c r="M3" s="7" cm="1">
        <f t="array" ref="M3">COUNTA(_xlfn.UNIQUE(_xlfn._xlws.FILTER(E:E,L:L=L3)))</f>
        <v>1</v>
      </c>
      <c r="N3" t="s">
        <v>3335</v>
      </c>
      <c r="O3" t="s">
        <v>3356</v>
      </c>
    </row>
    <row r="4" spans="1:15" x14ac:dyDescent="0.35">
      <c r="A4" s="7">
        <f>_xlfn.XLOOKUP(C4,'NACE Rev. All Levels'!$C:$C,'NACE Rev. All Levels'!A:A)</f>
        <v>3</v>
      </c>
      <c r="B4" s="7" t="str">
        <f>_xlfn.XLOOKUP(C4,'NACE Rev. All Levels'!$C:$C,'NACE Rev. All Levels'!B:B)</f>
        <v>191</v>
      </c>
      <c r="C4" t="s">
        <v>3316</v>
      </c>
      <c r="D4" s="7" t="str" cm="1">
        <f t="array" ref="D4">_xlfn.TEXTJOIN(", ",TRUE,_xlfn.UNIQUE(_xlfn._xlws.FILTER(B:B,E:E=E4)))</f>
        <v>191</v>
      </c>
      <c r="E4" t="s">
        <v>3316</v>
      </c>
      <c r="F4" s="7" cm="1">
        <f t="array" ref="F4">COUNTA(_xlfn.UNIQUE(_xlfn._xlws.FILTER(L:L,E:E=E4)))</f>
        <v>1</v>
      </c>
      <c r="H4" t="s">
        <v>3342</v>
      </c>
      <c r="I4" s="7" t="str">
        <f>_xlfn.XLOOKUP(J4,'ETS activities'!B:B,'ETS activities'!A:A)</f>
        <v>22</v>
      </c>
      <c r="J4" t="s">
        <v>11</v>
      </c>
      <c r="K4" s="7" t="str" cm="1">
        <f t="array" ref="K4">_xlfn.TEXTJOIN(", ",TRUE,_xlfn.UNIQUE(_xlfn._xlws.FILTER(I:I,L:L=L4)))</f>
        <v>22</v>
      </c>
      <c r="L4" t="s">
        <v>11</v>
      </c>
      <c r="M4" s="7" cm="1">
        <f t="array" ref="M4">COUNTA(_xlfn.UNIQUE(_xlfn._xlws.FILTER(E:E,L:L=L4)))</f>
        <v>1</v>
      </c>
      <c r="N4" t="s">
        <v>3315</v>
      </c>
      <c r="O4" t="s">
        <v>3357</v>
      </c>
    </row>
    <row r="5" spans="1:15" x14ac:dyDescent="0.35">
      <c r="A5" s="7">
        <f>_xlfn.XLOOKUP(C5,'NACE Rev. All Levels'!$C:$C,'NACE Rev. All Levels'!A:A)</f>
        <v>3</v>
      </c>
      <c r="B5" s="7" t="str">
        <f>_xlfn.XLOOKUP(C5,'NACE Rev. All Levels'!$C:$C,'NACE Rev. All Levels'!B:B)</f>
        <v>192</v>
      </c>
      <c r="C5" t="s">
        <v>3314</v>
      </c>
      <c r="D5" s="7" t="str" cm="1">
        <f t="array" ref="D5">_xlfn.TEXTJOIN(", ",TRUE,_xlfn.UNIQUE(_xlfn._xlws.FILTER(B:B,E:E=E5)))</f>
        <v>192</v>
      </c>
      <c r="E5" t="s">
        <v>3314</v>
      </c>
      <c r="F5" s="7" cm="1">
        <f t="array" ref="F5">COUNTA(_xlfn.UNIQUE(_xlfn._xlws.FILTER(L:L,E:E=E5)))</f>
        <v>1</v>
      </c>
      <c r="H5" t="s">
        <v>3342</v>
      </c>
      <c r="I5" s="7" t="str">
        <f>_xlfn.XLOOKUP(J5,'ETS activities'!B:B,'ETS activities'!A:A)</f>
        <v>21</v>
      </c>
      <c r="J5" t="s">
        <v>7</v>
      </c>
      <c r="K5" s="7" t="str" cm="1">
        <f t="array" ref="K5">_xlfn.TEXTJOIN(", ",TRUE,_xlfn.UNIQUE(_xlfn._xlws.FILTER(I:I,L:L=L5)))</f>
        <v>21</v>
      </c>
      <c r="L5" t="s">
        <v>7</v>
      </c>
      <c r="M5" s="7" cm="1">
        <f t="array" ref="M5">COUNTA(_xlfn.UNIQUE(_xlfn._xlws.FILTER(E:E,L:L=L5)))</f>
        <v>1</v>
      </c>
      <c r="N5" t="s">
        <v>3315</v>
      </c>
      <c r="O5" t="s">
        <v>3357</v>
      </c>
    </row>
    <row r="6" spans="1:15" x14ac:dyDescent="0.35">
      <c r="A6" s="7">
        <f>_xlfn.XLOOKUP(C6,'NACE Rev. All Levels'!$C:$C,'NACE Rev. All Levels'!A:A)</f>
        <v>3</v>
      </c>
      <c r="B6" s="7" t="str">
        <f>_xlfn.XLOOKUP(C6,'NACE Rev. All Levels'!$C:$C,'NACE Rev. All Levels'!B:B)</f>
        <v>201</v>
      </c>
      <c r="C6" t="s">
        <v>3329</v>
      </c>
      <c r="D6" s="7" t="str" cm="1">
        <f t="array" ref="D6">_xlfn.TEXTJOIN(", ",TRUE,_xlfn.UNIQUE(_xlfn._xlws.FILTER(B:B,E:E=E6)))</f>
        <v>201</v>
      </c>
      <c r="E6" t="s">
        <v>3329</v>
      </c>
      <c r="F6" s="7" cm="1">
        <f t="array" ref="F6">COUNTA(_xlfn.UNIQUE(_xlfn._xlws.FILTER(L:L,E:E=E6)))</f>
        <v>1</v>
      </c>
      <c r="G6" t="s">
        <v>3346</v>
      </c>
      <c r="H6" t="s">
        <v>3343</v>
      </c>
      <c r="I6" s="7" t="str">
        <f>_xlfn.XLOOKUP(J6,'ETS activities'!B:B,'ETS activities'!A:A)</f>
        <v>37</v>
      </c>
      <c r="J6" t="s">
        <v>41</v>
      </c>
      <c r="K6" s="7" t="str" cm="1">
        <f t="array" ref="K6">_xlfn.TEXTJOIN(", ",TRUE,_xlfn.UNIQUE(_xlfn._xlws.FILTER(I:I,L:L=L6)))</f>
        <v>37, 38, 39, 40, 41, 42, 43, 44</v>
      </c>
      <c r="L6" t="s">
        <v>3346</v>
      </c>
      <c r="M6" s="7" cm="1">
        <f t="array" ref="M6">COUNTA(_xlfn.UNIQUE(_xlfn._xlws.FILTER(E:E,L:L=L6)))</f>
        <v>1</v>
      </c>
      <c r="N6" t="s">
        <v>3335</v>
      </c>
      <c r="O6" t="s">
        <v>3356</v>
      </c>
    </row>
    <row r="7" spans="1:15" x14ac:dyDescent="0.35">
      <c r="A7" s="7">
        <f>_xlfn.XLOOKUP(C7,'NACE Rev. All Levels'!$C:$C,'NACE Rev. All Levels'!A:A)</f>
        <v>3</v>
      </c>
      <c r="B7" s="7" t="str">
        <f>_xlfn.XLOOKUP(C7,'NACE Rev. All Levels'!$C:$C,'NACE Rev. All Levels'!B:B)</f>
        <v>201</v>
      </c>
      <c r="C7" t="s">
        <v>3329</v>
      </c>
      <c r="D7" s="7" t="str" cm="1">
        <f t="array" ref="D7">_xlfn.TEXTJOIN(", ",TRUE,_xlfn.UNIQUE(_xlfn._xlws.FILTER(B:B,E:E=E7)))</f>
        <v>201</v>
      </c>
      <c r="E7" t="s">
        <v>3329</v>
      </c>
      <c r="F7" s="7" cm="1">
        <f t="array" ref="F7">COUNTA(_xlfn.UNIQUE(_xlfn._xlws.FILTER(L:L,E:E=E7)))</f>
        <v>1</v>
      </c>
      <c r="G7" t="s">
        <v>3346</v>
      </c>
      <c r="H7" t="s">
        <v>3343</v>
      </c>
      <c r="I7" s="7" t="str">
        <f>_xlfn.XLOOKUP(J7,'ETS activities'!B:B,'ETS activities'!A:A)</f>
        <v>38</v>
      </c>
      <c r="J7" t="s">
        <v>43</v>
      </c>
      <c r="K7" s="7" t="str" cm="1">
        <f t="array" ref="K7">_xlfn.TEXTJOIN(", ",TRUE,_xlfn.UNIQUE(_xlfn._xlws.FILTER(I:I,L:L=L7)))</f>
        <v>37, 38, 39, 40, 41, 42, 43, 44</v>
      </c>
      <c r="L7" t="s">
        <v>3346</v>
      </c>
      <c r="M7" s="7" cm="1">
        <f t="array" ref="M7">COUNTA(_xlfn.UNIQUE(_xlfn._xlws.FILTER(E:E,L:L=L7)))</f>
        <v>1</v>
      </c>
      <c r="N7" t="s">
        <v>3335</v>
      </c>
      <c r="O7" t="s">
        <v>3356</v>
      </c>
    </row>
    <row r="8" spans="1:15" x14ac:dyDescent="0.35">
      <c r="A8" s="7">
        <f>_xlfn.XLOOKUP(C8,'NACE Rev. All Levels'!$C:$C,'NACE Rev. All Levels'!A:A)</f>
        <v>3</v>
      </c>
      <c r="B8" s="7" t="str">
        <f>_xlfn.XLOOKUP(C8,'NACE Rev. All Levels'!$C:$C,'NACE Rev. All Levels'!B:B)</f>
        <v>201</v>
      </c>
      <c r="C8" t="s">
        <v>3329</v>
      </c>
      <c r="D8" s="7" t="str" cm="1">
        <f t="array" ref="D8">_xlfn.TEXTJOIN(", ",TRUE,_xlfn.UNIQUE(_xlfn._xlws.FILTER(B:B,E:E=E8)))</f>
        <v>201</v>
      </c>
      <c r="E8" t="s">
        <v>3329</v>
      </c>
      <c r="F8" s="7" cm="1">
        <f t="array" ref="F8">COUNTA(_xlfn.UNIQUE(_xlfn._xlws.FILTER(L:L,E:E=E8)))</f>
        <v>1</v>
      </c>
      <c r="G8" t="s">
        <v>3346</v>
      </c>
      <c r="H8" t="s">
        <v>3343</v>
      </c>
      <c r="I8" s="7" t="str">
        <f>_xlfn.XLOOKUP(J8,'ETS activities'!B:B,'ETS activities'!A:A)</f>
        <v>39</v>
      </c>
      <c r="J8" t="s">
        <v>45</v>
      </c>
      <c r="K8" s="7" t="str" cm="1">
        <f t="array" ref="K8">_xlfn.TEXTJOIN(", ",TRUE,_xlfn.UNIQUE(_xlfn._xlws.FILTER(I:I,L:L=L8)))</f>
        <v>37, 38, 39, 40, 41, 42, 43, 44</v>
      </c>
      <c r="L8" t="s">
        <v>3346</v>
      </c>
      <c r="M8" s="7" cm="1">
        <f t="array" ref="M8">COUNTA(_xlfn.UNIQUE(_xlfn._xlws.FILTER(E:E,L:L=L8)))</f>
        <v>1</v>
      </c>
      <c r="N8" t="s">
        <v>3335</v>
      </c>
      <c r="O8" t="s">
        <v>3356</v>
      </c>
    </row>
    <row r="9" spans="1:15" x14ac:dyDescent="0.35">
      <c r="A9" s="7">
        <f>_xlfn.XLOOKUP(C9,'NACE Rev. All Levels'!$C:$C,'NACE Rev. All Levels'!A:A)</f>
        <v>3</v>
      </c>
      <c r="B9" s="7" t="str">
        <f>_xlfn.XLOOKUP(C9,'NACE Rev. All Levels'!$C:$C,'NACE Rev. All Levels'!B:B)</f>
        <v>201</v>
      </c>
      <c r="C9" t="s">
        <v>3329</v>
      </c>
      <c r="D9" s="7" t="str" cm="1">
        <f t="array" ref="D9">_xlfn.TEXTJOIN(", ",TRUE,_xlfn.UNIQUE(_xlfn._xlws.FILTER(B:B,E:E=E9)))</f>
        <v>201</v>
      </c>
      <c r="E9" t="s">
        <v>3329</v>
      </c>
      <c r="F9" s="7" cm="1">
        <f t="array" ref="F9">COUNTA(_xlfn.UNIQUE(_xlfn._xlws.FILTER(L:L,E:E=E9)))</f>
        <v>1</v>
      </c>
      <c r="G9" t="s">
        <v>3346</v>
      </c>
      <c r="H9" t="s">
        <v>3343</v>
      </c>
      <c r="I9" s="7" t="str">
        <f>_xlfn.XLOOKUP(J9,'ETS activities'!B:B,'ETS activities'!A:A)</f>
        <v>40</v>
      </c>
      <c r="J9" t="s">
        <v>47</v>
      </c>
      <c r="K9" s="7" t="str" cm="1">
        <f t="array" ref="K9">_xlfn.TEXTJOIN(", ",TRUE,_xlfn.UNIQUE(_xlfn._xlws.FILTER(I:I,L:L=L9)))</f>
        <v>37, 38, 39, 40, 41, 42, 43, 44</v>
      </c>
      <c r="L9" t="s">
        <v>3346</v>
      </c>
      <c r="M9" s="7" cm="1">
        <f t="array" ref="M9">COUNTA(_xlfn.UNIQUE(_xlfn._xlws.FILTER(E:E,L:L=L9)))</f>
        <v>1</v>
      </c>
      <c r="N9" t="s">
        <v>3335</v>
      </c>
      <c r="O9" t="s">
        <v>3356</v>
      </c>
    </row>
    <row r="10" spans="1:15" x14ac:dyDescent="0.35">
      <c r="A10" s="7">
        <f>_xlfn.XLOOKUP(C10,'NACE Rev. All Levels'!$C:$C,'NACE Rev. All Levels'!A:A)</f>
        <v>3</v>
      </c>
      <c r="B10" s="7" t="str">
        <f>_xlfn.XLOOKUP(C10,'NACE Rev. All Levels'!$C:$C,'NACE Rev. All Levels'!B:B)</f>
        <v>201</v>
      </c>
      <c r="C10" t="s">
        <v>3329</v>
      </c>
      <c r="D10" s="7" t="str" cm="1">
        <f t="array" ref="D10">_xlfn.TEXTJOIN(", ",TRUE,_xlfn.UNIQUE(_xlfn._xlws.FILTER(B:B,E:E=E10)))</f>
        <v>201</v>
      </c>
      <c r="E10" t="s">
        <v>3329</v>
      </c>
      <c r="F10" s="7" cm="1">
        <f t="array" ref="F10">COUNTA(_xlfn.UNIQUE(_xlfn._xlws.FILTER(L:L,E:E=E10)))</f>
        <v>1</v>
      </c>
      <c r="G10" t="s">
        <v>3346</v>
      </c>
      <c r="H10" t="s">
        <v>3343</v>
      </c>
      <c r="I10" s="7" t="str">
        <f>_xlfn.XLOOKUP(J10,'ETS activities'!B:B,'ETS activities'!A:A)</f>
        <v>41</v>
      </c>
      <c r="J10" t="s">
        <v>49</v>
      </c>
      <c r="K10" s="7" t="str" cm="1">
        <f t="array" ref="K10">_xlfn.TEXTJOIN(", ",TRUE,_xlfn.UNIQUE(_xlfn._xlws.FILTER(I:I,L:L=L10)))</f>
        <v>37, 38, 39, 40, 41, 42, 43, 44</v>
      </c>
      <c r="L10" t="s">
        <v>3346</v>
      </c>
      <c r="M10" s="7" cm="1">
        <f t="array" ref="M10">COUNTA(_xlfn.UNIQUE(_xlfn._xlws.FILTER(E:E,L:L=L10)))</f>
        <v>1</v>
      </c>
      <c r="N10" t="s">
        <v>3335</v>
      </c>
      <c r="O10" t="s">
        <v>3356</v>
      </c>
    </row>
    <row r="11" spans="1:15" x14ac:dyDescent="0.35">
      <c r="A11" s="7">
        <f>_xlfn.XLOOKUP(C11,'NACE Rev. All Levels'!$C:$C,'NACE Rev. All Levels'!A:A)</f>
        <v>3</v>
      </c>
      <c r="B11" s="7" t="str">
        <f>_xlfn.XLOOKUP(C11,'NACE Rev. All Levels'!$C:$C,'NACE Rev. All Levels'!B:B)</f>
        <v>201</v>
      </c>
      <c r="C11" t="s">
        <v>3329</v>
      </c>
      <c r="D11" s="7" t="str" cm="1">
        <f t="array" ref="D11">_xlfn.TEXTJOIN(", ",TRUE,_xlfn.UNIQUE(_xlfn._xlws.FILTER(B:B,E:E=E11)))</f>
        <v>201</v>
      </c>
      <c r="E11" t="s">
        <v>3329</v>
      </c>
      <c r="F11" s="7" cm="1">
        <f t="array" ref="F11">COUNTA(_xlfn.UNIQUE(_xlfn._xlws.FILTER(L:L,E:E=E11)))</f>
        <v>1</v>
      </c>
      <c r="G11" t="s">
        <v>3346</v>
      </c>
      <c r="H11" t="s">
        <v>3343</v>
      </c>
      <c r="I11" s="7" t="str">
        <f>_xlfn.XLOOKUP(J11,'ETS activities'!B:B,'ETS activities'!A:A)</f>
        <v>42</v>
      </c>
      <c r="J11" t="s">
        <v>51</v>
      </c>
      <c r="K11" s="7" t="str" cm="1">
        <f t="array" ref="K11">_xlfn.TEXTJOIN(", ",TRUE,_xlfn.UNIQUE(_xlfn._xlws.FILTER(I:I,L:L=L11)))</f>
        <v>37, 38, 39, 40, 41, 42, 43, 44</v>
      </c>
      <c r="L11" t="s">
        <v>3346</v>
      </c>
      <c r="M11" s="7" cm="1">
        <f t="array" ref="M11">COUNTA(_xlfn.UNIQUE(_xlfn._xlws.FILTER(E:E,L:L=L11)))</f>
        <v>1</v>
      </c>
      <c r="N11" t="s">
        <v>3335</v>
      </c>
      <c r="O11" t="s">
        <v>3356</v>
      </c>
    </row>
    <row r="12" spans="1:15" x14ac:dyDescent="0.35">
      <c r="A12" s="7">
        <f>_xlfn.XLOOKUP(C12,'NACE Rev. All Levels'!$C:$C,'NACE Rev. All Levels'!A:A)</f>
        <v>3</v>
      </c>
      <c r="B12" s="7" t="str">
        <f>_xlfn.XLOOKUP(C12,'NACE Rev. All Levels'!$C:$C,'NACE Rev. All Levels'!B:B)</f>
        <v>201</v>
      </c>
      <c r="C12" t="s">
        <v>3329</v>
      </c>
      <c r="D12" s="7" t="str" cm="1">
        <f t="array" ref="D12">_xlfn.TEXTJOIN(", ",TRUE,_xlfn.UNIQUE(_xlfn._xlws.FILTER(B:B,E:E=E12)))</f>
        <v>201</v>
      </c>
      <c r="E12" t="s">
        <v>3329</v>
      </c>
      <c r="F12" s="7" cm="1">
        <f t="array" ref="F12">COUNTA(_xlfn.UNIQUE(_xlfn._xlws.FILTER(L:L,E:E=E12)))</f>
        <v>1</v>
      </c>
      <c r="G12" t="s">
        <v>3346</v>
      </c>
      <c r="H12" t="s">
        <v>3343</v>
      </c>
      <c r="I12" s="7" t="str">
        <f>_xlfn.XLOOKUP(J12,'ETS activities'!B:B,'ETS activities'!A:A)</f>
        <v>43</v>
      </c>
      <c r="J12" t="s">
        <v>53</v>
      </c>
      <c r="K12" s="7" t="str" cm="1">
        <f t="array" ref="K12">_xlfn.TEXTJOIN(", ",TRUE,_xlfn.UNIQUE(_xlfn._xlws.FILTER(I:I,L:L=L12)))</f>
        <v>37, 38, 39, 40, 41, 42, 43, 44</v>
      </c>
      <c r="L12" t="s">
        <v>3346</v>
      </c>
      <c r="M12" s="7" cm="1">
        <f t="array" ref="M12">COUNTA(_xlfn.UNIQUE(_xlfn._xlws.FILTER(E:E,L:L=L12)))</f>
        <v>1</v>
      </c>
      <c r="N12" t="s">
        <v>3335</v>
      </c>
      <c r="O12" t="s">
        <v>3356</v>
      </c>
    </row>
    <row r="13" spans="1:15" x14ac:dyDescent="0.35">
      <c r="A13" s="7">
        <f>_xlfn.XLOOKUP(C13,'NACE Rev. All Levels'!$C:$C,'NACE Rev. All Levels'!A:A)</f>
        <v>3</v>
      </c>
      <c r="B13" s="7" t="str">
        <f>_xlfn.XLOOKUP(C13,'NACE Rev. All Levels'!$C:$C,'NACE Rev. All Levels'!B:B)</f>
        <v>201</v>
      </c>
      <c r="C13" t="s">
        <v>3329</v>
      </c>
      <c r="D13" s="7" t="str" cm="1">
        <f t="array" ref="D13">_xlfn.TEXTJOIN(", ",TRUE,_xlfn.UNIQUE(_xlfn._xlws.FILTER(B:B,E:E=E13)))</f>
        <v>201</v>
      </c>
      <c r="E13" t="s">
        <v>3329</v>
      </c>
      <c r="F13" s="7" cm="1">
        <f t="array" ref="F13">COUNTA(_xlfn.UNIQUE(_xlfn._xlws.FILTER(L:L,E:E=E13)))</f>
        <v>1</v>
      </c>
      <c r="G13" t="s">
        <v>3346</v>
      </c>
      <c r="H13" t="s">
        <v>3343</v>
      </c>
      <c r="I13" s="7" t="str">
        <f>_xlfn.XLOOKUP(J13,'ETS activities'!B:B,'ETS activities'!A:A)</f>
        <v>44</v>
      </c>
      <c r="J13" t="s">
        <v>55</v>
      </c>
      <c r="K13" s="7" t="str" cm="1">
        <f t="array" ref="K13">_xlfn.TEXTJOIN(", ",TRUE,_xlfn.UNIQUE(_xlfn._xlws.FILTER(I:I,L:L=L13)))</f>
        <v>37, 38, 39, 40, 41, 42, 43, 44</v>
      </c>
      <c r="L13" t="s">
        <v>3346</v>
      </c>
      <c r="M13" s="7" cm="1">
        <f t="array" ref="M13">COUNTA(_xlfn.UNIQUE(_xlfn._xlws.FILTER(E:E,L:L=L13)))</f>
        <v>1</v>
      </c>
      <c r="N13" t="s">
        <v>3335</v>
      </c>
      <c r="O13" t="s">
        <v>3356</v>
      </c>
    </row>
    <row r="14" spans="1:15" x14ac:dyDescent="0.35">
      <c r="A14" s="7">
        <f>_xlfn.XLOOKUP(C14,'NACE Rev. All Levels'!$C:$C,'NACE Rev. All Levels'!A:A)</f>
        <v>3</v>
      </c>
      <c r="B14" s="7" t="str">
        <f>_xlfn.XLOOKUP(C14,'NACE Rev. All Levels'!$C:$C,'NACE Rev. All Levels'!B:B)</f>
        <v>231</v>
      </c>
      <c r="C14" t="s">
        <v>3322</v>
      </c>
      <c r="D14" s="7" t="str" cm="1">
        <f t="array" ref="D14">_xlfn.TEXTJOIN(", ",TRUE,_xlfn.UNIQUE(_xlfn._xlws.FILTER(B:B,E:E=E14)))</f>
        <v>231</v>
      </c>
      <c r="E14" t="s">
        <v>3322</v>
      </c>
      <c r="F14" s="7" cm="1">
        <f t="array" ref="F14">COUNTA(_xlfn.UNIQUE(_xlfn._xlws.FILTER(L:L,E:E=E14)))</f>
        <v>1</v>
      </c>
      <c r="H14" s="6" t="s">
        <v>3342</v>
      </c>
      <c r="I14" s="7" t="str">
        <f>_xlfn.XLOOKUP(J14,'ETS activities'!B:B,'ETS activities'!A:A)</f>
        <v>31</v>
      </c>
      <c r="J14" t="s">
        <v>29</v>
      </c>
      <c r="K14" s="7" t="str" cm="1">
        <f t="array" ref="K14">_xlfn.TEXTJOIN(", ",TRUE,_xlfn.UNIQUE(_xlfn._xlws.FILTER(I:I,L:L=L14)))</f>
        <v>31</v>
      </c>
      <c r="L14" t="s">
        <v>29</v>
      </c>
      <c r="M14" s="7" cm="1">
        <f t="array" ref="M14">COUNTA(_xlfn.UNIQUE(_xlfn._xlws.FILTER(E:E,L:L=L14)))</f>
        <v>1</v>
      </c>
      <c r="N14" t="s">
        <v>3311</v>
      </c>
      <c r="O14" t="s">
        <v>3357</v>
      </c>
    </row>
    <row r="15" spans="1:15" x14ac:dyDescent="0.35">
      <c r="A15" s="7">
        <f>_xlfn.XLOOKUP(C15,'NACE Rev. All Levels'!$C:$C,'NACE Rev. All Levels'!A:A)</f>
        <v>3</v>
      </c>
      <c r="B15" s="7" t="str">
        <f>_xlfn.XLOOKUP(C15,'NACE Rev. All Levels'!$C:$C,'NACE Rev. All Levels'!B:B)</f>
        <v>232</v>
      </c>
      <c r="C15" t="s">
        <v>3323</v>
      </c>
      <c r="D15" s="7" t="str" cm="1">
        <f t="array" ref="D15">_xlfn.TEXTJOIN(", ",TRUE,_xlfn.UNIQUE(_xlfn._xlws.FILTER(B:B,E:E=E15)))</f>
        <v>232, 233, 234</v>
      </c>
      <c r="E15" s="6" t="s">
        <v>3365</v>
      </c>
      <c r="F15" s="7" cm="1">
        <f t="array" ref="F15">COUNTA(_xlfn.UNIQUE(_xlfn._xlws.FILTER(L:L,E:E=E15)))</f>
        <v>1</v>
      </c>
      <c r="H15" t="s">
        <v>3344</v>
      </c>
      <c r="I15" s="7" t="str">
        <f>_xlfn.XLOOKUP(J15,'ETS activities'!B:B,'ETS activities'!A:A)</f>
        <v>32</v>
      </c>
      <c r="J15" t="s">
        <v>31</v>
      </c>
      <c r="K15" s="7" t="str" cm="1">
        <f t="array" ref="K15">_xlfn.TEXTJOIN(", ",TRUE,_xlfn.UNIQUE(_xlfn._xlws.FILTER(I:I,L:L=L15)))</f>
        <v>32</v>
      </c>
      <c r="L15" t="s">
        <v>31</v>
      </c>
      <c r="M15" s="7" cm="1">
        <f t="array" ref="M15">COUNTA(_xlfn.UNIQUE(_xlfn._xlws.FILTER(E:E,L:L=L15)))</f>
        <v>1</v>
      </c>
      <c r="N15" t="s">
        <v>3311</v>
      </c>
      <c r="O15" t="s">
        <v>3358</v>
      </c>
    </row>
    <row r="16" spans="1:15" x14ac:dyDescent="0.35">
      <c r="A16" s="7">
        <f>_xlfn.XLOOKUP(C16,'NACE Rev. All Levels'!$C:$C,'NACE Rev. All Levels'!A:A)</f>
        <v>3</v>
      </c>
      <c r="B16" s="7" t="str">
        <f>_xlfn.XLOOKUP(C16,'NACE Rev. All Levels'!$C:$C,'NACE Rev. All Levels'!B:B)</f>
        <v>233</v>
      </c>
      <c r="C16" t="s">
        <v>3324</v>
      </c>
      <c r="D16" s="7" t="str" cm="1">
        <f t="array" ref="D16">_xlfn.TEXTJOIN(", ",TRUE,_xlfn.UNIQUE(_xlfn._xlws.FILTER(B:B,E:E=E16)))</f>
        <v>232, 233, 234</v>
      </c>
      <c r="E16" s="6" t="s">
        <v>3365</v>
      </c>
      <c r="F16" s="7" cm="1">
        <f t="array" ref="F16">COUNTA(_xlfn.UNIQUE(_xlfn._xlws.FILTER(L:L,E:E=E16)))</f>
        <v>1</v>
      </c>
      <c r="H16" t="s">
        <v>3344</v>
      </c>
      <c r="I16" s="7" t="str">
        <f>_xlfn.XLOOKUP(J16,'ETS activities'!B:B,'ETS activities'!A:A)</f>
        <v>32</v>
      </c>
      <c r="J16" t="s">
        <v>31</v>
      </c>
      <c r="K16" s="7" t="str" cm="1">
        <f t="array" ref="K16">_xlfn.TEXTJOIN(", ",TRUE,_xlfn.UNIQUE(_xlfn._xlws.FILTER(I:I,L:L=L16)))</f>
        <v>32</v>
      </c>
      <c r="L16" t="s">
        <v>31</v>
      </c>
      <c r="M16" s="7" cm="1">
        <f t="array" ref="M16">COUNTA(_xlfn.UNIQUE(_xlfn._xlws.FILTER(E:E,L:L=L16)))</f>
        <v>1</v>
      </c>
      <c r="N16" t="s">
        <v>3311</v>
      </c>
      <c r="O16" t="s">
        <v>3358</v>
      </c>
    </row>
    <row r="17" spans="1:15" x14ac:dyDescent="0.35">
      <c r="A17" s="7">
        <f>_xlfn.XLOOKUP(C17,'NACE Rev. All Levels'!$C:$C,'NACE Rev. All Levels'!A:A)</f>
        <v>3</v>
      </c>
      <c r="B17" s="7" t="str">
        <f>_xlfn.XLOOKUP(C17,'NACE Rev. All Levels'!$C:$C,'NACE Rev. All Levels'!B:B)</f>
        <v>234</v>
      </c>
      <c r="C17" t="s">
        <v>3325</v>
      </c>
      <c r="D17" s="7" t="str" cm="1">
        <f t="array" ref="D17">_xlfn.TEXTJOIN(", ",TRUE,_xlfn.UNIQUE(_xlfn._xlws.FILTER(B:B,E:E=E17)))</f>
        <v>232, 233, 234</v>
      </c>
      <c r="E17" s="6" t="s">
        <v>3365</v>
      </c>
      <c r="F17" s="7" cm="1">
        <f t="array" ref="F17">COUNTA(_xlfn.UNIQUE(_xlfn._xlws.FILTER(L:L,E:E=E17)))</f>
        <v>1</v>
      </c>
      <c r="H17" t="s">
        <v>3344</v>
      </c>
      <c r="I17" s="7" t="str">
        <f>_xlfn.XLOOKUP(J17,'ETS activities'!B:B,'ETS activities'!A:A)</f>
        <v>32</v>
      </c>
      <c r="J17" t="s">
        <v>31</v>
      </c>
      <c r="K17" s="7" t="str" cm="1">
        <f t="array" ref="K17">_xlfn.TEXTJOIN(", ",TRUE,_xlfn.UNIQUE(_xlfn._xlws.FILTER(I:I,L:L=L17)))</f>
        <v>32</v>
      </c>
      <c r="L17" t="s">
        <v>31</v>
      </c>
      <c r="M17" s="7" cm="1">
        <f t="array" ref="M17">COUNTA(_xlfn.UNIQUE(_xlfn._xlws.FILTER(E:E,L:L=L17)))</f>
        <v>1</v>
      </c>
      <c r="N17" t="s">
        <v>3311</v>
      </c>
      <c r="O17" t="s">
        <v>3358</v>
      </c>
    </row>
    <row r="18" spans="1:15" x14ac:dyDescent="0.35">
      <c r="A18" s="7">
        <f>_xlfn.XLOOKUP(C18,'NACE Rev. All Levels'!$C:$C,'NACE Rev. All Levels'!A:A)</f>
        <v>3</v>
      </c>
      <c r="B18" s="7" t="str">
        <f>_xlfn.XLOOKUP(C18,'NACE Rev. All Levels'!$C:$C,'NACE Rev. All Levels'!B:B)</f>
        <v>235</v>
      </c>
      <c r="C18" t="s">
        <v>3321</v>
      </c>
      <c r="D18" s="7" t="str" cm="1">
        <f t="array" ref="D18">_xlfn.TEXTJOIN(", ",TRUE,_xlfn.UNIQUE(_xlfn._xlws.FILTER(B:B,E:E=E18)))</f>
        <v>235</v>
      </c>
      <c r="E18" t="s">
        <v>3321</v>
      </c>
      <c r="F18" s="7" cm="1">
        <f t="array" ref="F18">COUNTA(_xlfn.UNIQUE(_xlfn._xlws.FILTER(L:L,E:E=E18)))</f>
        <v>1</v>
      </c>
      <c r="G18" t="s">
        <v>3359</v>
      </c>
      <c r="H18" t="s">
        <v>3343</v>
      </c>
      <c r="I18" s="7" t="str">
        <f>_xlfn.XLOOKUP(J18,'ETS activities'!B:B,'ETS activities'!A:A)</f>
        <v>29</v>
      </c>
      <c r="J18" t="s">
        <v>25</v>
      </c>
      <c r="K18" s="7" t="str" cm="1">
        <f t="array" ref="K18">_xlfn.TEXTJOIN(", ",TRUE,_xlfn.UNIQUE(_xlfn._xlws.FILTER(I:I,L:L=L18)))</f>
        <v>29, 30</v>
      </c>
      <c r="L18" t="s">
        <v>3359</v>
      </c>
      <c r="M18" s="7" cm="1">
        <f t="array" ref="M18">COUNTA(_xlfn.UNIQUE(_xlfn._xlws.FILTER(E:E,L:L=L18)))</f>
        <v>1</v>
      </c>
      <c r="N18" t="s">
        <v>3335</v>
      </c>
      <c r="O18" t="s">
        <v>3356</v>
      </c>
    </row>
    <row r="19" spans="1:15" x14ac:dyDescent="0.35">
      <c r="A19" s="7">
        <f>_xlfn.XLOOKUP(C19,'NACE Rev. All Levels'!$C:$C,'NACE Rev. All Levels'!A:A)</f>
        <v>3</v>
      </c>
      <c r="B19" s="7" t="str">
        <f>_xlfn.XLOOKUP(C19,'NACE Rev. All Levels'!$C:$C,'NACE Rev. All Levels'!B:B)</f>
        <v>235</v>
      </c>
      <c r="C19" t="s">
        <v>3321</v>
      </c>
      <c r="D19" s="7" t="str" cm="1">
        <f t="array" ref="D19">_xlfn.TEXTJOIN(", ",TRUE,_xlfn.UNIQUE(_xlfn._xlws.FILTER(B:B,E:E=E19)))</f>
        <v>235</v>
      </c>
      <c r="E19" t="s">
        <v>3321</v>
      </c>
      <c r="F19" s="7" cm="1">
        <f t="array" ref="F19">COUNTA(_xlfn.UNIQUE(_xlfn._xlws.FILTER(L:L,E:E=E19)))</f>
        <v>1</v>
      </c>
      <c r="G19" t="s">
        <v>3359</v>
      </c>
      <c r="H19" t="s">
        <v>3343</v>
      </c>
      <c r="I19" s="7" t="str">
        <f>_xlfn.XLOOKUP(J19,'ETS activities'!B:B,'ETS activities'!A:A)</f>
        <v>30</v>
      </c>
      <c r="J19" t="s">
        <v>27</v>
      </c>
      <c r="K19" s="7" t="str" cm="1">
        <f t="array" ref="K19">_xlfn.TEXTJOIN(", ",TRUE,_xlfn.UNIQUE(_xlfn._xlws.FILTER(I:I,L:L=L19)))</f>
        <v>29, 30</v>
      </c>
      <c r="L19" t="s">
        <v>3359</v>
      </c>
      <c r="M19" s="7" cm="1">
        <f t="array" ref="M19">COUNTA(_xlfn.UNIQUE(_xlfn._xlws.FILTER(E:E,L:L=L19)))</f>
        <v>1</v>
      </c>
      <c r="N19" t="s">
        <v>3335</v>
      </c>
      <c r="O19" t="s">
        <v>3356</v>
      </c>
    </row>
    <row r="20" spans="1:15" x14ac:dyDescent="0.35">
      <c r="A20" s="7">
        <f>_xlfn.XLOOKUP(C20,'NACE Rev. All Levels'!$C:$C,'NACE Rev. All Levels'!A:A)</f>
        <v>3</v>
      </c>
      <c r="B20" s="7" t="str">
        <f>_xlfn.XLOOKUP(C20,'NACE Rev. All Levels'!$C:$C,'NACE Rev. All Levels'!B:B)</f>
        <v>236</v>
      </c>
      <c r="C20" t="s">
        <v>3327</v>
      </c>
      <c r="D20" s="7" t="str" cm="1">
        <f t="array" ref="D20">_xlfn.TEXTJOIN(", ",TRUE,_xlfn.UNIQUE(_xlfn._xlws.FILTER(B:B,E:E=E20)))</f>
        <v>236</v>
      </c>
      <c r="E20" t="s">
        <v>3327</v>
      </c>
      <c r="F20" s="7" cm="1">
        <f t="array" ref="F20">COUNTA(_xlfn.UNIQUE(_xlfn._xlws.FILTER(L:L,E:E=E20)))</f>
        <v>1</v>
      </c>
      <c r="H20" t="s">
        <v>3342</v>
      </c>
      <c r="I20" s="7" t="str">
        <f>_xlfn.XLOOKUP(J20,'ETS activities'!B:B,'ETS activities'!A:A)</f>
        <v>34</v>
      </c>
      <c r="J20" t="s">
        <v>35</v>
      </c>
      <c r="K20" s="7" t="str" cm="1">
        <f t="array" ref="K20">_xlfn.TEXTJOIN(", ",TRUE,_xlfn.UNIQUE(_xlfn._xlws.FILTER(I:I,L:L=L20)))</f>
        <v>34</v>
      </c>
      <c r="L20" t="s">
        <v>35</v>
      </c>
      <c r="M20" s="7" cm="1">
        <f t="array" ref="M20">COUNTA(_xlfn.UNIQUE(_xlfn._xlws.FILTER(E:E,L:L=L20)))</f>
        <v>1</v>
      </c>
      <c r="N20" t="s">
        <v>3313</v>
      </c>
      <c r="O20" t="s">
        <v>3357</v>
      </c>
    </row>
    <row r="21" spans="1:15" x14ac:dyDescent="0.35">
      <c r="A21" s="7">
        <f>_xlfn.XLOOKUP(C21,'NACE Rev. All Levels'!$C:$C,'NACE Rev. All Levels'!A:A)</f>
        <v>3</v>
      </c>
      <c r="B21" s="7" t="str">
        <f>_xlfn.XLOOKUP(C21,'NACE Rev. All Levels'!$C:$C,'NACE Rev. All Levels'!B:B)</f>
        <v>239</v>
      </c>
      <c r="C21" t="s">
        <v>3326</v>
      </c>
      <c r="D21" s="7" t="str" cm="1">
        <f t="array" ref="D21">_xlfn.TEXTJOIN(", ",TRUE,_xlfn.UNIQUE(_xlfn._xlws.FILTER(B:B,E:E=E21)))</f>
        <v>239</v>
      </c>
      <c r="E21" t="s">
        <v>3326</v>
      </c>
      <c r="F21" s="7" cm="1">
        <f t="array" ref="F21">COUNTA(_xlfn.UNIQUE(_xlfn._xlws.FILTER(L:L,E:E=E21)))</f>
        <v>1</v>
      </c>
      <c r="H21" t="s">
        <v>3342</v>
      </c>
      <c r="I21" s="7" t="str">
        <f>_xlfn.XLOOKUP(J21,'ETS activities'!B:B,'ETS activities'!A:A)</f>
        <v>33</v>
      </c>
      <c r="J21" t="s">
        <v>33</v>
      </c>
      <c r="K21" s="7" t="str" cm="1">
        <f t="array" ref="K21">_xlfn.TEXTJOIN(", ",TRUE,_xlfn.UNIQUE(_xlfn._xlws.FILTER(I:I,L:L=L21)))</f>
        <v>33</v>
      </c>
      <c r="L21" t="s">
        <v>33</v>
      </c>
      <c r="M21" s="7" cm="1">
        <f t="array" ref="M21">COUNTA(_xlfn.UNIQUE(_xlfn._xlws.FILTER(E:E,L:L=L21)))</f>
        <v>1</v>
      </c>
      <c r="N21" t="s">
        <v>3313</v>
      </c>
      <c r="O21" t="s">
        <v>3357</v>
      </c>
    </row>
    <row r="22" spans="1:15" x14ac:dyDescent="0.35">
      <c r="A22" s="7">
        <f>_xlfn.XLOOKUP(C22,'NACE Rev. All Levels'!$C:$C,'NACE Rev. All Levels'!A:A)</f>
        <v>3</v>
      </c>
      <c r="B22" s="7" t="str">
        <f>_xlfn.XLOOKUP(C22,'NACE Rev. All Levels'!$C:$C,'NACE Rev. All Levels'!B:B)</f>
        <v>241</v>
      </c>
      <c r="C22" t="s">
        <v>3317</v>
      </c>
      <c r="D22" s="7" t="str" cm="1">
        <f t="array" ref="D22">_xlfn.TEXTJOIN(", ",TRUE,_xlfn.UNIQUE(_xlfn._xlws.FILTER(B:B,E:E=E22)))</f>
        <v>241</v>
      </c>
      <c r="E22" t="s">
        <v>3317</v>
      </c>
      <c r="F22" s="7" cm="1">
        <f t="array" ref="F22">COUNTA(_xlfn.UNIQUE(_xlfn._xlws.FILTER(L:L,E:E=E22)))</f>
        <v>1</v>
      </c>
      <c r="G22" t="s">
        <v>3347</v>
      </c>
      <c r="H22" t="s">
        <v>3343</v>
      </c>
      <c r="I22" s="7" t="str">
        <f>_xlfn.XLOOKUP(J22,'ETS activities'!B:B,'ETS activities'!A:A)</f>
        <v>23</v>
      </c>
      <c r="J22" t="s">
        <v>13</v>
      </c>
      <c r="K22" s="7" t="str" cm="1">
        <f t="array" ref="K22">_xlfn.TEXTJOIN(", ",TRUE,_xlfn.UNIQUE(_xlfn._xlws.FILTER(I:I,L:L=L22)))</f>
        <v>23, 24</v>
      </c>
      <c r="L22" t="s">
        <v>3347</v>
      </c>
      <c r="M22" s="7" cm="1">
        <f t="array" ref="M22">COUNTA(_xlfn.UNIQUE(_xlfn._xlws.FILTER(E:E,L:L=L22)))</f>
        <v>1</v>
      </c>
      <c r="N22" t="s">
        <v>3311</v>
      </c>
      <c r="O22" t="s">
        <v>3356</v>
      </c>
    </row>
    <row r="23" spans="1:15" x14ac:dyDescent="0.35">
      <c r="A23" s="7">
        <f>_xlfn.XLOOKUP(C23,'NACE Rev. All Levels'!$C:$C,'NACE Rev. All Levels'!A:A)</f>
        <v>3</v>
      </c>
      <c r="B23" s="7" t="str">
        <f>_xlfn.XLOOKUP(C23,'NACE Rev. All Levels'!$C:$C,'NACE Rev. All Levels'!B:B)</f>
        <v>241</v>
      </c>
      <c r="C23" t="s">
        <v>3317</v>
      </c>
      <c r="D23" s="7" t="str" cm="1">
        <f t="array" ref="D23">_xlfn.TEXTJOIN(", ",TRUE,_xlfn.UNIQUE(_xlfn._xlws.FILTER(B:B,E:E=E23)))</f>
        <v>241</v>
      </c>
      <c r="E23" t="s">
        <v>3317</v>
      </c>
      <c r="F23" s="7" cm="1">
        <f t="array" ref="F23">COUNTA(_xlfn.UNIQUE(_xlfn._xlws.FILTER(L:L,E:E=E23)))</f>
        <v>1</v>
      </c>
      <c r="G23" t="s">
        <v>3347</v>
      </c>
      <c r="H23" t="s">
        <v>3343</v>
      </c>
      <c r="I23" s="7" t="str">
        <f>_xlfn.XLOOKUP(J23,'ETS activities'!B:B,'ETS activities'!A:A)</f>
        <v>24</v>
      </c>
      <c r="J23" t="s">
        <v>15</v>
      </c>
      <c r="K23" s="7" t="str" cm="1">
        <f t="array" ref="K23">_xlfn.TEXTJOIN(", ",TRUE,_xlfn.UNIQUE(_xlfn._xlws.FILTER(I:I,L:L=L23)))</f>
        <v>23, 24</v>
      </c>
      <c r="L23" t="s">
        <v>3347</v>
      </c>
      <c r="M23" s="7" cm="1">
        <f t="array" ref="M23">COUNTA(_xlfn.UNIQUE(_xlfn._xlws.FILTER(E:E,L:L=L23)))</f>
        <v>1</v>
      </c>
      <c r="N23" t="s">
        <v>3311</v>
      </c>
      <c r="O23" t="s">
        <v>3356</v>
      </c>
    </row>
    <row r="24" spans="1:15" x14ac:dyDescent="0.35">
      <c r="A24" s="7">
        <f>_xlfn.XLOOKUP(C24,'NACE Rev. All Levels'!$C:$C,'NACE Rev. All Levels'!A:A)</f>
        <v>3</v>
      </c>
      <c r="B24" s="7" t="str">
        <f>_xlfn.XLOOKUP(C24,'NACE Rev. All Levels'!$C:$C,'NACE Rev. All Levels'!B:B)</f>
        <v>242</v>
      </c>
      <c r="C24" t="s">
        <v>3318</v>
      </c>
      <c r="D24" s="7" t="str" cm="1">
        <f t="array" ref="D24">_xlfn.TEXTJOIN(", ",TRUE,_xlfn.UNIQUE(_xlfn._xlws.FILTER(B:B,E:E=E24)))</f>
        <v>242, 243</v>
      </c>
      <c r="E24" s="6" t="s">
        <v>3366</v>
      </c>
      <c r="F24" s="7" cm="1">
        <f t="array" ref="F24">COUNTA(_xlfn.UNIQUE(_xlfn._xlws.FILTER(L:L,E:E=E24)))</f>
        <v>1</v>
      </c>
      <c r="H24" t="s">
        <v>3344</v>
      </c>
      <c r="I24" s="7" t="str">
        <f>_xlfn.XLOOKUP(J24,'ETS activities'!B:B,'ETS activities'!A:A)</f>
        <v>25</v>
      </c>
      <c r="J24" t="s">
        <v>17</v>
      </c>
      <c r="K24" s="7" t="str" cm="1">
        <f t="array" ref="K24">_xlfn.TEXTJOIN(", ",TRUE,_xlfn.UNIQUE(_xlfn._xlws.FILTER(I:I,L:L=L24)))</f>
        <v>25</v>
      </c>
      <c r="L24" t="s">
        <v>17</v>
      </c>
      <c r="M24" s="7" cm="1">
        <f t="array" ref="M24">COUNTA(_xlfn.UNIQUE(_xlfn._xlws.FILTER(E:E,L:L=L24)))</f>
        <v>1</v>
      </c>
      <c r="N24" t="s">
        <v>3311</v>
      </c>
      <c r="O24" t="s">
        <v>3360</v>
      </c>
    </row>
    <row r="25" spans="1:15" x14ac:dyDescent="0.35">
      <c r="A25" s="7">
        <f>_xlfn.XLOOKUP(C25,'NACE Rev. All Levels'!$C:$C,'NACE Rev. All Levels'!A:A)</f>
        <v>3</v>
      </c>
      <c r="B25" s="7" t="str">
        <f>_xlfn.XLOOKUP(C25,'NACE Rev. All Levels'!$C:$C,'NACE Rev. All Levels'!B:B)</f>
        <v>243</v>
      </c>
      <c r="C25" t="s">
        <v>3319</v>
      </c>
      <c r="D25" s="7" t="str" cm="1">
        <f t="array" ref="D25">_xlfn.TEXTJOIN(", ",TRUE,_xlfn.UNIQUE(_xlfn._xlws.FILTER(B:B,E:E=E25)))</f>
        <v>242, 243</v>
      </c>
      <c r="E25" s="6" t="s">
        <v>3366</v>
      </c>
      <c r="F25" s="7" cm="1">
        <f t="array" ref="F25">COUNTA(_xlfn.UNIQUE(_xlfn._xlws.FILTER(L:L,E:E=E25)))</f>
        <v>1</v>
      </c>
      <c r="H25" t="s">
        <v>3344</v>
      </c>
      <c r="I25" s="7" t="str">
        <f>_xlfn.XLOOKUP(J25,'ETS activities'!B:B,'ETS activities'!A:A)</f>
        <v>25</v>
      </c>
      <c r="J25" t="s">
        <v>17</v>
      </c>
      <c r="K25" s="7" t="str" cm="1">
        <f t="array" ref="K25">_xlfn.TEXTJOIN(", ",TRUE,_xlfn.UNIQUE(_xlfn._xlws.FILTER(I:I,L:L=L25)))</f>
        <v>25</v>
      </c>
      <c r="L25" t="s">
        <v>17</v>
      </c>
      <c r="M25" s="7" cm="1">
        <f t="array" ref="M25">COUNTA(_xlfn.UNIQUE(_xlfn._xlws.FILTER(E:E,L:L=L25)))</f>
        <v>1</v>
      </c>
      <c r="N25" t="s">
        <v>3311</v>
      </c>
      <c r="O25" t="s">
        <v>3360</v>
      </c>
    </row>
    <row r="26" spans="1:15" x14ac:dyDescent="0.35">
      <c r="A26" s="7">
        <f>_xlfn.XLOOKUP(C26,'NACE Rev. All Levels'!$C:$C,'NACE Rev. All Levels'!A:A)</f>
        <v>3</v>
      </c>
      <c r="B26" s="7" t="str">
        <f>_xlfn.XLOOKUP(C26,'NACE Rev. All Levels'!$C:$C,'NACE Rev. All Levels'!B:B)</f>
        <v>244</v>
      </c>
      <c r="C26" t="s">
        <v>3320</v>
      </c>
      <c r="D26" s="7" t="str" cm="1">
        <f t="array" ref="D26">_xlfn.TEXTJOIN(", ",TRUE,_xlfn.UNIQUE(_xlfn._xlws.FILTER(B:B,E:E=E26)))</f>
        <v>244</v>
      </c>
      <c r="E26" t="s">
        <v>3320</v>
      </c>
      <c r="F26" s="7" cm="1">
        <f t="array" ref="F26">COUNTA(_xlfn.UNIQUE(_xlfn._xlws.FILTER(L:L,E:E=E26)))</f>
        <v>1</v>
      </c>
      <c r="G26" t="s">
        <v>3361</v>
      </c>
      <c r="H26" t="s">
        <v>3343</v>
      </c>
      <c r="I26" s="7" t="str">
        <f>_xlfn.XLOOKUP(J26,'ETS activities'!B:B,'ETS activities'!A:A)</f>
        <v>28</v>
      </c>
      <c r="J26" t="s">
        <v>23</v>
      </c>
      <c r="K26" s="7" t="str" cm="1">
        <f t="array" ref="K26">_xlfn.TEXTJOIN(", ",TRUE,_xlfn.UNIQUE(_xlfn._xlws.FILTER(I:I,L:L=L26)))</f>
        <v>28, 26, 27</v>
      </c>
      <c r="L26" t="s">
        <v>3361</v>
      </c>
      <c r="M26" s="7" cm="1">
        <f t="array" ref="M26">COUNTA(_xlfn.UNIQUE(_xlfn._xlws.FILTER(E:E,L:L=L26)))</f>
        <v>1</v>
      </c>
      <c r="N26" t="s">
        <v>3335</v>
      </c>
      <c r="O26" t="s">
        <v>3362</v>
      </c>
    </row>
    <row r="27" spans="1:15" x14ac:dyDescent="0.35">
      <c r="A27" s="7">
        <f>_xlfn.XLOOKUP(C27,'NACE Rev. All Levels'!$C:$C,'NACE Rev. All Levels'!A:A)</f>
        <v>3</v>
      </c>
      <c r="B27" s="7" t="str">
        <f>_xlfn.XLOOKUP(C27,'NACE Rev. All Levels'!$C:$C,'NACE Rev. All Levels'!B:B)</f>
        <v>244</v>
      </c>
      <c r="C27" t="s">
        <v>3320</v>
      </c>
      <c r="D27" s="7" t="str" cm="1">
        <f t="array" ref="D27">_xlfn.TEXTJOIN(", ",TRUE,_xlfn.UNIQUE(_xlfn._xlws.FILTER(B:B,E:E=E27)))</f>
        <v>244</v>
      </c>
      <c r="E27" t="s">
        <v>3320</v>
      </c>
      <c r="F27" s="7" cm="1">
        <f t="array" ref="F27">COUNTA(_xlfn.UNIQUE(_xlfn._xlws.FILTER(L:L,E:E=E27)))</f>
        <v>1</v>
      </c>
      <c r="G27" t="s">
        <v>3361</v>
      </c>
      <c r="H27" t="s">
        <v>3343</v>
      </c>
      <c r="I27" s="7" t="str">
        <f>_xlfn.XLOOKUP(J27,'ETS activities'!B:B,'ETS activities'!A:A)</f>
        <v>26</v>
      </c>
      <c r="J27" t="s">
        <v>19</v>
      </c>
      <c r="K27" s="7" t="str" cm="1">
        <f t="array" ref="K27">_xlfn.TEXTJOIN(", ",TRUE,_xlfn.UNIQUE(_xlfn._xlws.FILTER(I:I,L:L=L27)))</f>
        <v>28, 26, 27</v>
      </c>
      <c r="L27" t="s">
        <v>3361</v>
      </c>
      <c r="M27" s="7" cm="1">
        <f t="array" ref="M27">COUNTA(_xlfn.UNIQUE(_xlfn._xlws.FILTER(E:E,L:L=L27)))</f>
        <v>1</v>
      </c>
      <c r="N27" t="s">
        <v>3335</v>
      </c>
      <c r="O27" t="s">
        <v>3356</v>
      </c>
    </row>
    <row r="28" spans="1:15" x14ac:dyDescent="0.35">
      <c r="A28" s="7">
        <f>_xlfn.XLOOKUP(C28,'NACE Rev. All Levels'!$C:$C,'NACE Rev. All Levels'!A:A)</f>
        <v>3</v>
      </c>
      <c r="B28" s="7" t="str">
        <f>_xlfn.XLOOKUP(C28,'NACE Rev. All Levels'!$C:$C,'NACE Rev. All Levels'!B:B)</f>
        <v>244</v>
      </c>
      <c r="C28" t="s">
        <v>3320</v>
      </c>
      <c r="D28" s="7" t="str" cm="1">
        <f t="array" ref="D28">_xlfn.TEXTJOIN(", ",TRUE,_xlfn.UNIQUE(_xlfn._xlws.FILTER(B:B,E:E=E28)))</f>
        <v>244</v>
      </c>
      <c r="E28" t="s">
        <v>3320</v>
      </c>
      <c r="F28" s="7" cm="1">
        <f t="array" ref="F28">COUNTA(_xlfn.UNIQUE(_xlfn._xlws.FILTER(L:L,E:E=E28)))</f>
        <v>1</v>
      </c>
      <c r="G28" t="s">
        <v>3361</v>
      </c>
      <c r="H28" t="s">
        <v>3343</v>
      </c>
      <c r="I28" s="7" t="str">
        <f>_xlfn.XLOOKUP(J28,'ETS activities'!B:B,'ETS activities'!A:A)</f>
        <v>27</v>
      </c>
      <c r="J28" t="s">
        <v>21</v>
      </c>
      <c r="K28" s="7" t="str" cm="1">
        <f t="array" ref="K28">_xlfn.TEXTJOIN(", ",TRUE,_xlfn.UNIQUE(_xlfn._xlws.FILTER(I:I,L:L=L28)))</f>
        <v>28, 26, 27</v>
      </c>
      <c r="L28" t="s">
        <v>3361</v>
      </c>
      <c r="M28" s="7" cm="1">
        <f t="array" ref="M28">COUNTA(_xlfn.UNIQUE(_xlfn._xlws.FILTER(E:E,L:L=L28)))</f>
        <v>1</v>
      </c>
      <c r="N28" t="s">
        <v>3335</v>
      </c>
      <c r="O28" t="s">
        <v>3356</v>
      </c>
    </row>
    <row r="29" spans="1:15" x14ac:dyDescent="0.35">
      <c r="A29" s="7">
        <f>_xlfn.XLOOKUP(C29,'NACE Rev. All Levels'!$C:$C,'NACE Rev. All Levels'!A:A)</f>
        <v>2</v>
      </c>
      <c r="B29" s="7" t="str">
        <f>_xlfn.XLOOKUP(C29,'NACE Rev. All Levels'!$C:$C,'NACE Rev. All Levels'!B:B)</f>
        <v>35</v>
      </c>
      <c r="C29" t="s">
        <v>3312</v>
      </c>
      <c r="D29" s="7" t="str" cm="1">
        <f t="array" ref="D29">_xlfn.TEXTJOIN(", ",TRUE,_xlfn.UNIQUE(_xlfn._xlws.FILTER(B:B,E:E=E29)))</f>
        <v>35</v>
      </c>
      <c r="E29" t="s">
        <v>3312</v>
      </c>
      <c r="F29" s="7" cm="1">
        <f t="array" ref="F29">COUNTA(_xlfn.UNIQUE(_xlfn._xlws.FILTER(L:L,E:E=E29)))</f>
        <v>1</v>
      </c>
      <c r="H29" t="s">
        <v>3342</v>
      </c>
      <c r="I29" s="7" t="str">
        <f>_xlfn.XLOOKUP(J29,'ETS activities'!B:B,'ETS activities'!A:A)</f>
        <v>20</v>
      </c>
      <c r="J29" t="s">
        <v>3</v>
      </c>
      <c r="K29" s="7" t="str" cm="1">
        <f t="array" ref="K29">_xlfn.TEXTJOIN(", ",TRUE,_xlfn.UNIQUE(_xlfn._xlws.FILTER(I:I,L:L=L29)))</f>
        <v>20</v>
      </c>
      <c r="L29" t="s">
        <v>3</v>
      </c>
      <c r="M29" s="7" cm="1">
        <f t="array" ref="M29">COUNTA(_xlfn.UNIQUE(_xlfn._xlws.FILTER(E:E,L:L=L29)))</f>
        <v>1</v>
      </c>
      <c r="N29" t="s">
        <v>3313</v>
      </c>
      <c r="O29" t="s">
        <v>3357</v>
      </c>
    </row>
    <row r="30" spans="1:15" x14ac:dyDescent="0.35">
      <c r="A30" s="7">
        <f>_xlfn.XLOOKUP(C30,'NACE Rev. All Levels'!$C:$C,'NACE Rev. All Levels'!A:A)</f>
        <v>2</v>
      </c>
      <c r="B30" s="7" t="str">
        <f>_xlfn.XLOOKUP(C30,'NACE Rev. All Levels'!$C:$C,'NACE Rev. All Levels'!B:B)</f>
        <v>39</v>
      </c>
      <c r="C30" t="s">
        <v>3330</v>
      </c>
      <c r="D30" s="7" t="str" cm="1">
        <f t="array" ref="D30">_xlfn.TEXTJOIN(", ",TRUE,_xlfn.UNIQUE(_xlfn._xlws.FILTER(B:B,E:E=E30)))</f>
        <v>39</v>
      </c>
      <c r="E30" t="s">
        <v>3330</v>
      </c>
      <c r="F30" s="7" cm="1">
        <f t="array" ref="F30">COUNTA(_xlfn.UNIQUE(_xlfn._xlws.FILTER(L:L,E:E=E30)))</f>
        <v>1</v>
      </c>
      <c r="H30" t="s">
        <v>3342</v>
      </c>
      <c r="I30" s="7" t="str">
        <f>_xlfn.XLOOKUP(J30,'ETS activities'!B:B,'ETS activities'!A:A)</f>
        <v>45</v>
      </c>
      <c r="J30" t="s">
        <v>57</v>
      </c>
      <c r="K30" s="7" t="str" cm="1">
        <f t="array" ref="K30">_xlfn.TEXTJOIN(", ",TRUE,_xlfn.UNIQUE(_xlfn._xlws.FILTER(I:I,L:L=L30)))</f>
        <v>45</v>
      </c>
      <c r="L30" t="s">
        <v>57</v>
      </c>
      <c r="M30" s="7" cm="1">
        <f t="array" ref="M30">COUNTA(_xlfn.UNIQUE(_xlfn._xlws.FILTER(E:E,L:L=L30)))</f>
        <v>1</v>
      </c>
      <c r="N30" t="s">
        <v>3313</v>
      </c>
      <c r="O30" t="s">
        <v>3357</v>
      </c>
    </row>
    <row r="31" spans="1:15" x14ac:dyDescent="0.35">
      <c r="A31" s="7">
        <f>_xlfn.XLOOKUP(C31,'NACE Rev. All Levels'!$C:$C,'NACE Rev. All Levels'!A:A)</f>
        <v>3</v>
      </c>
      <c r="B31" s="7" t="str">
        <f>_xlfn.XLOOKUP(C31,'NACE Rev. All Levels'!$C:$C,'NACE Rev. All Levels'!B:B)</f>
        <v>501</v>
      </c>
      <c r="C31" t="s">
        <v>3336</v>
      </c>
      <c r="D31" s="7" t="str" cm="1">
        <f t="array" ref="D31">_xlfn.TEXTJOIN(", ",TRUE,_xlfn.UNIQUE(_xlfn._xlws.FILTER(B:B,E:E=E31)))</f>
        <v>501, 502</v>
      </c>
      <c r="E31" t="s">
        <v>3363</v>
      </c>
      <c r="F31" s="7" cm="1">
        <f t="array" ref="F31">COUNTA(_xlfn.UNIQUE(_xlfn._xlws.FILTER(L:L,E:E=E31)))</f>
        <v>1</v>
      </c>
      <c r="H31" t="s">
        <v>3344</v>
      </c>
      <c r="I31" s="7" t="str">
        <f>_xlfn.XLOOKUP(J31,'ETS activities'!B:B,'ETS activities'!A:A)</f>
        <v>50</v>
      </c>
      <c r="J31" t="s">
        <v>59</v>
      </c>
      <c r="K31" s="7" t="str" cm="1">
        <f t="array" ref="K31">_xlfn.TEXTJOIN(", ",TRUE,_xlfn.UNIQUE(_xlfn._xlws.FILTER(I:I,L:L=L31)))</f>
        <v>50</v>
      </c>
      <c r="L31" t="s">
        <v>59</v>
      </c>
      <c r="M31" s="7" cm="1">
        <f t="array" ref="M31">COUNTA(_xlfn.UNIQUE(_xlfn._xlws.FILTER(E:E,L:L=L31)))</f>
        <v>1</v>
      </c>
      <c r="N31" t="s">
        <v>3311</v>
      </c>
      <c r="O31" t="s">
        <v>3358</v>
      </c>
    </row>
    <row r="32" spans="1:15" x14ac:dyDescent="0.35">
      <c r="A32" s="7">
        <f>_xlfn.XLOOKUP(C32,'NACE Rev. All Levels'!$C:$C,'NACE Rev. All Levels'!A:A)</f>
        <v>3</v>
      </c>
      <c r="B32" s="7" t="str">
        <f>_xlfn.XLOOKUP(C32,'NACE Rev. All Levels'!$C:$C,'NACE Rev. All Levels'!B:B)</f>
        <v>502</v>
      </c>
      <c r="C32" t="s">
        <v>3337</v>
      </c>
      <c r="D32" s="7" t="str" cm="1">
        <f t="array" ref="D32">_xlfn.TEXTJOIN(", ",TRUE,_xlfn.UNIQUE(_xlfn._xlws.FILTER(B:B,E:E=E32)))</f>
        <v>501, 502</v>
      </c>
      <c r="E32" t="s">
        <v>3363</v>
      </c>
      <c r="F32" s="7" cm="1">
        <f t="array" ref="F32">COUNTA(_xlfn.UNIQUE(_xlfn._xlws.FILTER(L:L,E:E=E32)))</f>
        <v>1</v>
      </c>
      <c r="H32" t="s">
        <v>3344</v>
      </c>
      <c r="I32" s="7" t="str">
        <f>_xlfn.XLOOKUP(J32,'ETS activities'!B:B,'ETS activities'!A:A)</f>
        <v>50</v>
      </c>
      <c r="J32" t="s">
        <v>59</v>
      </c>
      <c r="K32" s="7" t="str" cm="1">
        <f t="array" ref="K32">_xlfn.TEXTJOIN(", ",TRUE,_xlfn.UNIQUE(_xlfn._xlws.FILTER(I:I,L:L=L32)))</f>
        <v>50</v>
      </c>
      <c r="L32" t="s">
        <v>59</v>
      </c>
      <c r="M32" s="7" cm="1">
        <f t="array" ref="M32">COUNTA(_xlfn.UNIQUE(_xlfn._xlws.FILTER(E:E,L:L=L32)))</f>
        <v>1</v>
      </c>
      <c r="N32" t="s">
        <v>3311</v>
      </c>
      <c r="O32" t="s">
        <v>3358</v>
      </c>
    </row>
    <row r="33" spans="1:15" x14ac:dyDescent="0.35">
      <c r="A33" s="7">
        <f>_xlfn.XLOOKUP(C33,'NACE Rev. All Levels'!$C:$C,'NACE Rev. All Levels'!A:A)</f>
        <v>3</v>
      </c>
      <c r="B33" s="7" t="str">
        <f>_xlfn.XLOOKUP(C33,'NACE Rev. All Levels'!$C:$C,'NACE Rev. All Levels'!B:B)</f>
        <v>511</v>
      </c>
      <c r="C33" t="s">
        <v>3333</v>
      </c>
      <c r="D33" s="7" t="str" cm="1">
        <f t="array" ref="D33">_xlfn.TEXTJOIN(", ",TRUE,_xlfn.UNIQUE(_xlfn._xlws.FILTER(B:B,E:E=E33)))</f>
        <v>511, 512</v>
      </c>
      <c r="E33" t="s">
        <v>3364</v>
      </c>
      <c r="F33" s="7" cm="1">
        <f t="array" ref="F33">COUNTA(_xlfn.UNIQUE(_xlfn._xlws.FILTER(L:L,E:E=E33)))</f>
        <v>1</v>
      </c>
      <c r="H33" t="s">
        <v>3344</v>
      </c>
      <c r="I33" s="7" t="str">
        <f>_xlfn.XLOOKUP(J33,'ETS activities'!B:B,'ETS activities'!A:A)</f>
        <v>10</v>
      </c>
      <c r="J33" t="s">
        <v>1</v>
      </c>
      <c r="K33" s="7" t="str" cm="1">
        <f t="array" ref="K33">_xlfn.TEXTJOIN(", ",TRUE,_xlfn.UNIQUE(_xlfn._xlws.FILTER(I:I,L:L=L33)))</f>
        <v>10</v>
      </c>
      <c r="L33" t="s">
        <v>1</v>
      </c>
      <c r="M33" s="7" cm="1">
        <f t="array" ref="M33">COUNTA(_xlfn.UNIQUE(_xlfn._xlws.FILTER(E:E,L:L=L33)))</f>
        <v>1</v>
      </c>
      <c r="N33" t="s">
        <v>3311</v>
      </c>
      <c r="O33" t="s">
        <v>3358</v>
      </c>
    </row>
    <row r="34" spans="1:15" x14ac:dyDescent="0.35">
      <c r="A34" s="7">
        <f>_xlfn.XLOOKUP(C34,'NACE Rev. All Levels'!$C:$C,'NACE Rev. All Levels'!A:A)</f>
        <v>3</v>
      </c>
      <c r="B34" s="7" t="str">
        <f>_xlfn.XLOOKUP(C34,'NACE Rev. All Levels'!$C:$C,'NACE Rev. All Levels'!B:B)</f>
        <v>512</v>
      </c>
      <c r="C34" t="s">
        <v>3334</v>
      </c>
      <c r="D34" s="7" t="str" cm="1">
        <f t="array" ref="D34">_xlfn.TEXTJOIN(", ",TRUE,_xlfn.UNIQUE(_xlfn._xlws.FILTER(B:B,E:E=E34)))</f>
        <v>511, 512</v>
      </c>
      <c r="E34" t="s">
        <v>3364</v>
      </c>
      <c r="F34" s="7" cm="1">
        <f t="array" ref="F34">COUNTA(_xlfn.UNIQUE(_xlfn._xlws.FILTER(L:L,E:E=E34)))</f>
        <v>1</v>
      </c>
      <c r="H34" t="s">
        <v>3344</v>
      </c>
      <c r="I34" s="7" t="str">
        <f>_xlfn.XLOOKUP(J34,'ETS activities'!B:B,'ETS activities'!A:A)</f>
        <v>10</v>
      </c>
      <c r="J34" t="s">
        <v>1</v>
      </c>
      <c r="K34" s="7" t="str" cm="1">
        <f t="array" ref="K34">_xlfn.TEXTJOIN(", ",TRUE,_xlfn.UNIQUE(_xlfn._xlws.FILTER(I:I,L:L=L34)))</f>
        <v>10</v>
      </c>
      <c r="L34" t="s">
        <v>1</v>
      </c>
      <c r="M34" s="7" cm="1">
        <f t="array" ref="M34">COUNTA(_xlfn.UNIQUE(_xlfn._xlws.FILTER(E:E,L:L=L34)))</f>
        <v>1</v>
      </c>
      <c r="N34" t="s">
        <v>3311</v>
      </c>
      <c r="O34" t="s">
        <v>3358</v>
      </c>
    </row>
    <row r="35" spans="1:15" x14ac:dyDescent="0.35">
      <c r="F35" s="7" cm="1">
        <f t="array" ref="F35">COUNTA(_xlfn.UNIQUE(_xlfn._xlws.FILTER(L:L,E:E=E35)))</f>
        <v>4</v>
      </c>
      <c r="H35" s="6" t="s">
        <v>3367</v>
      </c>
      <c r="I35" s="7" t="str">
        <f>_xlfn.XLOOKUP(J35,'ETS activities'!B:B,'ETS activities'!A:A)</f>
        <v>20-99</v>
      </c>
      <c r="J35" t="s">
        <v>5</v>
      </c>
      <c r="K35" s="7" t="str" cm="1">
        <f t="array" ref="K35">_xlfn.TEXTJOIN(", ",TRUE,_xlfn.UNIQUE(_xlfn._xlws.FILTER(I:I,L:L=L35)))</f>
        <v>20-99</v>
      </c>
      <c r="L35" t="s">
        <v>5</v>
      </c>
      <c r="M35" s="7" cm="1">
        <f t="array" ref="M35">COUNTA(_xlfn.UNIQUE(_xlfn._xlws.FILTER(E:E,L:L=L35)))</f>
        <v>1</v>
      </c>
      <c r="N35" t="s">
        <v>3331</v>
      </c>
      <c r="O35" t="s">
        <v>3338</v>
      </c>
    </row>
    <row r="36" spans="1:15" x14ac:dyDescent="0.35">
      <c r="F36" s="7" cm="1">
        <f t="array" ref="F36">COUNTA(_xlfn.UNIQUE(_xlfn._xlws.FILTER(L:L,E:E=E36)))</f>
        <v>4</v>
      </c>
      <c r="H36" s="6" t="s">
        <v>3367</v>
      </c>
      <c r="I36" s="7" t="str">
        <f>_xlfn.XLOOKUP(J36,'ETS activities'!B:B,'ETS activities'!A:A)</f>
        <v>21-99</v>
      </c>
      <c r="J36" t="s">
        <v>9</v>
      </c>
      <c r="K36" s="7" t="str" cm="1">
        <f t="array" ref="K36">_xlfn.TEXTJOIN(", ",TRUE,_xlfn.UNIQUE(_xlfn._xlws.FILTER(I:I,L:L=L36)))</f>
        <v>21-99</v>
      </c>
      <c r="L36" t="s">
        <v>9</v>
      </c>
      <c r="M36" s="7" cm="1">
        <f t="array" ref="M36">COUNTA(_xlfn.UNIQUE(_xlfn._xlws.FILTER(E:E,L:L=L36)))</f>
        <v>1</v>
      </c>
      <c r="N36" t="s">
        <v>3331</v>
      </c>
      <c r="O36" t="s">
        <v>3338</v>
      </c>
    </row>
    <row r="37" spans="1:15" x14ac:dyDescent="0.35">
      <c r="F37" s="7" cm="1">
        <f t="array" ref="F37">COUNTA(_xlfn.UNIQUE(_xlfn._xlws.FILTER(L:L,E:E=E37)))</f>
        <v>4</v>
      </c>
      <c r="H37" s="6" t="s">
        <v>3367</v>
      </c>
      <c r="I37" s="7" t="str">
        <f>_xlfn.XLOOKUP(J37,'ETS activities'!B:B,'ETS activities'!A:A)</f>
        <v>99</v>
      </c>
      <c r="J37" t="s">
        <v>61</v>
      </c>
      <c r="K37" s="7" t="str" cm="1">
        <f t="array" ref="K37">_xlfn.TEXTJOIN(", ",TRUE,_xlfn.UNIQUE(_xlfn._xlws.FILTER(I:I,L:L=L37)))</f>
        <v>99</v>
      </c>
      <c r="L37" t="s">
        <v>61</v>
      </c>
      <c r="M37" s="7" cm="1">
        <f t="array" ref="M37">COUNTA(_xlfn.UNIQUE(_xlfn._xlws.FILTER(E:E,L:L=L37)))</f>
        <v>1</v>
      </c>
      <c r="N37" t="s">
        <v>3331</v>
      </c>
      <c r="O37" t="s">
        <v>3338</v>
      </c>
    </row>
  </sheetData>
  <conditionalFormatting sqref="F2:F37">
    <cfRule type="colorScale" priority="2">
      <colorScale>
        <cfvo type="num" val="1"/>
        <cfvo type="percentile" val="50"/>
        <cfvo type="num" val="5"/>
        <color rgb="FF63BE7B"/>
        <color rgb="FFFFEB84"/>
        <color rgb="FFF8696B"/>
      </colorScale>
    </cfRule>
  </conditionalFormatting>
  <conditionalFormatting sqref="M2:M37">
    <cfRule type="colorScale" priority="1">
      <colorScale>
        <cfvo type="num" val="1"/>
        <cfvo type="percentile" val="50"/>
        <cfvo type="num" val="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1AFA-8805-4032-A494-86D01B6DF9C3}">
  <dimension ref="A1:K997"/>
  <sheetViews>
    <sheetView workbookViewId="0">
      <pane ySplit="1" topLeftCell="A577" activePane="bottomLeft" state="frozen"/>
      <selection pane="bottomLeft" activeCell="C625" sqref="C625"/>
    </sheetView>
  </sheetViews>
  <sheetFormatPr defaultRowHeight="14.5" x14ac:dyDescent="0.35"/>
  <cols>
    <col min="1" max="1" width="4.6328125" bestFit="1" customWidth="1"/>
    <col min="2" max="2" width="4.81640625" bestFit="1" customWidth="1"/>
    <col min="3" max="3" width="71.1796875" customWidth="1"/>
    <col min="4" max="4" width="125.54296875" hidden="1" customWidth="1"/>
    <col min="5" max="5" width="11.36328125" bestFit="1" customWidth="1"/>
  </cols>
  <sheetData>
    <row r="1" spans="1:11" x14ac:dyDescent="0.35">
      <c r="A1" t="s">
        <v>3302</v>
      </c>
      <c r="B1" t="s">
        <v>335</v>
      </c>
      <c r="C1" t="s">
        <v>3303</v>
      </c>
      <c r="D1" t="s">
        <v>3304</v>
      </c>
      <c r="E1" t="s">
        <v>3305</v>
      </c>
      <c r="F1" t="s">
        <v>3306</v>
      </c>
      <c r="K1" cm="1">
        <f t="array" ref="K1">COUNTA(_xlfn.UNIQUE(_xlfn._xlws.FILTER(C:C,A:A=3)))</f>
        <v>272</v>
      </c>
    </row>
    <row r="2" spans="1:11" x14ac:dyDescent="0.35">
      <c r="A2">
        <v>2</v>
      </c>
      <c r="B2" t="s">
        <v>404</v>
      </c>
      <c r="C2" t="str">
        <f>IF(A2=1,RIGHT(D2,LEN(D2)-2),IF(A2=2,RIGHT(D2,LEN(D2)-3),IF(A2=3,RIGHT(D2,LEN(D2)-5),RIGHT(D2,LEN(D2)-6))))</f>
        <v>Crop and animal production, hunting and related service activities</v>
      </c>
      <c r="D2" t="s">
        <v>405</v>
      </c>
      <c r="E2" t="s">
        <v>341</v>
      </c>
      <c r="F2" t="s">
        <v>406</v>
      </c>
    </row>
    <row r="3" spans="1:11" x14ac:dyDescent="0.35">
      <c r="A3">
        <v>3</v>
      </c>
      <c r="B3" t="s">
        <v>642</v>
      </c>
      <c r="C3" t="str">
        <f>IF(A3=1,RIGHT(D3,LEN(D3)-2),IF(A3=2,RIGHT(D3,LEN(D3)-3),IF(A3=3,RIGHT(D3,LEN(D3)-5),RIGHT(D3,LEN(D3)-6))))</f>
        <v>Growing of non-perennial crops</v>
      </c>
      <c r="D3" t="s">
        <v>643</v>
      </c>
      <c r="E3" t="s">
        <v>404</v>
      </c>
      <c r="F3" t="s">
        <v>644</v>
      </c>
    </row>
    <row r="4" spans="1:11" x14ac:dyDescent="0.35">
      <c r="A4">
        <v>4</v>
      </c>
      <c r="B4" t="s">
        <v>1457</v>
      </c>
      <c r="C4" t="str">
        <f>IF(A4=1,RIGHT(D4,LEN(D4)-2),IF(A4=2,RIGHT(D4,LEN(D4)-3),IF(A4=3,RIGHT(D4,LEN(D4)-5),RIGHT(D4,LEN(D4)-6))))</f>
        <v>Growing of cereals (except rice), leguminous crops and oil seeds</v>
      </c>
      <c r="D4" t="s">
        <v>1458</v>
      </c>
      <c r="E4" t="s">
        <v>642</v>
      </c>
      <c r="F4" t="s">
        <v>1459</v>
      </c>
    </row>
    <row r="5" spans="1:11" x14ac:dyDescent="0.35">
      <c r="A5">
        <v>4</v>
      </c>
      <c r="B5" t="s">
        <v>1460</v>
      </c>
      <c r="C5" t="str">
        <f>IF(A5=1,RIGHT(D5,LEN(D5)-2),IF(A5=2,RIGHT(D5,LEN(D5)-3),IF(A5=3,RIGHT(D5,LEN(D5)-5),RIGHT(D5,LEN(D5)-6))))</f>
        <v>Growing of rice</v>
      </c>
      <c r="D5" t="s">
        <v>1461</v>
      </c>
      <c r="E5" t="s">
        <v>642</v>
      </c>
      <c r="F5" t="s">
        <v>1462</v>
      </c>
    </row>
    <row r="6" spans="1:11" x14ac:dyDescent="0.35">
      <c r="A6">
        <v>4</v>
      </c>
      <c r="B6" t="s">
        <v>1463</v>
      </c>
      <c r="C6" t="str">
        <f>IF(A6=1,RIGHT(D6,LEN(D6)-2),IF(A6=2,RIGHT(D6,LEN(D6)-3),IF(A6=3,RIGHT(D6,LEN(D6)-5),RIGHT(D6,LEN(D6)-6))))</f>
        <v>Growing of vegetables and melons, roots and tubers</v>
      </c>
      <c r="D6" t="s">
        <v>1464</v>
      </c>
      <c r="E6" t="s">
        <v>642</v>
      </c>
      <c r="F6" t="s">
        <v>1465</v>
      </c>
    </row>
    <row r="7" spans="1:11" x14ac:dyDescent="0.35">
      <c r="A7">
        <v>4</v>
      </c>
      <c r="B7" t="s">
        <v>1466</v>
      </c>
      <c r="C7" t="str">
        <f>IF(A7=1,RIGHT(D7,LEN(D7)-2),IF(A7=2,RIGHT(D7,LEN(D7)-3),IF(A7=3,RIGHT(D7,LEN(D7)-5),RIGHT(D7,LEN(D7)-6))))</f>
        <v>Growing of sugar cane</v>
      </c>
      <c r="D7" t="s">
        <v>1467</v>
      </c>
      <c r="E7" t="s">
        <v>642</v>
      </c>
      <c r="F7" t="s">
        <v>1468</v>
      </c>
    </row>
    <row r="8" spans="1:11" x14ac:dyDescent="0.35">
      <c r="A8">
        <v>4</v>
      </c>
      <c r="B8" t="s">
        <v>1469</v>
      </c>
      <c r="C8" t="str">
        <f>IF(A8=1,RIGHT(D8,LEN(D8)-2),IF(A8=2,RIGHT(D8,LEN(D8)-3),IF(A8=3,RIGHT(D8,LEN(D8)-5),RIGHT(D8,LEN(D8)-6))))</f>
        <v>Growing of tobacco</v>
      </c>
      <c r="D8" t="s">
        <v>1470</v>
      </c>
      <c r="E8" t="s">
        <v>642</v>
      </c>
      <c r="F8" t="s">
        <v>1471</v>
      </c>
    </row>
    <row r="9" spans="1:11" x14ac:dyDescent="0.35">
      <c r="A9">
        <v>4</v>
      </c>
      <c r="B9" t="s">
        <v>1472</v>
      </c>
      <c r="C9" t="str">
        <f>IF(A9=1,RIGHT(D9,LEN(D9)-2),IF(A9=2,RIGHT(D9,LEN(D9)-3),IF(A9=3,RIGHT(D9,LEN(D9)-5),RIGHT(D9,LEN(D9)-6))))</f>
        <v>Growing of fibre crops</v>
      </c>
      <c r="D9" t="s">
        <v>1473</v>
      </c>
      <c r="E9" t="s">
        <v>642</v>
      </c>
      <c r="F9" t="s">
        <v>1474</v>
      </c>
    </row>
    <row r="10" spans="1:11" x14ac:dyDescent="0.35">
      <c r="A10">
        <v>4</v>
      </c>
      <c r="B10" t="s">
        <v>1475</v>
      </c>
      <c r="C10" t="str">
        <f>IF(A10=1,RIGHT(D10,LEN(D10)-2),IF(A10=2,RIGHT(D10,LEN(D10)-3),IF(A10=3,RIGHT(D10,LEN(D10)-5),RIGHT(D10,LEN(D10)-6))))</f>
        <v>Growing of other non-perennial crops</v>
      </c>
      <c r="D10" t="s">
        <v>1476</v>
      </c>
      <c r="E10" t="s">
        <v>642</v>
      </c>
      <c r="F10" t="s">
        <v>1477</v>
      </c>
    </row>
    <row r="11" spans="1:11" x14ac:dyDescent="0.35">
      <c r="A11">
        <v>3</v>
      </c>
      <c r="B11" t="s">
        <v>645</v>
      </c>
      <c r="C11" t="str">
        <f>IF(A11=1,RIGHT(D11,LEN(D11)-2),IF(A11=2,RIGHT(D11,LEN(D11)-3),IF(A11=3,RIGHT(D11,LEN(D11)-5),RIGHT(D11,LEN(D11)-6))))</f>
        <v>Growing of perennial crops</v>
      </c>
      <c r="D11" t="s">
        <v>646</v>
      </c>
      <c r="E11" t="s">
        <v>404</v>
      </c>
      <c r="F11" t="s">
        <v>647</v>
      </c>
    </row>
    <row r="12" spans="1:11" x14ac:dyDescent="0.35">
      <c r="A12">
        <v>4</v>
      </c>
      <c r="B12" t="s">
        <v>1478</v>
      </c>
      <c r="C12" t="str">
        <f>IF(A12=1,RIGHT(D12,LEN(D12)-2),IF(A12=2,RIGHT(D12,LEN(D12)-3),IF(A12=3,RIGHT(D12,LEN(D12)-5),RIGHT(D12,LEN(D12)-6))))</f>
        <v>Growing of grapes</v>
      </c>
      <c r="D12" t="s">
        <v>1479</v>
      </c>
      <c r="E12" t="s">
        <v>645</v>
      </c>
      <c r="F12" t="s">
        <v>1480</v>
      </c>
    </row>
    <row r="13" spans="1:11" x14ac:dyDescent="0.35">
      <c r="A13">
        <v>4</v>
      </c>
      <c r="B13" t="s">
        <v>1481</v>
      </c>
      <c r="C13" t="str">
        <f>IF(A13=1,RIGHT(D13,LEN(D13)-2),IF(A13=2,RIGHT(D13,LEN(D13)-3),IF(A13=3,RIGHT(D13,LEN(D13)-5),RIGHT(D13,LEN(D13)-6))))</f>
        <v>Growing of tropical and subtropical fruits</v>
      </c>
      <c r="D13" t="s">
        <v>1482</v>
      </c>
      <c r="E13" t="s">
        <v>645</v>
      </c>
      <c r="F13" t="s">
        <v>1483</v>
      </c>
    </row>
    <row r="14" spans="1:11" x14ac:dyDescent="0.35">
      <c r="A14">
        <v>4</v>
      </c>
      <c r="B14" t="s">
        <v>1484</v>
      </c>
      <c r="C14" t="str">
        <f>IF(A14=1,RIGHT(D14,LEN(D14)-2),IF(A14=2,RIGHT(D14,LEN(D14)-3),IF(A14=3,RIGHT(D14,LEN(D14)-5),RIGHT(D14,LEN(D14)-6))))</f>
        <v>Growing of citrus fruits</v>
      </c>
      <c r="D14" t="s">
        <v>1485</v>
      </c>
      <c r="E14" t="s">
        <v>645</v>
      </c>
      <c r="F14" t="s">
        <v>1486</v>
      </c>
    </row>
    <row r="15" spans="1:11" x14ac:dyDescent="0.35">
      <c r="A15">
        <v>4</v>
      </c>
      <c r="B15" t="s">
        <v>1487</v>
      </c>
      <c r="C15" t="str">
        <f>IF(A15=1,RIGHT(D15,LEN(D15)-2),IF(A15=2,RIGHT(D15,LEN(D15)-3),IF(A15=3,RIGHT(D15,LEN(D15)-5),RIGHT(D15,LEN(D15)-6))))</f>
        <v>Growing of pome fruits and stone fruits</v>
      </c>
      <c r="D15" t="s">
        <v>1488</v>
      </c>
      <c r="E15" t="s">
        <v>645</v>
      </c>
      <c r="F15" t="s">
        <v>1489</v>
      </c>
    </row>
    <row r="16" spans="1:11" x14ac:dyDescent="0.35">
      <c r="A16">
        <v>4</v>
      </c>
      <c r="B16" t="s">
        <v>1490</v>
      </c>
      <c r="C16" t="str">
        <f>IF(A16=1,RIGHT(D16,LEN(D16)-2),IF(A16=2,RIGHT(D16,LEN(D16)-3),IF(A16=3,RIGHT(D16,LEN(D16)-5),RIGHT(D16,LEN(D16)-6))))</f>
        <v>Growing of other tree and bush fruits and nuts</v>
      </c>
      <c r="D16" t="s">
        <v>1491</v>
      </c>
      <c r="E16" t="s">
        <v>645</v>
      </c>
      <c r="F16" t="s">
        <v>1492</v>
      </c>
    </row>
    <row r="17" spans="1:6" x14ac:dyDescent="0.35">
      <c r="A17">
        <v>4</v>
      </c>
      <c r="B17" t="s">
        <v>1493</v>
      </c>
      <c r="C17" t="str">
        <f>IF(A17=1,RIGHT(D17,LEN(D17)-2),IF(A17=2,RIGHT(D17,LEN(D17)-3),IF(A17=3,RIGHT(D17,LEN(D17)-5),RIGHT(D17,LEN(D17)-6))))</f>
        <v>Growing of oleaginous fruits</v>
      </c>
      <c r="D17" t="s">
        <v>1494</v>
      </c>
      <c r="E17" t="s">
        <v>645</v>
      </c>
      <c r="F17" t="s">
        <v>1495</v>
      </c>
    </row>
    <row r="18" spans="1:6" x14ac:dyDescent="0.35">
      <c r="A18">
        <v>4</v>
      </c>
      <c r="B18" t="s">
        <v>1496</v>
      </c>
      <c r="C18" t="str">
        <f>IF(A18=1,RIGHT(D18,LEN(D18)-2),IF(A18=2,RIGHT(D18,LEN(D18)-3),IF(A18=3,RIGHT(D18,LEN(D18)-5),RIGHT(D18,LEN(D18)-6))))</f>
        <v>Growing of beverage crops</v>
      </c>
      <c r="D18" t="s">
        <v>1497</v>
      </c>
      <c r="E18" t="s">
        <v>645</v>
      </c>
      <c r="F18" t="s">
        <v>1498</v>
      </c>
    </row>
    <row r="19" spans="1:6" x14ac:dyDescent="0.35">
      <c r="A19">
        <v>4</v>
      </c>
      <c r="B19" t="s">
        <v>1499</v>
      </c>
      <c r="C19" t="str">
        <f>IF(A19=1,RIGHT(D19,LEN(D19)-2),IF(A19=2,RIGHT(D19,LEN(D19)-3),IF(A19=3,RIGHT(D19,LEN(D19)-5),RIGHT(D19,LEN(D19)-6))))</f>
        <v>Growing of spices, aromatic, drug and pharmaceutical crops</v>
      </c>
      <c r="D19" t="s">
        <v>1500</v>
      </c>
      <c r="E19" t="s">
        <v>645</v>
      </c>
      <c r="F19" t="s">
        <v>1501</v>
      </c>
    </row>
    <row r="20" spans="1:6" x14ac:dyDescent="0.35">
      <c r="A20">
        <v>4</v>
      </c>
      <c r="B20" t="s">
        <v>1502</v>
      </c>
      <c r="C20" t="str">
        <f>IF(A20=1,RIGHT(D20,LEN(D20)-2),IF(A20=2,RIGHT(D20,LEN(D20)-3),IF(A20=3,RIGHT(D20,LEN(D20)-5),RIGHT(D20,LEN(D20)-6))))</f>
        <v>Growing of other perennial crops</v>
      </c>
      <c r="D20" t="s">
        <v>1503</v>
      </c>
      <c r="E20" t="s">
        <v>645</v>
      </c>
      <c r="F20" t="s">
        <v>1504</v>
      </c>
    </row>
    <row r="21" spans="1:6" x14ac:dyDescent="0.35">
      <c r="A21">
        <v>3</v>
      </c>
      <c r="B21" t="s">
        <v>648</v>
      </c>
      <c r="C21" t="str">
        <f>IF(A21=1,RIGHT(D21,LEN(D21)-2),IF(A21=2,RIGHT(D21,LEN(D21)-3),IF(A21=3,RIGHT(D21,LEN(D21)-5),RIGHT(D21,LEN(D21)-6))))</f>
        <v>Plant propagation</v>
      </c>
      <c r="D21" t="s">
        <v>649</v>
      </c>
      <c r="E21" t="s">
        <v>404</v>
      </c>
      <c r="F21" t="s">
        <v>650</v>
      </c>
    </row>
    <row r="22" spans="1:6" x14ac:dyDescent="0.35">
      <c r="A22">
        <v>4</v>
      </c>
      <c r="B22" t="s">
        <v>1505</v>
      </c>
      <c r="C22" t="str">
        <f>IF(A22=1,RIGHT(D22,LEN(D22)-2),IF(A22=2,RIGHT(D22,LEN(D22)-3),IF(A22=3,RIGHT(D22,LEN(D22)-5),RIGHT(D22,LEN(D22)-6))))</f>
        <v>Plant propagation</v>
      </c>
      <c r="D22" t="s">
        <v>1506</v>
      </c>
      <c r="E22" t="s">
        <v>648</v>
      </c>
      <c r="F22" t="s">
        <v>1507</v>
      </c>
    </row>
    <row r="23" spans="1:6" x14ac:dyDescent="0.35">
      <c r="A23">
        <v>3</v>
      </c>
      <c r="B23" t="s">
        <v>651</v>
      </c>
      <c r="C23" t="str">
        <f>IF(A23=1,RIGHT(D23,LEN(D23)-2),IF(A23=2,RIGHT(D23,LEN(D23)-3),IF(A23=3,RIGHT(D23,LEN(D23)-5),RIGHT(D23,LEN(D23)-6))))</f>
        <v>Animal production</v>
      </c>
      <c r="D23" t="s">
        <v>652</v>
      </c>
      <c r="E23" t="s">
        <v>404</v>
      </c>
      <c r="F23" t="s">
        <v>653</v>
      </c>
    </row>
    <row r="24" spans="1:6" x14ac:dyDescent="0.35">
      <c r="A24">
        <v>4</v>
      </c>
      <c r="B24" t="s">
        <v>1508</v>
      </c>
      <c r="C24" t="str">
        <f>IF(A24=1,RIGHT(D24,LEN(D24)-2),IF(A24=2,RIGHT(D24,LEN(D24)-3),IF(A24=3,RIGHT(D24,LEN(D24)-5),RIGHT(D24,LEN(D24)-6))))</f>
        <v>Raising of dairy cattle</v>
      </c>
      <c r="D24" t="s">
        <v>1509</v>
      </c>
      <c r="E24" t="s">
        <v>651</v>
      </c>
      <c r="F24" t="s">
        <v>1510</v>
      </c>
    </row>
    <row r="25" spans="1:6" x14ac:dyDescent="0.35">
      <c r="A25">
        <v>4</v>
      </c>
      <c r="B25" t="s">
        <v>1511</v>
      </c>
      <c r="C25" t="str">
        <f>IF(A25=1,RIGHT(D25,LEN(D25)-2),IF(A25=2,RIGHT(D25,LEN(D25)-3),IF(A25=3,RIGHT(D25,LEN(D25)-5),RIGHT(D25,LEN(D25)-6))))</f>
        <v>Raising of other cattle and buffaloes</v>
      </c>
      <c r="D25" t="s">
        <v>1512</v>
      </c>
      <c r="E25" t="s">
        <v>651</v>
      </c>
      <c r="F25" t="s">
        <v>1513</v>
      </c>
    </row>
    <row r="26" spans="1:6" x14ac:dyDescent="0.35">
      <c r="A26">
        <v>4</v>
      </c>
      <c r="B26" t="s">
        <v>1514</v>
      </c>
      <c r="C26" t="str">
        <f>IF(A26=1,RIGHT(D26,LEN(D26)-2),IF(A26=2,RIGHT(D26,LEN(D26)-3),IF(A26=3,RIGHT(D26,LEN(D26)-5),RIGHT(D26,LEN(D26)-6))))</f>
        <v>Raising of horses and other equines</v>
      </c>
      <c r="D26" t="s">
        <v>1515</v>
      </c>
      <c r="E26" t="s">
        <v>651</v>
      </c>
      <c r="F26" t="s">
        <v>1516</v>
      </c>
    </row>
    <row r="27" spans="1:6" x14ac:dyDescent="0.35">
      <c r="A27">
        <v>4</v>
      </c>
      <c r="B27" t="s">
        <v>1517</v>
      </c>
      <c r="C27" t="str">
        <f>IF(A27=1,RIGHT(D27,LEN(D27)-2),IF(A27=2,RIGHT(D27,LEN(D27)-3),IF(A27=3,RIGHT(D27,LEN(D27)-5),RIGHT(D27,LEN(D27)-6))))</f>
        <v>Raising of camels and camelids</v>
      </c>
      <c r="D27" t="s">
        <v>1518</v>
      </c>
      <c r="E27" t="s">
        <v>651</v>
      </c>
      <c r="F27" t="s">
        <v>1519</v>
      </c>
    </row>
    <row r="28" spans="1:6" x14ac:dyDescent="0.35">
      <c r="A28">
        <v>4</v>
      </c>
      <c r="B28" t="s">
        <v>1520</v>
      </c>
      <c r="C28" t="str">
        <f>IF(A28=1,RIGHT(D28,LEN(D28)-2),IF(A28=2,RIGHT(D28,LEN(D28)-3),IF(A28=3,RIGHT(D28,LEN(D28)-5),RIGHT(D28,LEN(D28)-6))))</f>
        <v>Raising of sheep and goats</v>
      </c>
      <c r="D28" t="s">
        <v>1521</v>
      </c>
      <c r="E28" t="s">
        <v>651</v>
      </c>
      <c r="F28" t="s">
        <v>1522</v>
      </c>
    </row>
    <row r="29" spans="1:6" x14ac:dyDescent="0.35">
      <c r="A29">
        <v>4</v>
      </c>
      <c r="B29" t="s">
        <v>1523</v>
      </c>
      <c r="C29" t="str">
        <f>IF(A29=1,RIGHT(D29,LEN(D29)-2),IF(A29=2,RIGHT(D29,LEN(D29)-3),IF(A29=3,RIGHT(D29,LEN(D29)-5),RIGHT(D29,LEN(D29)-6))))</f>
        <v>Raising of swine/pigs</v>
      </c>
      <c r="D29" t="s">
        <v>1524</v>
      </c>
      <c r="E29" t="s">
        <v>651</v>
      </c>
      <c r="F29" t="s">
        <v>1525</v>
      </c>
    </row>
    <row r="30" spans="1:6" x14ac:dyDescent="0.35">
      <c r="A30">
        <v>4</v>
      </c>
      <c r="B30" t="s">
        <v>1526</v>
      </c>
      <c r="C30" t="str">
        <f>IF(A30=1,RIGHT(D30,LEN(D30)-2),IF(A30=2,RIGHT(D30,LEN(D30)-3),IF(A30=3,RIGHT(D30,LEN(D30)-5),RIGHT(D30,LEN(D30)-6))))</f>
        <v>Raising of poultry</v>
      </c>
      <c r="D30" t="s">
        <v>1527</v>
      </c>
      <c r="E30" t="s">
        <v>651</v>
      </c>
      <c r="F30" t="s">
        <v>1528</v>
      </c>
    </row>
    <row r="31" spans="1:6" x14ac:dyDescent="0.35">
      <c r="A31">
        <v>4</v>
      </c>
      <c r="B31" t="s">
        <v>1529</v>
      </c>
      <c r="C31" t="str">
        <f>IF(A31=1,RIGHT(D31,LEN(D31)-2),IF(A31=2,RIGHT(D31,LEN(D31)-3),IF(A31=3,RIGHT(D31,LEN(D31)-5),RIGHT(D31,LEN(D31)-6))))</f>
        <v>Raising of other animals</v>
      </c>
      <c r="D31" t="s">
        <v>1530</v>
      </c>
      <c r="E31" t="s">
        <v>651</v>
      </c>
      <c r="F31" t="s">
        <v>1531</v>
      </c>
    </row>
    <row r="32" spans="1:6" x14ac:dyDescent="0.35">
      <c r="A32">
        <v>3</v>
      </c>
      <c r="B32" t="s">
        <v>654</v>
      </c>
      <c r="C32" t="str">
        <f>IF(A32=1,RIGHT(D32,LEN(D32)-2),IF(A32=2,RIGHT(D32,LEN(D32)-3),IF(A32=3,RIGHT(D32,LEN(D32)-5),RIGHT(D32,LEN(D32)-6))))</f>
        <v>Mixed farming</v>
      </c>
      <c r="D32" t="s">
        <v>655</v>
      </c>
      <c r="E32" t="s">
        <v>404</v>
      </c>
      <c r="F32" t="s">
        <v>656</v>
      </c>
    </row>
    <row r="33" spans="1:6" x14ac:dyDescent="0.35">
      <c r="A33">
        <v>4</v>
      </c>
      <c r="B33" t="s">
        <v>1532</v>
      </c>
      <c r="C33" t="str">
        <f>IF(A33=1,RIGHT(D33,LEN(D33)-2),IF(A33=2,RIGHT(D33,LEN(D33)-3),IF(A33=3,RIGHT(D33,LEN(D33)-5),RIGHT(D33,LEN(D33)-6))))</f>
        <v>Mixed farming</v>
      </c>
      <c r="D33" t="s">
        <v>1533</v>
      </c>
      <c r="E33" t="s">
        <v>654</v>
      </c>
      <c r="F33" t="s">
        <v>1534</v>
      </c>
    </row>
    <row r="34" spans="1:6" x14ac:dyDescent="0.35">
      <c r="A34">
        <v>3</v>
      </c>
      <c r="B34" t="s">
        <v>657</v>
      </c>
      <c r="C34" t="str">
        <f>IF(A34=1,RIGHT(D34,LEN(D34)-2),IF(A34=2,RIGHT(D34,LEN(D34)-3),IF(A34=3,RIGHT(D34,LEN(D34)-5),RIGHT(D34,LEN(D34)-6))))</f>
        <v>Support activities to agriculture and post-harvest crop activities</v>
      </c>
      <c r="D34" t="s">
        <v>658</v>
      </c>
      <c r="E34" t="s">
        <v>404</v>
      </c>
      <c r="F34" t="s">
        <v>659</v>
      </c>
    </row>
    <row r="35" spans="1:6" x14ac:dyDescent="0.35">
      <c r="A35">
        <v>4</v>
      </c>
      <c r="B35" t="s">
        <v>1535</v>
      </c>
      <c r="C35" t="str">
        <f>IF(A35=1,RIGHT(D35,LEN(D35)-2),IF(A35=2,RIGHT(D35,LEN(D35)-3),IF(A35=3,RIGHT(D35,LEN(D35)-5),RIGHT(D35,LEN(D35)-6))))</f>
        <v>Support activities for crop production</v>
      </c>
      <c r="D35" t="s">
        <v>1536</v>
      </c>
      <c r="E35" t="s">
        <v>657</v>
      </c>
      <c r="F35" t="s">
        <v>1537</v>
      </c>
    </row>
    <row r="36" spans="1:6" x14ac:dyDescent="0.35">
      <c r="A36">
        <v>4</v>
      </c>
      <c r="B36" t="s">
        <v>1538</v>
      </c>
      <c r="C36" t="str">
        <f>IF(A36=1,RIGHT(D36,LEN(D36)-2),IF(A36=2,RIGHT(D36,LEN(D36)-3),IF(A36=3,RIGHT(D36,LEN(D36)-5),RIGHT(D36,LEN(D36)-6))))</f>
        <v>Support activities for animal production</v>
      </c>
      <c r="D36" t="s">
        <v>1539</v>
      </c>
      <c r="E36" t="s">
        <v>657</v>
      </c>
      <c r="F36" t="s">
        <v>1540</v>
      </c>
    </row>
    <row r="37" spans="1:6" x14ac:dyDescent="0.35">
      <c r="A37">
        <v>4</v>
      </c>
      <c r="B37" t="s">
        <v>1541</v>
      </c>
      <c r="C37" t="str">
        <f>IF(A37=1,RIGHT(D37,LEN(D37)-2),IF(A37=2,RIGHT(D37,LEN(D37)-3),IF(A37=3,RIGHT(D37,LEN(D37)-5),RIGHT(D37,LEN(D37)-6))))</f>
        <v>Post-harvest crop activities</v>
      </c>
      <c r="D37" t="s">
        <v>1542</v>
      </c>
      <c r="E37" t="s">
        <v>657</v>
      </c>
      <c r="F37" t="s">
        <v>1543</v>
      </c>
    </row>
    <row r="38" spans="1:6" x14ac:dyDescent="0.35">
      <c r="A38">
        <v>4</v>
      </c>
      <c r="B38" t="s">
        <v>1544</v>
      </c>
      <c r="C38" t="str">
        <f>IF(A38=1,RIGHT(D38,LEN(D38)-2),IF(A38=2,RIGHT(D38,LEN(D38)-3),IF(A38=3,RIGHT(D38,LEN(D38)-5),RIGHT(D38,LEN(D38)-6))))</f>
        <v>Seed processing for propagation</v>
      </c>
      <c r="D38" t="s">
        <v>1545</v>
      </c>
      <c r="E38" t="s">
        <v>657</v>
      </c>
      <c r="F38" t="s">
        <v>1546</v>
      </c>
    </row>
    <row r="39" spans="1:6" x14ac:dyDescent="0.35">
      <c r="A39">
        <v>3</v>
      </c>
      <c r="B39" t="s">
        <v>660</v>
      </c>
      <c r="C39" t="str">
        <f>IF(A39=1,RIGHT(D39,LEN(D39)-2),IF(A39=2,RIGHT(D39,LEN(D39)-3),IF(A39=3,RIGHT(D39,LEN(D39)-5),RIGHT(D39,LEN(D39)-6))))</f>
        <v>Hunting, trapping and related service activities</v>
      </c>
      <c r="D39" t="s">
        <v>661</v>
      </c>
      <c r="E39" t="s">
        <v>404</v>
      </c>
      <c r="F39" t="s">
        <v>662</v>
      </c>
    </row>
    <row r="40" spans="1:6" x14ac:dyDescent="0.35">
      <c r="A40">
        <v>4</v>
      </c>
      <c r="B40" t="s">
        <v>1547</v>
      </c>
      <c r="C40" t="str">
        <f>IF(A40=1,RIGHT(D40,LEN(D40)-2),IF(A40=2,RIGHT(D40,LEN(D40)-3),IF(A40=3,RIGHT(D40,LEN(D40)-5),RIGHT(D40,LEN(D40)-6))))</f>
        <v>Hunting, trapping and related service activities</v>
      </c>
      <c r="D40" t="s">
        <v>1548</v>
      </c>
      <c r="E40" t="s">
        <v>660</v>
      </c>
      <c r="F40" t="s">
        <v>1549</v>
      </c>
    </row>
    <row r="41" spans="1:6" x14ac:dyDescent="0.35">
      <c r="A41">
        <v>2</v>
      </c>
      <c r="B41" t="s">
        <v>407</v>
      </c>
      <c r="C41" t="str">
        <f>IF(A41=1,RIGHT(D41,LEN(D41)-2),IF(A41=2,RIGHT(D41,LEN(D41)-3),IF(A41=3,RIGHT(D41,LEN(D41)-5),RIGHT(D41,LEN(D41)-6))))</f>
        <v>Forestry and logging</v>
      </c>
      <c r="D41" t="s">
        <v>408</v>
      </c>
      <c r="E41" t="s">
        <v>341</v>
      </c>
      <c r="F41" t="s">
        <v>409</v>
      </c>
    </row>
    <row r="42" spans="1:6" x14ac:dyDescent="0.35">
      <c r="A42">
        <v>3</v>
      </c>
      <c r="B42" t="s">
        <v>663</v>
      </c>
      <c r="C42" t="str">
        <f>IF(A42=1,RIGHT(D42,LEN(D42)-2),IF(A42=2,RIGHT(D42,LEN(D42)-3),IF(A42=3,RIGHT(D42,LEN(D42)-5),RIGHT(D42,LEN(D42)-6))))</f>
        <v>Silviculture and other forestry activities</v>
      </c>
      <c r="D42" t="s">
        <v>664</v>
      </c>
      <c r="E42" t="s">
        <v>407</v>
      </c>
      <c r="F42" t="s">
        <v>665</v>
      </c>
    </row>
    <row r="43" spans="1:6" x14ac:dyDescent="0.35">
      <c r="A43">
        <v>4</v>
      </c>
      <c r="B43" t="s">
        <v>1550</v>
      </c>
      <c r="C43" t="str">
        <f>IF(A43=1,RIGHT(D43,LEN(D43)-2),IF(A43=2,RIGHT(D43,LEN(D43)-3),IF(A43=3,RIGHT(D43,LEN(D43)-5),RIGHT(D43,LEN(D43)-6))))</f>
        <v>Silviculture and other forestry activities</v>
      </c>
      <c r="D43" t="s">
        <v>1551</v>
      </c>
      <c r="E43" t="s">
        <v>663</v>
      </c>
      <c r="F43" t="s">
        <v>1552</v>
      </c>
    </row>
    <row r="44" spans="1:6" x14ac:dyDescent="0.35">
      <c r="A44">
        <v>3</v>
      </c>
      <c r="B44" t="s">
        <v>666</v>
      </c>
      <c r="C44" t="str">
        <f>IF(A44=1,RIGHT(D44,LEN(D44)-2),IF(A44=2,RIGHT(D44,LEN(D44)-3),IF(A44=3,RIGHT(D44,LEN(D44)-5),RIGHT(D44,LEN(D44)-6))))</f>
        <v>Logging</v>
      </c>
      <c r="D44" t="s">
        <v>667</v>
      </c>
      <c r="E44" t="s">
        <v>407</v>
      </c>
      <c r="F44" t="s">
        <v>668</v>
      </c>
    </row>
    <row r="45" spans="1:6" x14ac:dyDescent="0.35">
      <c r="A45">
        <v>4</v>
      </c>
      <c r="B45" t="s">
        <v>1553</v>
      </c>
      <c r="C45" t="str">
        <f>IF(A45=1,RIGHT(D45,LEN(D45)-2),IF(A45=2,RIGHT(D45,LEN(D45)-3),IF(A45=3,RIGHT(D45,LEN(D45)-5),RIGHT(D45,LEN(D45)-6))))</f>
        <v>Logging</v>
      </c>
      <c r="D45" t="s">
        <v>1554</v>
      </c>
      <c r="E45" t="s">
        <v>666</v>
      </c>
      <c r="F45" t="s">
        <v>1555</v>
      </c>
    </row>
    <row r="46" spans="1:6" x14ac:dyDescent="0.35">
      <c r="A46">
        <v>3</v>
      </c>
      <c r="B46" t="s">
        <v>669</v>
      </c>
      <c r="C46" t="str">
        <f>IF(A46=1,RIGHT(D46,LEN(D46)-2),IF(A46=2,RIGHT(D46,LEN(D46)-3),IF(A46=3,RIGHT(D46,LEN(D46)-5),RIGHT(D46,LEN(D46)-6))))</f>
        <v>Gathering of wild growing non-wood products</v>
      </c>
      <c r="D46" t="s">
        <v>670</v>
      </c>
      <c r="E46" t="s">
        <v>407</v>
      </c>
      <c r="F46" t="s">
        <v>671</v>
      </c>
    </row>
    <row r="47" spans="1:6" x14ac:dyDescent="0.35">
      <c r="A47">
        <v>4</v>
      </c>
      <c r="B47" t="s">
        <v>1556</v>
      </c>
      <c r="C47" t="str">
        <f>IF(A47=1,RIGHT(D47,LEN(D47)-2),IF(A47=2,RIGHT(D47,LEN(D47)-3),IF(A47=3,RIGHT(D47,LEN(D47)-5),RIGHT(D47,LEN(D47)-6))))</f>
        <v>Gathering of wild growing non-wood products</v>
      </c>
      <c r="D47" t="s">
        <v>1557</v>
      </c>
      <c r="E47" t="s">
        <v>669</v>
      </c>
      <c r="F47" t="s">
        <v>1558</v>
      </c>
    </row>
    <row r="48" spans="1:6" x14ac:dyDescent="0.35">
      <c r="A48">
        <v>3</v>
      </c>
      <c r="B48" t="s">
        <v>672</v>
      </c>
      <c r="C48" t="str">
        <f>IF(A48=1,RIGHT(D48,LEN(D48)-2),IF(A48=2,RIGHT(D48,LEN(D48)-3),IF(A48=3,RIGHT(D48,LEN(D48)-5),RIGHT(D48,LEN(D48)-6))))</f>
        <v>Support services to forestry</v>
      </c>
      <c r="D48" t="s">
        <v>673</v>
      </c>
      <c r="E48" t="s">
        <v>407</v>
      </c>
      <c r="F48" t="s">
        <v>674</v>
      </c>
    </row>
    <row r="49" spans="1:6" x14ac:dyDescent="0.35">
      <c r="A49">
        <v>4</v>
      </c>
      <c r="B49" t="s">
        <v>1559</v>
      </c>
      <c r="C49" t="str">
        <f>IF(A49=1,RIGHT(D49,LEN(D49)-2),IF(A49=2,RIGHT(D49,LEN(D49)-3),IF(A49=3,RIGHT(D49,LEN(D49)-5),RIGHT(D49,LEN(D49)-6))))</f>
        <v>Support services to forestry</v>
      </c>
      <c r="D49" t="s">
        <v>1560</v>
      </c>
      <c r="E49" t="s">
        <v>672</v>
      </c>
      <c r="F49" t="s">
        <v>1561</v>
      </c>
    </row>
    <row r="50" spans="1:6" x14ac:dyDescent="0.35">
      <c r="A50">
        <v>2</v>
      </c>
      <c r="B50" t="s">
        <v>410</v>
      </c>
      <c r="C50" t="str">
        <f>IF(A50=1,RIGHT(D50,LEN(D50)-2),IF(A50=2,RIGHT(D50,LEN(D50)-3),IF(A50=3,RIGHT(D50,LEN(D50)-5),RIGHT(D50,LEN(D50)-6))))</f>
        <v>Fishing and aquaculture</v>
      </c>
      <c r="D50" t="s">
        <v>411</v>
      </c>
      <c r="E50" t="s">
        <v>341</v>
      </c>
      <c r="F50" t="s">
        <v>412</v>
      </c>
    </row>
    <row r="51" spans="1:6" x14ac:dyDescent="0.35">
      <c r="A51">
        <v>3</v>
      </c>
      <c r="B51" t="s">
        <v>675</v>
      </c>
      <c r="C51" t="str">
        <f>IF(A51=1,RIGHT(D51,LEN(D51)-2),IF(A51=2,RIGHT(D51,LEN(D51)-3),IF(A51=3,RIGHT(D51,LEN(D51)-5),RIGHT(D51,LEN(D51)-6))))</f>
        <v>Fishing</v>
      </c>
      <c r="D51" t="s">
        <v>676</v>
      </c>
      <c r="E51" t="s">
        <v>410</v>
      </c>
      <c r="F51" t="s">
        <v>677</v>
      </c>
    </row>
    <row r="52" spans="1:6" x14ac:dyDescent="0.35">
      <c r="A52">
        <v>4</v>
      </c>
      <c r="B52" t="s">
        <v>1562</v>
      </c>
      <c r="C52" t="str">
        <f>IF(A52=1,RIGHT(D52,LEN(D52)-2),IF(A52=2,RIGHT(D52,LEN(D52)-3),IF(A52=3,RIGHT(D52,LEN(D52)-5),RIGHT(D52,LEN(D52)-6))))</f>
        <v>Marine fishing</v>
      </c>
      <c r="D52" t="s">
        <v>1563</v>
      </c>
      <c r="E52" t="s">
        <v>675</v>
      </c>
      <c r="F52" t="s">
        <v>1564</v>
      </c>
    </row>
    <row r="53" spans="1:6" x14ac:dyDescent="0.35">
      <c r="A53">
        <v>4</v>
      </c>
      <c r="B53" t="s">
        <v>1565</v>
      </c>
      <c r="C53" t="str">
        <f>IF(A53=1,RIGHT(D53,LEN(D53)-2),IF(A53=2,RIGHT(D53,LEN(D53)-3),IF(A53=3,RIGHT(D53,LEN(D53)-5),RIGHT(D53,LEN(D53)-6))))</f>
        <v>Freshwater fishing</v>
      </c>
      <c r="D53" t="s">
        <v>1566</v>
      </c>
      <c r="E53" t="s">
        <v>675</v>
      </c>
      <c r="F53" t="s">
        <v>1567</v>
      </c>
    </row>
    <row r="54" spans="1:6" x14ac:dyDescent="0.35">
      <c r="A54">
        <v>3</v>
      </c>
      <c r="B54" t="s">
        <v>678</v>
      </c>
      <c r="C54" t="str">
        <f>IF(A54=1,RIGHT(D54,LEN(D54)-2),IF(A54=2,RIGHT(D54,LEN(D54)-3),IF(A54=3,RIGHT(D54,LEN(D54)-5),RIGHT(D54,LEN(D54)-6))))</f>
        <v>Aquaculture</v>
      </c>
      <c r="D54" t="s">
        <v>679</v>
      </c>
      <c r="E54" t="s">
        <v>410</v>
      </c>
      <c r="F54" t="s">
        <v>680</v>
      </c>
    </row>
    <row r="55" spans="1:6" x14ac:dyDescent="0.35">
      <c r="A55">
        <v>4</v>
      </c>
      <c r="B55" t="s">
        <v>1568</v>
      </c>
      <c r="C55" t="str">
        <f>IF(A55=1,RIGHT(D55,LEN(D55)-2),IF(A55=2,RIGHT(D55,LEN(D55)-3),IF(A55=3,RIGHT(D55,LEN(D55)-5),RIGHT(D55,LEN(D55)-6))))</f>
        <v>Marine aquaculture</v>
      </c>
      <c r="D55" t="s">
        <v>1569</v>
      </c>
      <c r="E55" t="s">
        <v>678</v>
      </c>
      <c r="F55" t="s">
        <v>1570</v>
      </c>
    </row>
    <row r="56" spans="1:6" x14ac:dyDescent="0.35">
      <c r="A56">
        <v>4</v>
      </c>
      <c r="B56" t="s">
        <v>1571</v>
      </c>
      <c r="C56" t="str">
        <f>IF(A56=1,RIGHT(D56,LEN(D56)-2),IF(A56=2,RIGHT(D56,LEN(D56)-3),IF(A56=3,RIGHT(D56,LEN(D56)-5),RIGHT(D56,LEN(D56)-6))))</f>
        <v>Freshwater aquaculture</v>
      </c>
      <c r="D56" t="s">
        <v>1572</v>
      </c>
      <c r="E56" t="s">
        <v>678</v>
      </c>
      <c r="F56" t="s">
        <v>1573</v>
      </c>
    </row>
    <row r="57" spans="1:6" x14ac:dyDescent="0.35">
      <c r="A57">
        <v>2</v>
      </c>
      <c r="B57" t="s">
        <v>413</v>
      </c>
      <c r="C57" t="str">
        <f>IF(A57=1,RIGHT(D57,LEN(D57)-2),IF(A57=2,RIGHT(D57,LEN(D57)-3),IF(A57=3,RIGHT(D57,LEN(D57)-5),RIGHT(D57,LEN(D57)-6))))</f>
        <v>Mining of coal and lignite</v>
      </c>
      <c r="D57" t="s">
        <v>414</v>
      </c>
      <c r="E57" t="s">
        <v>344</v>
      </c>
      <c r="F57" t="s">
        <v>415</v>
      </c>
    </row>
    <row r="58" spans="1:6" x14ac:dyDescent="0.35">
      <c r="A58">
        <v>3</v>
      </c>
      <c r="B58" t="s">
        <v>681</v>
      </c>
      <c r="C58" t="str">
        <f>IF(A58=1,RIGHT(D58,LEN(D58)-2),IF(A58=2,RIGHT(D58,LEN(D58)-3),IF(A58=3,RIGHT(D58,LEN(D58)-5),RIGHT(D58,LEN(D58)-6))))</f>
        <v>Mining of hard coal</v>
      </c>
      <c r="D58" t="s">
        <v>682</v>
      </c>
      <c r="E58" t="s">
        <v>413</v>
      </c>
      <c r="F58" t="s">
        <v>683</v>
      </c>
    </row>
    <row r="59" spans="1:6" x14ac:dyDescent="0.35">
      <c r="A59">
        <v>4</v>
      </c>
      <c r="B59" t="s">
        <v>1574</v>
      </c>
      <c r="C59" t="str">
        <f>IF(A59=1,RIGHT(D59,LEN(D59)-2),IF(A59=2,RIGHT(D59,LEN(D59)-3),IF(A59=3,RIGHT(D59,LEN(D59)-5),RIGHT(D59,LEN(D59)-6))))</f>
        <v>Mining of hard coal</v>
      </c>
      <c r="D59" t="s">
        <v>1575</v>
      </c>
      <c r="E59" t="s">
        <v>681</v>
      </c>
      <c r="F59" t="s">
        <v>1576</v>
      </c>
    </row>
    <row r="60" spans="1:6" x14ac:dyDescent="0.35">
      <c r="A60">
        <v>3</v>
      </c>
      <c r="B60" t="s">
        <v>684</v>
      </c>
      <c r="C60" t="str">
        <f>IF(A60=1,RIGHT(D60,LEN(D60)-2),IF(A60=2,RIGHT(D60,LEN(D60)-3),IF(A60=3,RIGHT(D60,LEN(D60)-5),RIGHT(D60,LEN(D60)-6))))</f>
        <v>Mining of lignite</v>
      </c>
      <c r="D60" t="s">
        <v>685</v>
      </c>
      <c r="E60" t="s">
        <v>413</v>
      </c>
      <c r="F60" t="s">
        <v>686</v>
      </c>
    </row>
    <row r="61" spans="1:6" x14ac:dyDescent="0.35">
      <c r="A61">
        <v>4</v>
      </c>
      <c r="B61" t="s">
        <v>1577</v>
      </c>
      <c r="C61" t="str">
        <f>IF(A61=1,RIGHT(D61,LEN(D61)-2),IF(A61=2,RIGHT(D61,LEN(D61)-3),IF(A61=3,RIGHT(D61,LEN(D61)-5),RIGHT(D61,LEN(D61)-6))))</f>
        <v>Mining of lignite</v>
      </c>
      <c r="D61" t="s">
        <v>1578</v>
      </c>
      <c r="E61" t="s">
        <v>684</v>
      </c>
      <c r="F61" t="s">
        <v>1579</v>
      </c>
    </row>
    <row r="62" spans="1:6" x14ac:dyDescent="0.35">
      <c r="A62">
        <v>2</v>
      </c>
      <c r="B62" t="s">
        <v>416</v>
      </c>
      <c r="C62" t="str">
        <f>IF(A62=1,RIGHT(D62,LEN(D62)-2),IF(A62=2,RIGHT(D62,LEN(D62)-3),IF(A62=3,RIGHT(D62,LEN(D62)-5),RIGHT(D62,LEN(D62)-6))))</f>
        <v>Extraction of crude petroleum and natural gas</v>
      </c>
      <c r="D62" t="s">
        <v>417</v>
      </c>
      <c r="E62" t="s">
        <v>344</v>
      </c>
      <c r="F62" t="s">
        <v>418</v>
      </c>
    </row>
    <row r="63" spans="1:6" x14ac:dyDescent="0.35">
      <c r="A63">
        <v>3</v>
      </c>
      <c r="B63" t="s">
        <v>687</v>
      </c>
      <c r="C63" t="str">
        <f>IF(A63=1,RIGHT(D63,LEN(D63)-2),IF(A63=2,RIGHT(D63,LEN(D63)-3),IF(A63=3,RIGHT(D63,LEN(D63)-5),RIGHT(D63,LEN(D63)-6))))</f>
        <v>Extraction of crude petroleum</v>
      </c>
      <c r="D63" t="s">
        <v>688</v>
      </c>
      <c r="E63" t="s">
        <v>416</v>
      </c>
      <c r="F63" t="s">
        <v>689</v>
      </c>
    </row>
    <row r="64" spans="1:6" x14ac:dyDescent="0.35">
      <c r="A64">
        <v>4</v>
      </c>
      <c r="B64" t="s">
        <v>1580</v>
      </c>
      <c r="C64" t="str">
        <f>IF(A64=1,RIGHT(D64,LEN(D64)-2),IF(A64=2,RIGHT(D64,LEN(D64)-3),IF(A64=3,RIGHT(D64,LEN(D64)-5),RIGHT(D64,LEN(D64)-6))))</f>
        <v>Extraction of crude petroleum</v>
      </c>
      <c r="D64" t="s">
        <v>1581</v>
      </c>
      <c r="E64" t="s">
        <v>687</v>
      </c>
      <c r="F64" t="s">
        <v>1582</v>
      </c>
    </row>
    <row r="65" spans="1:6" x14ac:dyDescent="0.35">
      <c r="A65">
        <v>3</v>
      </c>
      <c r="B65" t="s">
        <v>690</v>
      </c>
      <c r="C65" t="str">
        <f>IF(A65=1,RIGHT(D65,LEN(D65)-2),IF(A65=2,RIGHT(D65,LEN(D65)-3),IF(A65=3,RIGHT(D65,LEN(D65)-5),RIGHT(D65,LEN(D65)-6))))</f>
        <v>Extraction of natural gas</v>
      </c>
      <c r="D65" t="s">
        <v>691</v>
      </c>
      <c r="E65" t="s">
        <v>416</v>
      </c>
      <c r="F65" t="s">
        <v>692</v>
      </c>
    </row>
    <row r="66" spans="1:6" x14ac:dyDescent="0.35">
      <c r="A66">
        <v>4</v>
      </c>
      <c r="B66" t="s">
        <v>1583</v>
      </c>
      <c r="C66" t="str">
        <f>IF(A66=1,RIGHT(D66,LEN(D66)-2),IF(A66=2,RIGHT(D66,LEN(D66)-3),IF(A66=3,RIGHT(D66,LEN(D66)-5),RIGHT(D66,LEN(D66)-6))))</f>
        <v>Extraction of natural gas</v>
      </c>
      <c r="D66" t="s">
        <v>1584</v>
      </c>
      <c r="E66" t="s">
        <v>690</v>
      </c>
      <c r="F66" t="s">
        <v>1585</v>
      </c>
    </row>
    <row r="67" spans="1:6" x14ac:dyDescent="0.35">
      <c r="A67">
        <v>2</v>
      </c>
      <c r="B67" t="s">
        <v>419</v>
      </c>
      <c r="C67" t="str">
        <f>IF(A67=1,RIGHT(D67,LEN(D67)-2),IF(A67=2,RIGHT(D67,LEN(D67)-3),IF(A67=3,RIGHT(D67,LEN(D67)-5),RIGHT(D67,LEN(D67)-6))))</f>
        <v>Mining of metal ores</v>
      </c>
      <c r="D67" t="s">
        <v>420</v>
      </c>
      <c r="E67" t="s">
        <v>344</v>
      </c>
      <c r="F67" t="s">
        <v>421</v>
      </c>
    </row>
    <row r="68" spans="1:6" x14ac:dyDescent="0.35">
      <c r="A68">
        <v>3</v>
      </c>
      <c r="B68" t="s">
        <v>693</v>
      </c>
      <c r="C68" t="str">
        <f>IF(A68=1,RIGHT(D68,LEN(D68)-2),IF(A68=2,RIGHT(D68,LEN(D68)-3),IF(A68=3,RIGHT(D68,LEN(D68)-5),RIGHT(D68,LEN(D68)-6))))</f>
        <v>Mining of iron ores</v>
      </c>
      <c r="D68" t="s">
        <v>694</v>
      </c>
      <c r="E68" t="s">
        <v>419</v>
      </c>
      <c r="F68" t="s">
        <v>695</v>
      </c>
    </row>
    <row r="69" spans="1:6" x14ac:dyDescent="0.35">
      <c r="A69">
        <v>4</v>
      </c>
      <c r="B69" t="s">
        <v>1586</v>
      </c>
      <c r="C69" t="str">
        <f>IF(A69=1,RIGHT(D69,LEN(D69)-2),IF(A69=2,RIGHT(D69,LEN(D69)-3),IF(A69=3,RIGHT(D69,LEN(D69)-5),RIGHT(D69,LEN(D69)-6))))</f>
        <v>Mining of iron ores</v>
      </c>
      <c r="D69" t="s">
        <v>1587</v>
      </c>
      <c r="E69" t="s">
        <v>693</v>
      </c>
      <c r="F69" t="s">
        <v>1588</v>
      </c>
    </row>
    <row r="70" spans="1:6" x14ac:dyDescent="0.35">
      <c r="A70">
        <v>3</v>
      </c>
      <c r="B70" t="s">
        <v>696</v>
      </c>
      <c r="C70" t="str">
        <f>IF(A70=1,RIGHT(D70,LEN(D70)-2),IF(A70=2,RIGHT(D70,LEN(D70)-3),IF(A70=3,RIGHT(D70,LEN(D70)-5),RIGHT(D70,LEN(D70)-6))))</f>
        <v>Mining of non-ferrous metal ores</v>
      </c>
      <c r="D70" t="s">
        <v>697</v>
      </c>
      <c r="E70" t="s">
        <v>419</v>
      </c>
      <c r="F70" t="s">
        <v>698</v>
      </c>
    </row>
    <row r="71" spans="1:6" x14ac:dyDescent="0.35">
      <c r="A71">
        <v>4</v>
      </c>
      <c r="B71" t="s">
        <v>1589</v>
      </c>
      <c r="C71" t="str">
        <f>IF(A71=1,RIGHT(D71,LEN(D71)-2),IF(A71=2,RIGHT(D71,LEN(D71)-3),IF(A71=3,RIGHT(D71,LEN(D71)-5),RIGHT(D71,LEN(D71)-6))))</f>
        <v>Mining of uranium and thorium ores</v>
      </c>
      <c r="D71" t="s">
        <v>1590</v>
      </c>
      <c r="E71" t="s">
        <v>696</v>
      </c>
      <c r="F71" t="s">
        <v>1591</v>
      </c>
    </row>
    <row r="72" spans="1:6" x14ac:dyDescent="0.35">
      <c r="A72">
        <v>4</v>
      </c>
      <c r="B72" t="s">
        <v>1592</v>
      </c>
      <c r="C72" t="str">
        <f>IF(A72=1,RIGHT(D72,LEN(D72)-2),IF(A72=2,RIGHT(D72,LEN(D72)-3),IF(A72=3,RIGHT(D72,LEN(D72)-5),RIGHT(D72,LEN(D72)-6))))</f>
        <v>Mining of other non-ferrous metal ores</v>
      </c>
      <c r="D72" t="s">
        <v>1593</v>
      </c>
      <c r="E72" t="s">
        <v>696</v>
      </c>
      <c r="F72" t="s">
        <v>1594</v>
      </c>
    </row>
    <row r="73" spans="1:6" x14ac:dyDescent="0.35">
      <c r="A73">
        <v>2</v>
      </c>
      <c r="B73" t="s">
        <v>422</v>
      </c>
      <c r="C73" t="str">
        <f>IF(A73=1,RIGHT(D73,LEN(D73)-2),IF(A73=2,RIGHT(D73,LEN(D73)-3),IF(A73=3,RIGHT(D73,LEN(D73)-5),RIGHT(D73,LEN(D73)-6))))</f>
        <v>Other mining and quarrying</v>
      </c>
      <c r="D73" t="s">
        <v>423</v>
      </c>
      <c r="E73" t="s">
        <v>344</v>
      </c>
      <c r="F73" t="s">
        <v>424</v>
      </c>
    </row>
    <row r="74" spans="1:6" x14ac:dyDescent="0.35">
      <c r="A74">
        <v>3</v>
      </c>
      <c r="B74" t="s">
        <v>699</v>
      </c>
      <c r="C74" t="str">
        <f>IF(A74=1,RIGHT(D74,LEN(D74)-2),IF(A74=2,RIGHT(D74,LEN(D74)-3),IF(A74=3,RIGHT(D74,LEN(D74)-5),RIGHT(D74,LEN(D74)-6))))</f>
        <v>Quarrying of stone, sand and clay</v>
      </c>
      <c r="D74" t="s">
        <v>700</v>
      </c>
      <c r="E74" t="s">
        <v>422</v>
      </c>
      <c r="F74" t="s">
        <v>701</v>
      </c>
    </row>
    <row r="75" spans="1:6" x14ac:dyDescent="0.35">
      <c r="A75">
        <v>4</v>
      </c>
      <c r="B75" t="s">
        <v>1595</v>
      </c>
      <c r="C75" t="str">
        <f>IF(A75=1,RIGHT(D75,LEN(D75)-2),IF(A75=2,RIGHT(D75,LEN(D75)-3),IF(A75=3,RIGHT(D75,LEN(D75)-5),RIGHT(D75,LEN(D75)-6))))</f>
        <v>Quarrying of ornamental and building stone, limestone, gypsum, chalk and slate</v>
      </c>
      <c r="D75" t="s">
        <v>1596</v>
      </c>
      <c r="E75" t="s">
        <v>699</v>
      </c>
      <c r="F75" t="s">
        <v>1597</v>
      </c>
    </row>
    <row r="76" spans="1:6" x14ac:dyDescent="0.35">
      <c r="A76">
        <v>4</v>
      </c>
      <c r="B76" t="s">
        <v>1598</v>
      </c>
      <c r="C76" t="str">
        <f>IF(A76=1,RIGHT(D76,LEN(D76)-2),IF(A76=2,RIGHT(D76,LEN(D76)-3),IF(A76=3,RIGHT(D76,LEN(D76)-5),RIGHT(D76,LEN(D76)-6))))</f>
        <v>Operation of gravel and sand pits; mining of clays and kaolin</v>
      </c>
      <c r="D76" t="s">
        <v>1599</v>
      </c>
      <c r="E76" t="s">
        <v>699</v>
      </c>
      <c r="F76" t="s">
        <v>1600</v>
      </c>
    </row>
    <row r="77" spans="1:6" x14ac:dyDescent="0.35">
      <c r="A77">
        <v>3</v>
      </c>
      <c r="B77" t="s">
        <v>702</v>
      </c>
      <c r="C77" t="str">
        <f>IF(A77=1,RIGHT(D77,LEN(D77)-2),IF(A77=2,RIGHT(D77,LEN(D77)-3),IF(A77=3,RIGHT(D77,LEN(D77)-5),RIGHT(D77,LEN(D77)-6))))</f>
        <v>Mining and quarrying n.e.c.</v>
      </c>
      <c r="D77" t="s">
        <v>703</v>
      </c>
      <c r="E77" t="s">
        <v>422</v>
      </c>
      <c r="F77" t="s">
        <v>704</v>
      </c>
    </row>
    <row r="78" spans="1:6" x14ac:dyDescent="0.35">
      <c r="A78">
        <v>4</v>
      </c>
      <c r="B78" t="s">
        <v>1601</v>
      </c>
      <c r="C78" t="str">
        <f>IF(A78=1,RIGHT(D78,LEN(D78)-2),IF(A78=2,RIGHT(D78,LEN(D78)-3),IF(A78=3,RIGHT(D78,LEN(D78)-5),RIGHT(D78,LEN(D78)-6))))</f>
        <v>Mining of chemical and fertiliser minerals</v>
      </c>
      <c r="D78" t="s">
        <v>1602</v>
      </c>
      <c r="E78" t="s">
        <v>702</v>
      </c>
      <c r="F78" t="s">
        <v>1603</v>
      </c>
    </row>
    <row r="79" spans="1:6" x14ac:dyDescent="0.35">
      <c r="A79">
        <v>4</v>
      </c>
      <c r="B79" t="s">
        <v>1604</v>
      </c>
      <c r="C79" t="str">
        <f>IF(A79=1,RIGHT(D79,LEN(D79)-2),IF(A79=2,RIGHT(D79,LEN(D79)-3),IF(A79=3,RIGHT(D79,LEN(D79)-5),RIGHT(D79,LEN(D79)-6))))</f>
        <v>Extraction of peat</v>
      </c>
      <c r="D79" t="s">
        <v>1605</v>
      </c>
      <c r="E79" t="s">
        <v>702</v>
      </c>
      <c r="F79" t="s">
        <v>1606</v>
      </c>
    </row>
    <row r="80" spans="1:6" x14ac:dyDescent="0.35">
      <c r="A80">
        <v>4</v>
      </c>
      <c r="B80" t="s">
        <v>1607</v>
      </c>
      <c r="C80" t="str">
        <f>IF(A80=1,RIGHT(D80,LEN(D80)-2),IF(A80=2,RIGHT(D80,LEN(D80)-3),IF(A80=3,RIGHT(D80,LEN(D80)-5),RIGHT(D80,LEN(D80)-6))))</f>
        <v>Extraction of salt</v>
      </c>
      <c r="D80" t="s">
        <v>1608</v>
      </c>
      <c r="E80" t="s">
        <v>702</v>
      </c>
      <c r="F80" t="s">
        <v>1609</v>
      </c>
    </row>
    <row r="81" spans="1:6" x14ac:dyDescent="0.35">
      <c r="A81">
        <v>4</v>
      </c>
      <c r="B81" t="s">
        <v>1610</v>
      </c>
      <c r="C81" t="str">
        <f>IF(A81=1,RIGHT(D81,LEN(D81)-2),IF(A81=2,RIGHT(D81,LEN(D81)-3),IF(A81=3,RIGHT(D81,LEN(D81)-5),RIGHT(D81,LEN(D81)-6))))</f>
        <v>Other mining and quarrying n.e.c.</v>
      </c>
      <c r="D81" t="s">
        <v>1611</v>
      </c>
      <c r="E81" t="s">
        <v>702</v>
      </c>
      <c r="F81" t="s">
        <v>1612</v>
      </c>
    </row>
    <row r="82" spans="1:6" x14ac:dyDescent="0.35">
      <c r="A82">
        <v>2</v>
      </c>
      <c r="B82" t="s">
        <v>425</v>
      </c>
      <c r="C82" t="str">
        <f>IF(A82=1,RIGHT(D82,LEN(D82)-2),IF(A82=2,RIGHT(D82,LEN(D82)-3),IF(A82=3,RIGHT(D82,LEN(D82)-5),RIGHT(D82,LEN(D82)-6))))</f>
        <v>Mining support service activities</v>
      </c>
      <c r="D82" t="s">
        <v>426</v>
      </c>
      <c r="E82" t="s">
        <v>344</v>
      </c>
      <c r="F82" t="s">
        <v>427</v>
      </c>
    </row>
    <row r="83" spans="1:6" x14ac:dyDescent="0.35">
      <c r="A83">
        <v>3</v>
      </c>
      <c r="B83" t="s">
        <v>705</v>
      </c>
      <c r="C83" t="str">
        <f>IF(A83=1,RIGHT(D83,LEN(D83)-2),IF(A83=2,RIGHT(D83,LEN(D83)-3),IF(A83=3,RIGHT(D83,LEN(D83)-5),RIGHT(D83,LEN(D83)-6))))</f>
        <v>Support activities for petroleum and natural gas extraction</v>
      </c>
      <c r="D83" t="s">
        <v>706</v>
      </c>
      <c r="E83" t="s">
        <v>425</v>
      </c>
      <c r="F83" t="s">
        <v>707</v>
      </c>
    </row>
    <row r="84" spans="1:6" x14ac:dyDescent="0.35">
      <c r="A84">
        <v>4</v>
      </c>
      <c r="B84" t="s">
        <v>1613</v>
      </c>
      <c r="C84" t="str">
        <f>IF(A84=1,RIGHT(D84,LEN(D84)-2),IF(A84=2,RIGHT(D84,LEN(D84)-3),IF(A84=3,RIGHT(D84,LEN(D84)-5),RIGHT(D84,LEN(D84)-6))))</f>
        <v>Support activities for petroleum and natural gas extraction</v>
      </c>
      <c r="D84" t="s">
        <v>1614</v>
      </c>
      <c r="E84" t="s">
        <v>705</v>
      </c>
      <c r="F84" t="s">
        <v>1615</v>
      </c>
    </row>
    <row r="85" spans="1:6" x14ac:dyDescent="0.35">
      <c r="A85">
        <v>3</v>
      </c>
      <c r="B85" t="s">
        <v>708</v>
      </c>
      <c r="C85" t="str">
        <f>IF(A85=1,RIGHT(D85,LEN(D85)-2),IF(A85=2,RIGHT(D85,LEN(D85)-3),IF(A85=3,RIGHT(D85,LEN(D85)-5),RIGHT(D85,LEN(D85)-6))))</f>
        <v>Support activities for other mining and quarrying</v>
      </c>
      <c r="D85" t="s">
        <v>709</v>
      </c>
      <c r="E85" t="s">
        <v>425</v>
      </c>
      <c r="F85" t="s">
        <v>710</v>
      </c>
    </row>
    <row r="86" spans="1:6" x14ac:dyDescent="0.35">
      <c r="A86">
        <v>4</v>
      </c>
      <c r="B86" t="s">
        <v>1616</v>
      </c>
      <c r="C86" t="str">
        <f>IF(A86=1,RIGHT(D86,LEN(D86)-2),IF(A86=2,RIGHT(D86,LEN(D86)-3),IF(A86=3,RIGHT(D86,LEN(D86)-5),RIGHT(D86,LEN(D86)-6))))</f>
        <v>Support activities for other mining and quarrying</v>
      </c>
      <c r="D86" t="s">
        <v>1617</v>
      </c>
      <c r="E86" t="s">
        <v>708</v>
      </c>
      <c r="F86" t="s">
        <v>1618</v>
      </c>
    </row>
    <row r="87" spans="1:6" x14ac:dyDescent="0.35">
      <c r="A87">
        <v>2</v>
      </c>
      <c r="B87" t="s">
        <v>0</v>
      </c>
      <c r="C87" t="str">
        <f>IF(A87=1,RIGHT(D87,LEN(D87)-2),IF(A87=2,RIGHT(D87,LEN(D87)-3),IF(A87=3,RIGHT(D87,LEN(D87)-5),RIGHT(D87,LEN(D87)-6))))</f>
        <v>Manufacture of food products</v>
      </c>
      <c r="D87" t="s">
        <v>428</v>
      </c>
      <c r="E87" t="s">
        <v>347</v>
      </c>
      <c r="F87" t="s">
        <v>429</v>
      </c>
    </row>
    <row r="88" spans="1:6" x14ac:dyDescent="0.35">
      <c r="A88">
        <v>3</v>
      </c>
      <c r="B88" t="s">
        <v>711</v>
      </c>
      <c r="C88" t="str">
        <f>IF(A88=1,RIGHT(D88,LEN(D88)-2),IF(A88=2,RIGHT(D88,LEN(D88)-3),IF(A88=3,RIGHT(D88,LEN(D88)-5),RIGHT(D88,LEN(D88)-6))))</f>
        <v>Processing and preserving of meat and production of meat products</v>
      </c>
      <c r="D88" t="s">
        <v>712</v>
      </c>
      <c r="E88" t="s">
        <v>0</v>
      </c>
      <c r="F88" t="s">
        <v>713</v>
      </c>
    </row>
    <row r="89" spans="1:6" x14ac:dyDescent="0.35">
      <c r="A89">
        <v>4</v>
      </c>
      <c r="B89" t="s">
        <v>1619</v>
      </c>
      <c r="C89" t="str">
        <f>IF(A89=1,RIGHT(D89,LEN(D89)-2),IF(A89=2,RIGHT(D89,LEN(D89)-3),IF(A89=3,RIGHT(D89,LEN(D89)-5),RIGHT(D89,LEN(D89)-6))))</f>
        <v>Processing and preserving of meat</v>
      </c>
      <c r="D89" t="s">
        <v>1620</v>
      </c>
      <c r="E89" t="s">
        <v>711</v>
      </c>
      <c r="F89" t="s">
        <v>1621</v>
      </c>
    </row>
    <row r="90" spans="1:6" x14ac:dyDescent="0.35">
      <c r="A90">
        <v>4</v>
      </c>
      <c r="B90" t="s">
        <v>1622</v>
      </c>
      <c r="C90" t="str">
        <f>IF(A90=1,RIGHT(D90,LEN(D90)-2),IF(A90=2,RIGHT(D90,LEN(D90)-3),IF(A90=3,RIGHT(D90,LEN(D90)-5),RIGHT(D90,LEN(D90)-6))))</f>
        <v>Processing and preserving of poultry meat</v>
      </c>
      <c r="D90" t="s">
        <v>1623</v>
      </c>
      <c r="E90" t="s">
        <v>711</v>
      </c>
      <c r="F90" t="s">
        <v>1624</v>
      </c>
    </row>
    <row r="91" spans="1:6" x14ac:dyDescent="0.35">
      <c r="A91">
        <v>4</v>
      </c>
      <c r="B91" t="s">
        <v>1625</v>
      </c>
      <c r="C91" t="str">
        <f>IF(A91=1,RIGHT(D91,LEN(D91)-2),IF(A91=2,RIGHT(D91,LEN(D91)-3),IF(A91=3,RIGHT(D91,LEN(D91)-5),RIGHT(D91,LEN(D91)-6))))</f>
        <v>Production of meat and poultry meat products</v>
      </c>
      <c r="D91" t="s">
        <v>1626</v>
      </c>
      <c r="E91" t="s">
        <v>711</v>
      </c>
      <c r="F91" t="s">
        <v>1627</v>
      </c>
    </row>
    <row r="92" spans="1:6" x14ac:dyDescent="0.35">
      <c r="A92">
        <v>3</v>
      </c>
      <c r="B92" t="s">
        <v>714</v>
      </c>
      <c r="C92" t="str">
        <f>IF(A92=1,RIGHT(D92,LEN(D92)-2),IF(A92=2,RIGHT(D92,LEN(D92)-3),IF(A92=3,RIGHT(D92,LEN(D92)-5),RIGHT(D92,LEN(D92)-6))))</f>
        <v>Processing and preserving of fish, crustaceans and molluscs</v>
      </c>
      <c r="D92" t="s">
        <v>715</v>
      </c>
      <c r="E92" t="s">
        <v>0</v>
      </c>
      <c r="F92" t="s">
        <v>716</v>
      </c>
    </row>
    <row r="93" spans="1:6" x14ac:dyDescent="0.35">
      <c r="A93">
        <v>4</v>
      </c>
      <c r="B93" t="s">
        <v>1628</v>
      </c>
      <c r="C93" t="str">
        <f>IF(A93=1,RIGHT(D93,LEN(D93)-2),IF(A93=2,RIGHT(D93,LEN(D93)-3),IF(A93=3,RIGHT(D93,LEN(D93)-5),RIGHT(D93,LEN(D93)-6))))</f>
        <v>Processing and preserving of fish, crustaceans and molluscs</v>
      </c>
      <c r="D93" t="s">
        <v>1629</v>
      </c>
      <c r="E93" t="s">
        <v>714</v>
      </c>
      <c r="F93" t="s">
        <v>1630</v>
      </c>
    </row>
    <row r="94" spans="1:6" x14ac:dyDescent="0.35">
      <c r="A94">
        <v>3</v>
      </c>
      <c r="B94" t="s">
        <v>717</v>
      </c>
      <c r="C94" t="str">
        <f>IF(A94=1,RIGHT(D94,LEN(D94)-2),IF(A94=2,RIGHT(D94,LEN(D94)-3),IF(A94=3,RIGHT(D94,LEN(D94)-5),RIGHT(D94,LEN(D94)-6))))</f>
        <v>Processing and preserving of fruit and vegetables</v>
      </c>
      <c r="D94" t="s">
        <v>718</v>
      </c>
      <c r="E94" t="s">
        <v>0</v>
      </c>
      <c r="F94" t="s">
        <v>719</v>
      </c>
    </row>
    <row r="95" spans="1:6" x14ac:dyDescent="0.35">
      <c r="A95">
        <v>4</v>
      </c>
      <c r="B95" t="s">
        <v>1631</v>
      </c>
      <c r="C95" t="str">
        <f>IF(A95=1,RIGHT(D95,LEN(D95)-2),IF(A95=2,RIGHT(D95,LEN(D95)-3),IF(A95=3,RIGHT(D95,LEN(D95)-5),RIGHT(D95,LEN(D95)-6))))</f>
        <v>Processing and preserving of potatoes</v>
      </c>
      <c r="D95" t="s">
        <v>1632</v>
      </c>
      <c r="E95" t="s">
        <v>717</v>
      </c>
      <c r="F95" t="s">
        <v>1633</v>
      </c>
    </row>
    <row r="96" spans="1:6" x14ac:dyDescent="0.35">
      <c r="A96">
        <v>4</v>
      </c>
      <c r="B96" t="s">
        <v>1634</v>
      </c>
      <c r="C96" t="str">
        <f>IF(A96=1,RIGHT(D96,LEN(D96)-2),IF(A96=2,RIGHT(D96,LEN(D96)-3),IF(A96=3,RIGHT(D96,LEN(D96)-5),RIGHT(D96,LEN(D96)-6))))</f>
        <v>Manufacture of fruit and vegetable juice</v>
      </c>
      <c r="D96" t="s">
        <v>1635</v>
      </c>
      <c r="E96" t="s">
        <v>717</v>
      </c>
      <c r="F96" t="s">
        <v>1636</v>
      </c>
    </row>
    <row r="97" spans="1:6" x14ac:dyDescent="0.35">
      <c r="A97">
        <v>4</v>
      </c>
      <c r="B97" t="s">
        <v>1637</v>
      </c>
      <c r="C97" t="str">
        <f>IF(A97=1,RIGHT(D97,LEN(D97)-2),IF(A97=2,RIGHT(D97,LEN(D97)-3),IF(A97=3,RIGHT(D97,LEN(D97)-5),RIGHT(D97,LEN(D97)-6))))</f>
        <v>Other processing and preserving of fruit and vegetables</v>
      </c>
      <c r="D97" t="s">
        <v>1638</v>
      </c>
      <c r="E97" t="s">
        <v>717</v>
      </c>
      <c r="F97" t="s">
        <v>1639</v>
      </c>
    </row>
    <row r="98" spans="1:6" x14ac:dyDescent="0.35">
      <c r="A98">
        <v>3</v>
      </c>
      <c r="B98" t="s">
        <v>720</v>
      </c>
      <c r="C98" t="str">
        <f>IF(A98=1,RIGHT(D98,LEN(D98)-2),IF(A98=2,RIGHT(D98,LEN(D98)-3),IF(A98=3,RIGHT(D98,LEN(D98)-5),RIGHT(D98,LEN(D98)-6))))</f>
        <v>Manufacture of vegetable and animal oils and fats</v>
      </c>
      <c r="D98" t="s">
        <v>721</v>
      </c>
      <c r="E98" t="s">
        <v>0</v>
      </c>
      <c r="F98" t="s">
        <v>722</v>
      </c>
    </row>
    <row r="99" spans="1:6" x14ac:dyDescent="0.35">
      <c r="A99">
        <v>4</v>
      </c>
      <c r="B99" t="s">
        <v>1640</v>
      </c>
      <c r="C99" t="str">
        <f>IF(A99=1,RIGHT(D99,LEN(D99)-2),IF(A99=2,RIGHT(D99,LEN(D99)-3),IF(A99=3,RIGHT(D99,LEN(D99)-5),RIGHT(D99,LEN(D99)-6))))</f>
        <v>Manufacture of oils and fats</v>
      </c>
      <c r="D99" t="s">
        <v>1641</v>
      </c>
      <c r="E99" t="s">
        <v>720</v>
      </c>
      <c r="F99" t="s">
        <v>1642</v>
      </c>
    </row>
    <row r="100" spans="1:6" x14ac:dyDescent="0.35">
      <c r="A100">
        <v>4</v>
      </c>
      <c r="B100" t="s">
        <v>1643</v>
      </c>
      <c r="C100" t="str">
        <f>IF(A100=1,RIGHT(D100,LEN(D100)-2),IF(A100=2,RIGHT(D100,LEN(D100)-3),IF(A100=3,RIGHT(D100,LEN(D100)-5),RIGHT(D100,LEN(D100)-6))))</f>
        <v>Manufacture of margarine and similar edible fats</v>
      </c>
      <c r="D100" t="s">
        <v>1644</v>
      </c>
      <c r="E100" t="s">
        <v>720</v>
      </c>
      <c r="F100" t="s">
        <v>1645</v>
      </c>
    </row>
    <row r="101" spans="1:6" x14ac:dyDescent="0.35">
      <c r="A101">
        <v>3</v>
      </c>
      <c r="B101" t="s">
        <v>723</v>
      </c>
      <c r="C101" t="str">
        <f>IF(A101=1,RIGHT(D101,LEN(D101)-2),IF(A101=2,RIGHT(D101,LEN(D101)-3),IF(A101=3,RIGHT(D101,LEN(D101)-5),RIGHT(D101,LEN(D101)-6))))</f>
        <v>Manufacture of dairy products</v>
      </c>
      <c r="D101" t="s">
        <v>724</v>
      </c>
      <c r="E101" t="s">
        <v>0</v>
      </c>
      <c r="F101" t="s">
        <v>725</v>
      </c>
    </row>
    <row r="102" spans="1:6" x14ac:dyDescent="0.35">
      <c r="A102">
        <v>4</v>
      </c>
      <c r="B102" t="s">
        <v>1646</v>
      </c>
      <c r="C102" t="str">
        <f>IF(A102=1,RIGHT(D102,LEN(D102)-2),IF(A102=2,RIGHT(D102,LEN(D102)-3),IF(A102=3,RIGHT(D102,LEN(D102)-5),RIGHT(D102,LEN(D102)-6))))</f>
        <v>Operation of dairies and cheese making</v>
      </c>
      <c r="D102" t="s">
        <v>1647</v>
      </c>
      <c r="E102" t="s">
        <v>723</v>
      </c>
      <c r="F102" t="s">
        <v>1648</v>
      </c>
    </row>
    <row r="103" spans="1:6" x14ac:dyDescent="0.35">
      <c r="A103">
        <v>4</v>
      </c>
      <c r="B103" t="s">
        <v>1649</v>
      </c>
      <c r="C103" t="str">
        <f>IF(A103=1,RIGHT(D103,LEN(D103)-2),IF(A103=2,RIGHT(D103,LEN(D103)-3),IF(A103=3,RIGHT(D103,LEN(D103)-5),RIGHT(D103,LEN(D103)-6))))</f>
        <v>Manufacture of ice cream</v>
      </c>
      <c r="D103" t="s">
        <v>1650</v>
      </c>
      <c r="E103" t="s">
        <v>723</v>
      </c>
      <c r="F103" t="s">
        <v>1651</v>
      </c>
    </row>
    <row r="104" spans="1:6" x14ac:dyDescent="0.35">
      <c r="A104">
        <v>3</v>
      </c>
      <c r="B104" t="s">
        <v>726</v>
      </c>
      <c r="C104" t="str">
        <f>IF(A104=1,RIGHT(D104,LEN(D104)-2),IF(A104=2,RIGHT(D104,LEN(D104)-3),IF(A104=3,RIGHT(D104,LEN(D104)-5),RIGHT(D104,LEN(D104)-6))))</f>
        <v>Manufacture of grain mill products, starches and starch products</v>
      </c>
      <c r="D104" t="s">
        <v>727</v>
      </c>
      <c r="E104" t="s">
        <v>0</v>
      </c>
      <c r="F104" t="s">
        <v>728</v>
      </c>
    </row>
    <row r="105" spans="1:6" x14ac:dyDescent="0.35">
      <c r="A105">
        <v>4</v>
      </c>
      <c r="B105" t="s">
        <v>1652</v>
      </c>
      <c r="C105" t="str">
        <f>IF(A105=1,RIGHT(D105,LEN(D105)-2),IF(A105=2,RIGHT(D105,LEN(D105)-3),IF(A105=3,RIGHT(D105,LEN(D105)-5),RIGHT(D105,LEN(D105)-6))))</f>
        <v>Manufacture of grain mill products</v>
      </c>
      <c r="D105" t="s">
        <v>1653</v>
      </c>
      <c r="E105" t="s">
        <v>726</v>
      </c>
      <c r="F105" t="s">
        <v>1654</v>
      </c>
    </row>
    <row r="106" spans="1:6" x14ac:dyDescent="0.35">
      <c r="A106">
        <v>4</v>
      </c>
      <c r="B106" t="s">
        <v>1655</v>
      </c>
      <c r="C106" t="str">
        <f>IF(A106=1,RIGHT(D106,LEN(D106)-2),IF(A106=2,RIGHT(D106,LEN(D106)-3),IF(A106=3,RIGHT(D106,LEN(D106)-5),RIGHT(D106,LEN(D106)-6))))</f>
        <v>Manufacture of starches and starch products</v>
      </c>
      <c r="D106" t="s">
        <v>1656</v>
      </c>
      <c r="E106" t="s">
        <v>726</v>
      </c>
      <c r="F106" t="s">
        <v>1657</v>
      </c>
    </row>
    <row r="107" spans="1:6" x14ac:dyDescent="0.35">
      <c r="A107">
        <v>3</v>
      </c>
      <c r="B107" t="s">
        <v>729</v>
      </c>
      <c r="C107" t="str">
        <f>IF(A107=1,RIGHT(D107,LEN(D107)-2),IF(A107=2,RIGHT(D107,LEN(D107)-3),IF(A107=3,RIGHT(D107,LEN(D107)-5),RIGHT(D107,LEN(D107)-6))))</f>
        <v>Manufacture of bakery and farinaceous products</v>
      </c>
      <c r="D107" t="s">
        <v>730</v>
      </c>
      <c r="E107" t="s">
        <v>0</v>
      </c>
      <c r="F107" t="s">
        <v>731</v>
      </c>
    </row>
    <row r="108" spans="1:6" x14ac:dyDescent="0.35">
      <c r="A108">
        <v>4</v>
      </c>
      <c r="B108" t="s">
        <v>1658</v>
      </c>
      <c r="C108" t="str">
        <f>IF(A108=1,RIGHT(D108,LEN(D108)-2),IF(A108=2,RIGHT(D108,LEN(D108)-3),IF(A108=3,RIGHT(D108,LEN(D108)-5),RIGHT(D108,LEN(D108)-6))))</f>
        <v>Manufacture of bread; manufacture of fresh pastry goods and cakes</v>
      </c>
      <c r="D108" t="s">
        <v>1659</v>
      </c>
      <c r="E108" t="s">
        <v>729</v>
      </c>
      <c r="F108" t="s">
        <v>1660</v>
      </c>
    </row>
    <row r="109" spans="1:6" x14ac:dyDescent="0.35">
      <c r="A109">
        <v>4</v>
      </c>
      <c r="B109" t="s">
        <v>1661</v>
      </c>
      <c r="C109" t="str">
        <f>IF(A109=1,RIGHT(D109,LEN(D109)-2),IF(A109=2,RIGHT(D109,LEN(D109)-3),IF(A109=3,RIGHT(D109,LEN(D109)-5),RIGHT(D109,LEN(D109)-6))))</f>
        <v>Manufacture of rusks and biscuits; manufacture of preserved pastry goods and cakes</v>
      </c>
      <c r="D109" t="s">
        <v>1662</v>
      </c>
      <c r="E109" t="s">
        <v>729</v>
      </c>
      <c r="F109" t="s">
        <v>1663</v>
      </c>
    </row>
    <row r="110" spans="1:6" x14ac:dyDescent="0.35">
      <c r="A110">
        <v>4</v>
      </c>
      <c r="B110" t="s">
        <v>1664</v>
      </c>
      <c r="C110" t="str">
        <f>IF(A110=1,RIGHT(D110,LEN(D110)-2),IF(A110=2,RIGHT(D110,LEN(D110)-3),IF(A110=3,RIGHT(D110,LEN(D110)-5),RIGHT(D110,LEN(D110)-6))))</f>
        <v>Manufacture of macaroni, noodles, couscous and similar farinaceous products</v>
      </c>
      <c r="D110" t="s">
        <v>1665</v>
      </c>
      <c r="E110" t="s">
        <v>729</v>
      </c>
      <c r="F110" t="s">
        <v>1666</v>
      </c>
    </row>
    <row r="111" spans="1:6" x14ac:dyDescent="0.35">
      <c r="A111">
        <v>3</v>
      </c>
      <c r="B111" t="s">
        <v>732</v>
      </c>
      <c r="C111" t="str">
        <f>IF(A111=1,RIGHT(D111,LEN(D111)-2),IF(A111=2,RIGHT(D111,LEN(D111)-3),IF(A111=3,RIGHT(D111,LEN(D111)-5),RIGHT(D111,LEN(D111)-6))))</f>
        <v>Manufacture of other food products</v>
      </c>
      <c r="D111" t="s">
        <v>733</v>
      </c>
      <c r="E111" t="s">
        <v>0</v>
      </c>
      <c r="F111" t="s">
        <v>734</v>
      </c>
    </row>
    <row r="112" spans="1:6" x14ac:dyDescent="0.35">
      <c r="A112">
        <v>4</v>
      </c>
      <c r="B112" t="s">
        <v>1667</v>
      </c>
      <c r="C112" t="str">
        <f>IF(A112=1,RIGHT(D112,LEN(D112)-2),IF(A112=2,RIGHT(D112,LEN(D112)-3),IF(A112=3,RIGHT(D112,LEN(D112)-5),RIGHT(D112,LEN(D112)-6))))</f>
        <v>Manufacture of sugar</v>
      </c>
      <c r="D112" t="s">
        <v>1668</v>
      </c>
      <c r="E112" t="s">
        <v>732</v>
      </c>
      <c r="F112" t="s">
        <v>1669</v>
      </c>
    </row>
    <row r="113" spans="1:6" x14ac:dyDescent="0.35">
      <c r="A113">
        <v>4</v>
      </c>
      <c r="B113" t="s">
        <v>1670</v>
      </c>
      <c r="C113" t="str">
        <f>IF(A113=1,RIGHT(D113,LEN(D113)-2),IF(A113=2,RIGHT(D113,LEN(D113)-3),IF(A113=3,RIGHT(D113,LEN(D113)-5),RIGHT(D113,LEN(D113)-6))))</f>
        <v>Manufacture of cocoa, chocolate and sugar confectionery</v>
      </c>
      <c r="D113" t="s">
        <v>1671</v>
      </c>
      <c r="E113" t="s">
        <v>732</v>
      </c>
      <c r="F113" t="s">
        <v>1672</v>
      </c>
    </row>
    <row r="114" spans="1:6" x14ac:dyDescent="0.35">
      <c r="A114">
        <v>4</v>
      </c>
      <c r="B114" t="s">
        <v>1673</v>
      </c>
      <c r="C114" t="str">
        <f>IF(A114=1,RIGHT(D114,LEN(D114)-2),IF(A114=2,RIGHT(D114,LEN(D114)-3),IF(A114=3,RIGHT(D114,LEN(D114)-5),RIGHT(D114,LEN(D114)-6))))</f>
        <v>Processing of tea and coffee</v>
      </c>
      <c r="D114" t="s">
        <v>1674</v>
      </c>
      <c r="E114" t="s">
        <v>732</v>
      </c>
      <c r="F114" t="s">
        <v>1675</v>
      </c>
    </row>
    <row r="115" spans="1:6" x14ac:dyDescent="0.35">
      <c r="A115">
        <v>4</v>
      </c>
      <c r="B115" t="s">
        <v>1676</v>
      </c>
      <c r="C115" t="str">
        <f>IF(A115=1,RIGHT(D115,LEN(D115)-2),IF(A115=2,RIGHT(D115,LEN(D115)-3),IF(A115=3,RIGHT(D115,LEN(D115)-5),RIGHT(D115,LEN(D115)-6))))</f>
        <v>Manufacture of condiments and seasonings</v>
      </c>
      <c r="D115" t="s">
        <v>1677</v>
      </c>
      <c r="E115" t="s">
        <v>732</v>
      </c>
      <c r="F115" t="s">
        <v>1678</v>
      </c>
    </row>
    <row r="116" spans="1:6" x14ac:dyDescent="0.35">
      <c r="A116">
        <v>4</v>
      </c>
      <c r="B116" t="s">
        <v>1679</v>
      </c>
      <c r="C116" t="str">
        <f>IF(A116=1,RIGHT(D116,LEN(D116)-2),IF(A116=2,RIGHT(D116,LEN(D116)-3),IF(A116=3,RIGHT(D116,LEN(D116)-5),RIGHT(D116,LEN(D116)-6))))</f>
        <v>Manufacture of prepared meals and dishes</v>
      </c>
      <c r="D116" t="s">
        <v>1680</v>
      </c>
      <c r="E116" t="s">
        <v>732</v>
      </c>
      <c r="F116" t="s">
        <v>1681</v>
      </c>
    </row>
    <row r="117" spans="1:6" x14ac:dyDescent="0.35">
      <c r="A117">
        <v>4</v>
      </c>
      <c r="B117" t="s">
        <v>1682</v>
      </c>
      <c r="C117" t="str">
        <f>IF(A117=1,RIGHT(D117,LEN(D117)-2),IF(A117=2,RIGHT(D117,LEN(D117)-3),IF(A117=3,RIGHT(D117,LEN(D117)-5),RIGHT(D117,LEN(D117)-6))))</f>
        <v>Manufacture of homogenised food preparations and dietetic food</v>
      </c>
      <c r="D117" t="s">
        <v>1683</v>
      </c>
      <c r="E117" t="s">
        <v>732</v>
      </c>
      <c r="F117" t="s">
        <v>1684</v>
      </c>
    </row>
    <row r="118" spans="1:6" x14ac:dyDescent="0.35">
      <c r="A118">
        <v>4</v>
      </c>
      <c r="B118" t="s">
        <v>1685</v>
      </c>
      <c r="C118" t="str">
        <f>IF(A118=1,RIGHT(D118,LEN(D118)-2),IF(A118=2,RIGHT(D118,LEN(D118)-3),IF(A118=3,RIGHT(D118,LEN(D118)-5),RIGHT(D118,LEN(D118)-6))))</f>
        <v>Manufacture of other food products n.e.c.</v>
      </c>
      <c r="D118" t="s">
        <v>1686</v>
      </c>
      <c r="E118" t="s">
        <v>732</v>
      </c>
      <c r="F118" t="s">
        <v>1687</v>
      </c>
    </row>
    <row r="119" spans="1:6" x14ac:dyDescent="0.35">
      <c r="A119">
        <v>3</v>
      </c>
      <c r="B119" t="s">
        <v>735</v>
      </c>
      <c r="C119" t="str">
        <f>IF(A119=1,RIGHT(D119,LEN(D119)-2),IF(A119=2,RIGHT(D119,LEN(D119)-3),IF(A119=3,RIGHT(D119,LEN(D119)-5),RIGHT(D119,LEN(D119)-6))))</f>
        <v>Manufacture of prepared animal feeds</v>
      </c>
      <c r="D119" t="s">
        <v>736</v>
      </c>
      <c r="E119" t="s">
        <v>0</v>
      </c>
      <c r="F119" t="s">
        <v>737</v>
      </c>
    </row>
    <row r="120" spans="1:6" x14ac:dyDescent="0.35">
      <c r="A120">
        <v>4</v>
      </c>
      <c r="B120" t="s">
        <v>1688</v>
      </c>
      <c r="C120" t="str">
        <f>IF(A120=1,RIGHT(D120,LEN(D120)-2),IF(A120=2,RIGHT(D120,LEN(D120)-3),IF(A120=3,RIGHT(D120,LEN(D120)-5),RIGHT(D120,LEN(D120)-6))))</f>
        <v>Manufacture of prepared feeds for farm animals</v>
      </c>
      <c r="D120" t="s">
        <v>1689</v>
      </c>
      <c r="E120" t="s">
        <v>735</v>
      </c>
      <c r="F120" t="s">
        <v>1690</v>
      </c>
    </row>
    <row r="121" spans="1:6" x14ac:dyDescent="0.35">
      <c r="A121">
        <v>4</v>
      </c>
      <c r="B121" t="s">
        <v>1691</v>
      </c>
      <c r="C121" t="str">
        <f>IF(A121=1,RIGHT(D121,LEN(D121)-2),IF(A121=2,RIGHT(D121,LEN(D121)-3),IF(A121=3,RIGHT(D121,LEN(D121)-5),RIGHT(D121,LEN(D121)-6))))</f>
        <v>Manufacture of prepared pet foods</v>
      </c>
      <c r="D121" t="s">
        <v>1692</v>
      </c>
      <c r="E121" t="s">
        <v>735</v>
      </c>
      <c r="F121" t="s">
        <v>1693</v>
      </c>
    </row>
    <row r="122" spans="1:6" x14ac:dyDescent="0.35">
      <c r="A122">
        <v>2</v>
      </c>
      <c r="B122" t="s">
        <v>430</v>
      </c>
      <c r="C122" t="str">
        <f>IF(A122=1,RIGHT(D122,LEN(D122)-2),IF(A122=2,RIGHT(D122,LEN(D122)-3),IF(A122=3,RIGHT(D122,LEN(D122)-5),RIGHT(D122,LEN(D122)-6))))</f>
        <v>Manufacture of beverages</v>
      </c>
      <c r="D122" t="s">
        <v>431</v>
      </c>
      <c r="E122" t="s">
        <v>347</v>
      </c>
      <c r="F122" t="s">
        <v>432</v>
      </c>
    </row>
    <row r="123" spans="1:6" x14ac:dyDescent="0.35">
      <c r="A123">
        <v>3</v>
      </c>
      <c r="B123" t="s">
        <v>738</v>
      </c>
      <c r="C123" t="str">
        <f>IF(A123=1,RIGHT(D123,LEN(D123)-2),IF(A123=2,RIGHT(D123,LEN(D123)-3),IF(A123=3,RIGHT(D123,LEN(D123)-5),RIGHT(D123,LEN(D123)-6))))</f>
        <v>Manufacture of beverages</v>
      </c>
      <c r="D123" t="s">
        <v>739</v>
      </c>
      <c r="E123" t="s">
        <v>430</v>
      </c>
      <c r="F123" t="s">
        <v>740</v>
      </c>
    </row>
    <row r="124" spans="1:6" x14ac:dyDescent="0.35">
      <c r="A124">
        <v>4</v>
      </c>
      <c r="B124" t="s">
        <v>1694</v>
      </c>
      <c r="C124" t="str">
        <f>IF(A124=1,RIGHT(D124,LEN(D124)-2),IF(A124=2,RIGHT(D124,LEN(D124)-3),IF(A124=3,RIGHT(D124,LEN(D124)-5),RIGHT(D124,LEN(D124)-6))))</f>
        <v>Distilling, rectifying and blending of spirits</v>
      </c>
      <c r="D124" t="s">
        <v>1695</v>
      </c>
      <c r="E124" t="s">
        <v>738</v>
      </c>
      <c r="F124" t="s">
        <v>1696</v>
      </c>
    </row>
    <row r="125" spans="1:6" x14ac:dyDescent="0.35">
      <c r="A125">
        <v>4</v>
      </c>
      <c r="B125" t="s">
        <v>1697</v>
      </c>
      <c r="C125" t="str">
        <f>IF(A125=1,RIGHT(D125,LEN(D125)-2),IF(A125=2,RIGHT(D125,LEN(D125)-3),IF(A125=3,RIGHT(D125,LEN(D125)-5),RIGHT(D125,LEN(D125)-6))))</f>
        <v>Manufacture of wine from grape</v>
      </c>
      <c r="D125" t="s">
        <v>1698</v>
      </c>
      <c r="E125" t="s">
        <v>738</v>
      </c>
      <c r="F125" t="s">
        <v>1699</v>
      </c>
    </row>
    <row r="126" spans="1:6" x14ac:dyDescent="0.35">
      <c r="A126">
        <v>4</v>
      </c>
      <c r="B126" t="s">
        <v>1700</v>
      </c>
      <c r="C126" t="str">
        <f>IF(A126=1,RIGHT(D126,LEN(D126)-2),IF(A126=2,RIGHT(D126,LEN(D126)-3),IF(A126=3,RIGHT(D126,LEN(D126)-5),RIGHT(D126,LEN(D126)-6))))</f>
        <v>Manufacture of cider and other fruit wines</v>
      </c>
      <c r="D126" t="s">
        <v>1701</v>
      </c>
      <c r="E126" t="s">
        <v>738</v>
      </c>
      <c r="F126" t="s">
        <v>1702</v>
      </c>
    </row>
    <row r="127" spans="1:6" x14ac:dyDescent="0.35">
      <c r="A127">
        <v>4</v>
      </c>
      <c r="B127" t="s">
        <v>1703</v>
      </c>
      <c r="C127" t="str">
        <f>IF(A127=1,RIGHT(D127,LEN(D127)-2),IF(A127=2,RIGHT(D127,LEN(D127)-3),IF(A127=3,RIGHT(D127,LEN(D127)-5),RIGHT(D127,LEN(D127)-6))))</f>
        <v>Manufacture of other non-distilled fermented beverages</v>
      </c>
      <c r="D127" t="s">
        <v>1704</v>
      </c>
      <c r="E127" t="s">
        <v>738</v>
      </c>
      <c r="F127" t="s">
        <v>1705</v>
      </c>
    </row>
    <row r="128" spans="1:6" x14ac:dyDescent="0.35">
      <c r="A128">
        <v>4</v>
      </c>
      <c r="B128" t="s">
        <v>1706</v>
      </c>
      <c r="C128" t="str">
        <f>IF(A128=1,RIGHT(D128,LEN(D128)-2),IF(A128=2,RIGHT(D128,LEN(D128)-3),IF(A128=3,RIGHT(D128,LEN(D128)-5),RIGHT(D128,LEN(D128)-6))))</f>
        <v>Manufacture of beer</v>
      </c>
      <c r="D128" t="s">
        <v>1707</v>
      </c>
      <c r="E128" t="s">
        <v>738</v>
      </c>
      <c r="F128" t="s">
        <v>1708</v>
      </c>
    </row>
    <row r="129" spans="1:6" x14ac:dyDescent="0.35">
      <c r="A129">
        <v>4</v>
      </c>
      <c r="B129" t="s">
        <v>1709</v>
      </c>
      <c r="C129" t="str">
        <f>IF(A129=1,RIGHT(D129,LEN(D129)-2),IF(A129=2,RIGHT(D129,LEN(D129)-3),IF(A129=3,RIGHT(D129,LEN(D129)-5),RIGHT(D129,LEN(D129)-6))))</f>
        <v>Manufacture of malt</v>
      </c>
      <c r="D129" t="s">
        <v>1710</v>
      </c>
      <c r="E129" t="s">
        <v>738</v>
      </c>
      <c r="F129" t="s">
        <v>1711</v>
      </c>
    </row>
    <row r="130" spans="1:6" x14ac:dyDescent="0.35">
      <c r="A130">
        <v>4</v>
      </c>
      <c r="B130" t="s">
        <v>1712</v>
      </c>
      <c r="C130" t="str">
        <f>IF(A130=1,RIGHT(D130,LEN(D130)-2),IF(A130=2,RIGHT(D130,LEN(D130)-3),IF(A130=3,RIGHT(D130,LEN(D130)-5),RIGHT(D130,LEN(D130)-6))))</f>
        <v>Manufacture of soft drinks; production of mineral waters and other bottled waters</v>
      </c>
      <c r="D130" t="s">
        <v>1713</v>
      </c>
      <c r="E130" t="s">
        <v>738</v>
      </c>
      <c r="F130" t="s">
        <v>1714</v>
      </c>
    </row>
    <row r="131" spans="1:6" x14ac:dyDescent="0.35">
      <c r="A131">
        <v>2</v>
      </c>
      <c r="B131" t="s">
        <v>433</v>
      </c>
      <c r="C131" t="str">
        <f>IF(A131=1,RIGHT(D131,LEN(D131)-2),IF(A131=2,RIGHT(D131,LEN(D131)-3),IF(A131=3,RIGHT(D131,LEN(D131)-5),RIGHT(D131,LEN(D131)-6))))</f>
        <v>Manufacture of tobacco products</v>
      </c>
      <c r="D131" t="s">
        <v>434</v>
      </c>
      <c r="E131" t="s">
        <v>347</v>
      </c>
      <c r="F131" t="s">
        <v>435</v>
      </c>
    </row>
    <row r="132" spans="1:6" x14ac:dyDescent="0.35">
      <c r="A132">
        <v>3</v>
      </c>
      <c r="B132" t="s">
        <v>741</v>
      </c>
      <c r="C132" t="str">
        <f>IF(A132=1,RIGHT(D132,LEN(D132)-2),IF(A132=2,RIGHT(D132,LEN(D132)-3),IF(A132=3,RIGHT(D132,LEN(D132)-5),RIGHT(D132,LEN(D132)-6))))</f>
        <v>Manufacture of tobacco products</v>
      </c>
      <c r="D132" t="s">
        <v>742</v>
      </c>
      <c r="E132" t="s">
        <v>433</v>
      </c>
      <c r="F132" t="s">
        <v>743</v>
      </c>
    </row>
    <row r="133" spans="1:6" x14ac:dyDescent="0.35">
      <c r="A133">
        <v>4</v>
      </c>
      <c r="B133" t="s">
        <v>1715</v>
      </c>
      <c r="C133" t="str">
        <f>IF(A133=1,RIGHT(D133,LEN(D133)-2),IF(A133=2,RIGHT(D133,LEN(D133)-3),IF(A133=3,RIGHT(D133,LEN(D133)-5),RIGHT(D133,LEN(D133)-6))))</f>
        <v>Manufacture of tobacco products</v>
      </c>
      <c r="D133" t="s">
        <v>1716</v>
      </c>
      <c r="E133" t="s">
        <v>741</v>
      </c>
      <c r="F133" t="s">
        <v>1717</v>
      </c>
    </row>
    <row r="134" spans="1:6" x14ac:dyDescent="0.35">
      <c r="A134">
        <v>2</v>
      </c>
      <c r="B134" t="s">
        <v>436</v>
      </c>
      <c r="C134" t="str">
        <f>IF(A134=1,RIGHT(D134,LEN(D134)-2),IF(A134=2,RIGHT(D134,LEN(D134)-3),IF(A134=3,RIGHT(D134,LEN(D134)-5),RIGHT(D134,LEN(D134)-6))))</f>
        <v>Manufacture of textiles</v>
      </c>
      <c r="D134" t="s">
        <v>437</v>
      </c>
      <c r="E134" t="s">
        <v>347</v>
      </c>
      <c r="F134" t="s">
        <v>438</v>
      </c>
    </row>
    <row r="135" spans="1:6" x14ac:dyDescent="0.35">
      <c r="A135">
        <v>3</v>
      </c>
      <c r="B135" t="s">
        <v>744</v>
      </c>
      <c r="C135" t="str">
        <f>IF(A135=1,RIGHT(D135,LEN(D135)-2),IF(A135=2,RIGHT(D135,LEN(D135)-3),IF(A135=3,RIGHT(D135,LEN(D135)-5),RIGHT(D135,LEN(D135)-6))))</f>
        <v>Preparation and spinning of textile fibres</v>
      </c>
      <c r="D135" t="s">
        <v>745</v>
      </c>
      <c r="E135" t="s">
        <v>436</v>
      </c>
      <c r="F135" t="s">
        <v>746</v>
      </c>
    </row>
    <row r="136" spans="1:6" x14ac:dyDescent="0.35">
      <c r="A136">
        <v>4</v>
      </c>
      <c r="B136" t="s">
        <v>1718</v>
      </c>
      <c r="C136" t="str">
        <f>IF(A136=1,RIGHT(D136,LEN(D136)-2),IF(A136=2,RIGHT(D136,LEN(D136)-3),IF(A136=3,RIGHT(D136,LEN(D136)-5),RIGHT(D136,LEN(D136)-6))))</f>
        <v>Preparation and spinning of textile fibres</v>
      </c>
      <c r="D136" t="s">
        <v>1719</v>
      </c>
      <c r="E136" t="s">
        <v>744</v>
      </c>
      <c r="F136" t="s">
        <v>1720</v>
      </c>
    </row>
    <row r="137" spans="1:6" x14ac:dyDescent="0.35">
      <c r="A137">
        <v>3</v>
      </c>
      <c r="B137" t="s">
        <v>747</v>
      </c>
      <c r="C137" t="str">
        <f>IF(A137=1,RIGHT(D137,LEN(D137)-2),IF(A137=2,RIGHT(D137,LEN(D137)-3),IF(A137=3,RIGHT(D137,LEN(D137)-5),RIGHT(D137,LEN(D137)-6))))</f>
        <v>Weaving of textiles</v>
      </c>
      <c r="D137" t="s">
        <v>748</v>
      </c>
      <c r="E137" t="s">
        <v>436</v>
      </c>
      <c r="F137" t="s">
        <v>749</v>
      </c>
    </row>
    <row r="138" spans="1:6" x14ac:dyDescent="0.35">
      <c r="A138">
        <v>4</v>
      </c>
      <c r="B138" t="s">
        <v>1721</v>
      </c>
      <c r="C138" t="str">
        <f>IF(A138=1,RIGHT(D138,LEN(D138)-2),IF(A138=2,RIGHT(D138,LEN(D138)-3),IF(A138=3,RIGHT(D138,LEN(D138)-5),RIGHT(D138,LEN(D138)-6))))</f>
        <v>Weaving of textiles</v>
      </c>
      <c r="D138" t="s">
        <v>1722</v>
      </c>
      <c r="E138" t="s">
        <v>747</v>
      </c>
      <c r="F138" t="s">
        <v>1723</v>
      </c>
    </row>
    <row r="139" spans="1:6" x14ac:dyDescent="0.35">
      <c r="A139">
        <v>3</v>
      </c>
      <c r="B139" t="s">
        <v>750</v>
      </c>
      <c r="C139" t="str">
        <f>IF(A139=1,RIGHT(D139,LEN(D139)-2),IF(A139=2,RIGHT(D139,LEN(D139)-3),IF(A139=3,RIGHT(D139,LEN(D139)-5),RIGHT(D139,LEN(D139)-6))))</f>
        <v>Finishing of textiles</v>
      </c>
      <c r="D139" t="s">
        <v>751</v>
      </c>
      <c r="E139" t="s">
        <v>436</v>
      </c>
      <c r="F139" t="s">
        <v>752</v>
      </c>
    </row>
    <row r="140" spans="1:6" x14ac:dyDescent="0.35">
      <c r="A140">
        <v>4</v>
      </c>
      <c r="B140" t="s">
        <v>1724</v>
      </c>
      <c r="C140" t="str">
        <f>IF(A140=1,RIGHT(D140,LEN(D140)-2),IF(A140=2,RIGHT(D140,LEN(D140)-3),IF(A140=3,RIGHT(D140,LEN(D140)-5),RIGHT(D140,LEN(D140)-6))))</f>
        <v>Finishing of textiles</v>
      </c>
      <c r="D140" t="s">
        <v>1725</v>
      </c>
      <c r="E140" t="s">
        <v>750</v>
      </c>
      <c r="F140" t="s">
        <v>1726</v>
      </c>
    </row>
    <row r="141" spans="1:6" x14ac:dyDescent="0.35">
      <c r="A141">
        <v>3</v>
      </c>
      <c r="B141" t="s">
        <v>753</v>
      </c>
      <c r="C141" t="str">
        <f>IF(A141=1,RIGHT(D141,LEN(D141)-2),IF(A141=2,RIGHT(D141,LEN(D141)-3),IF(A141=3,RIGHT(D141,LEN(D141)-5),RIGHT(D141,LEN(D141)-6))))</f>
        <v>Manufacture of other textiles</v>
      </c>
      <c r="D141" t="s">
        <v>754</v>
      </c>
      <c r="E141" t="s">
        <v>436</v>
      </c>
      <c r="F141" t="s">
        <v>755</v>
      </c>
    </row>
    <row r="142" spans="1:6" x14ac:dyDescent="0.35">
      <c r="A142">
        <v>4</v>
      </c>
      <c r="B142" t="s">
        <v>1727</v>
      </c>
      <c r="C142" t="str">
        <f>IF(A142=1,RIGHT(D142,LEN(D142)-2),IF(A142=2,RIGHT(D142,LEN(D142)-3),IF(A142=3,RIGHT(D142,LEN(D142)-5),RIGHT(D142,LEN(D142)-6))))</f>
        <v>Manufacture of knitted and crocheted fabrics</v>
      </c>
      <c r="D142" t="s">
        <v>1728</v>
      </c>
      <c r="E142" t="s">
        <v>753</v>
      </c>
      <c r="F142" t="s">
        <v>1729</v>
      </c>
    </row>
    <row r="143" spans="1:6" x14ac:dyDescent="0.35">
      <c r="A143">
        <v>4</v>
      </c>
      <c r="B143" t="s">
        <v>1730</v>
      </c>
      <c r="C143" t="str">
        <f>IF(A143=1,RIGHT(D143,LEN(D143)-2),IF(A143=2,RIGHT(D143,LEN(D143)-3),IF(A143=3,RIGHT(D143,LEN(D143)-5),RIGHT(D143,LEN(D143)-6))))</f>
        <v>Manufacture of made-up textile articles, except apparel</v>
      </c>
      <c r="D143" t="s">
        <v>1731</v>
      </c>
      <c r="E143" t="s">
        <v>753</v>
      </c>
      <c r="F143" t="s">
        <v>1732</v>
      </c>
    </row>
    <row r="144" spans="1:6" x14ac:dyDescent="0.35">
      <c r="A144">
        <v>4</v>
      </c>
      <c r="B144" t="s">
        <v>1733</v>
      </c>
      <c r="C144" t="str">
        <f>IF(A144=1,RIGHT(D144,LEN(D144)-2),IF(A144=2,RIGHT(D144,LEN(D144)-3),IF(A144=3,RIGHT(D144,LEN(D144)-5),RIGHT(D144,LEN(D144)-6))))</f>
        <v>Manufacture of carpets and rugs</v>
      </c>
      <c r="D144" t="s">
        <v>1734</v>
      </c>
      <c r="E144" t="s">
        <v>753</v>
      </c>
      <c r="F144" t="s">
        <v>1735</v>
      </c>
    </row>
    <row r="145" spans="1:6" x14ac:dyDescent="0.35">
      <c r="A145">
        <v>4</v>
      </c>
      <c r="B145" t="s">
        <v>1736</v>
      </c>
      <c r="C145" t="str">
        <f>IF(A145=1,RIGHT(D145,LEN(D145)-2),IF(A145=2,RIGHT(D145,LEN(D145)-3),IF(A145=3,RIGHT(D145,LEN(D145)-5),RIGHT(D145,LEN(D145)-6))))</f>
        <v>Manufacture of cordage, rope, twine and netting</v>
      </c>
      <c r="D145" t="s">
        <v>1737</v>
      </c>
      <c r="E145" t="s">
        <v>753</v>
      </c>
      <c r="F145" t="s">
        <v>1738</v>
      </c>
    </row>
    <row r="146" spans="1:6" x14ac:dyDescent="0.35">
      <c r="A146">
        <v>4</v>
      </c>
      <c r="B146" t="s">
        <v>1739</v>
      </c>
      <c r="C146" t="str">
        <f>IF(A146=1,RIGHT(D146,LEN(D146)-2),IF(A146=2,RIGHT(D146,LEN(D146)-3),IF(A146=3,RIGHT(D146,LEN(D146)-5),RIGHT(D146,LEN(D146)-6))))</f>
        <v>Manufacture of non-wovens and articles made from non-wovens, except apparel</v>
      </c>
      <c r="D146" t="s">
        <v>1740</v>
      </c>
      <c r="E146" t="s">
        <v>753</v>
      </c>
      <c r="F146" t="s">
        <v>1741</v>
      </c>
    </row>
    <row r="147" spans="1:6" x14ac:dyDescent="0.35">
      <c r="A147">
        <v>4</v>
      </c>
      <c r="B147" t="s">
        <v>1742</v>
      </c>
      <c r="C147" t="str">
        <f>IF(A147=1,RIGHT(D147,LEN(D147)-2),IF(A147=2,RIGHT(D147,LEN(D147)-3),IF(A147=3,RIGHT(D147,LEN(D147)-5),RIGHT(D147,LEN(D147)-6))))</f>
        <v>Manufacture of other technical and industrial textiles</v>
      </c>
      <c r="D147" t="s">
        <v>1743</v>
      </c>
      <c r="E147" t="s">
        <v>753</v>
      </c>
      <c r="F147" t="s">
        <v>1744</v>
      </c>
    </row>
    <row r="148" spans="1:6" x14ac:dyDescent="0.35">
      <c r="A148">
        <v>4</v>
      </c>
      <c r="B148" t="s">
        <v>1745</v>
      </c>
      <c r="C148" t="str">
        <f>IF(A148=1,RIGHT(D148,LEN(D148)-2),IF(A148=2,RIGHT(D148,LEN(D148)-3),IF(A148=3,RIGHT(D148,LEN(D148)-5),RIGHT(D148,LEN(D148)-6))))</f>
        <v>Manufacture of other textiles n.e.c.</v>
      </c>
      <c r="D148" t="s">
        <v>1746</v>
      </c>
      <c r="E148" t="s">
        <v>753</v>
      </c>
      <c r="F148" t="s">
        <v>1747</v>
      </c>
    </row>
    <row r="149" spans="1:6" x14ac:dyDescent="0.35">
      <c r="A149">
        <v>2</v>
      </c>
      <c r="B149" t="s">
        <v>439</v>
      </c>
      <c r="C149" t="str">
        <f>IF(A149=1,RIGHT(D149,LEN(D149)-2),IF(A149=2,RIGHT(D149,LEN(D149)-3),IF(A149=3,RIGHT(D149,LEN(D149)-5),RIGHT(D149,LEN(D149)-6))))</f>
        <v>Manufacture of wearing apparel</v>
      </c>
      <c r="D149" t="s">
        <v>440</v>
      </c>
      <c r="E149" t="s">
        <v>347</v>
      </c>
      <c r="F149" t="s">
        <v>441</v>
      </c>
    </row>
    <row r="150" spans="1:6" x14ac:dyDescent="0.35">
      <c r="A150">
        <v>3</v>
      </c>
      <c r="B150" t="s">
        <v>756</v>
      </c>
      <c r="C150" t="str">
        <f>IF(A150=1,RIGHT(D150,LEN(D150)-2),IF(A150=2,RIGHT(D150,LEN(D150)-3),IF(A150=3,RIGHT(D150,LEN(D150)-5),RIGHT(D150,LEN(D150)-6))))</f>
        <v>Manufacture of wearing apparel, except fur apparel</v>
      </c>
      <c r="D150" t="s">
        <v>757</v>
      </c>
      <c r="E150" t="s">
        <v>439</v>
      </c>
      <c r="F150" t="s">
        <v>758</v>
      </c>
    </row>
    <row r="151" spans="1:6" x14ac:dyDescent="0.35">
      <c r="A151">
        <v>4</v>
      </c>
      <c r="B151" t="s">
        <v>1748</v>
      </c>
      <c r="C151" t="str">
        <f>IF(A151=1,RIGHT(D151,LEN(D151)-2),IF(A151=2,RIGHT(D151,LEN(D151)-3),IF(A151=3,RIGHT(D151,LEN(D151)-5),RIGHT(D151,LEN(D151)-6))))</f>
        <v>Manufacture of leather clothes</v>
      </c>
      <c r="D151" t="s">
        <v>1749</v>
      </c>
      <c r="E151" t="s">
        <v>756</v>
      </c>
      <c r="F151" t="s">
        <v>1750</v>
      </c>
    </row>
    <row r="152" spans="1:6" x14ac:dyDescent="0.35">
      <c r="A152">
        <v>4</v>
      </c>
      <c r="B152" t="s">
        <v>1751</v>
      </c>
      <c r="C152" t="str">
        <f>IF(A152=1,RIGHT(D152,LEN(D152)-2),IF(A152=2,RIGHT(D152,LEN(D152)-3),IF(A152=3,RIGHT(D152,LEN(D152)-5),RIGHT(D152,LEN(D152)-6))))</f>
        <v>Manufacture of workwear</v>
      </c>
      <c r="D152" t="s">
        <v>1752</v>
      </c>
      <c r="E152" t="s">
        <v>756</v>
      </c>
      <c r="F152" t="s">
        <v>1753</v>
      </c>
    </row>
    <row r="153" spans="1:6" x14ac:dyDescent="0.35">
      <c r="A153">
        <v>4</v>
      </c>
      <c r="B153" t="s">
        <v>1754</v>
      </c>
      <c r="C153" t="str">
        <f>IF(A153=1,RIGHT(D153,LEN(D153)-2),IF(A153=2,RIGHT(D153,LEN(D153)-3),IF(A153=3,RIGHT(D153,LEN(D153)-5),RIGHT(D153,LEN(D153)-6))))</f>
        <v>Manufacture of other outerwear</v>
      </c>
      <c r="D153" t="s">
        <v>1755</v>
      </c>
      <c r="E153" t="s">
        <v>756</v>
      </c>
      <c r="F153" t="s">
        <v>1756</v>
      </c>
    </row>
    <row r="154" spans="1:6" x14ac:dyDescent="0.35">
      <c r="A154">
        <v>4</v>
      </c>
      <c r="B154" t="s">
        <v>1757</v>
      </c>
      <c r="C154" t="str">
        <f>IF(A154=1,RIGHT(D154,LEN(D154)-2),IF(A154=2,RIGHT(D154,LEN(D154)-3),IF(A154=3,RIGHT(D154,LEN(D154)-5),RIGHT(D154,LEN(D154)-6))))</f>
        <v>Manufacture of underwear</v>
      </c>
      <c r="D154" t="s">
        <v>1758</v>
      </c>
      <c r="E154" t="s">
        <v>756</v>
      </c>
      <c r="F154" t="s">
        <v>1759</v>
      </c>
    </row>
    <row r="155" spans="1:6" x14ac:dyDescent="0.35">
      <c r="A155">
        <v>4</v>
      </c>
      <c r="B155" t="s">
        <v>1760</v>
      </c>
      <c r="C155" t="str">
        <f>IF(A155=1,RIGHT(D155,LEN(D155)-2),IF(A155=2,RIGHT(D155,LEN(D155)-3),IF(A155=3,RIGHT(D155,LEN(D155)-5),RIGHT(D155,LEN(D155)-6))))</f>
        <v>Manufacture of other wearing apparel and accessories</v>
      </c>
      <c r="D155" t="s">
        <v>1761</v>
      </c>
      <c r="E155" t="s">
        <v>756</v>
      </c>
      <c r="F155" t="s">
        <v>1762</v>
      </c>
    </row>
    <row r="156" spans="1:6" x14ac:dyDescent="0.35">
      <c r="A156">
        <v>3</v>
      </c>
      <c r="B156" t="s">
        <v>759</v>
      </c>
      <c r="C156" t="str">
        <f>IF(A156=1,RIGHT(D156,LEN(D156)-2),IF(A156=2,RIGHT(D156,LEN(D156)-3),IF(A156=3,RIGHT(D156,LEN(D156)-5),RIGHT(D156,LEN(D156)-6))))</f>
        <v>Manufacture of articles of fur</v>
      </c>
      <c r="D156" t="s">
        <v>760</v>
      </c>
      <c r="E156" t="s">
        <v>439</v>
      </c>
      <c r="F156" t="s">
        <v>761</v>
      </c>
    </row>
    <row r="157" spans="1:6" x14ac:dyDescent="0.35">
      <c r="A157">
        <v>4</v>
      </c>
      <c r="B157" t="s">
        <v>1763</v>
      </c>
      <c r="C157" t="str">
        <f>IF(A157=1,RIGHT(D157,LEN(D157)-2),IF(A157=2,RIGHT(D157,LEN(D157)-3),IF(A157=3,RIGHT(D157,LEN(D157)-5),RIGHT(D157,LEN(D157)-6))))</f>
        <v>Manufacture of articles of fur</v>
      </c>
      <c r="D157" t="s">
        <v>1764</v>
      </c>
      <c r="E157" t="s">
        <v>759</v>
      </c>
      <c r="F157" t="s">
        <v>1765</v>
      </c>
    </row>
    <row r="158" spans="1:6" x14ac:dyDescent="0.35">
      <c r="A158">
        <v>3</v>
      </c>
      <c r="B158" t="s">
        <v>762</v>
      </c>
      <c r="C158" t="str">
        <f>IF(A158=1,RIGHT(D158,LEN(D158)-2),IF(A158=2,RIGHT(D158,LEN(D158)-3),IF(A158=3,RIGHT(D158,LEN(D158)-5),RIGHT(D158,LEN(D158)-6))))</f>
        <v>Manufacture of knitted and crocheted apparel</v>
      </c>
      <c r="D158" t="s">
        <v>763</v>
      </c>
      <c r="E158" t="s">
        <v>439</v>
      </c>
      <c r="F158" t="s">
        <v>764</v>
      </c>
    </row>
    <row r="159" spans="1:6" x14ac:dyDescent="0.35">
      <c r="A159">
        <v>4</v>
      </c>
      <c r="B159" t="s">
        <v>1766</v>
      </c>
      <c r="C159" t="str">
        <f>IF(A159=1,RIGHT(D159,LEN(D159)-2),IF(A159=2,RIGHT(D159,LEN(D159)-3),IF(A159=3,RIGHT(D159,LEN(D159)-5),RIGHT(D159,LEN(D159)-6))))</f>
        <v>Manufacture of knitted and crocheted hosiery</v>
      </c>
      <c r="D159" t="s">
        <v>1767</v>
      </c>
      <c r="E159" t="s">
        <v>762</v>
      </c>
      <c r="F159" t="s">
        <v>1768</v>
      </c>
    </row>
    <row r="160" spans="1:6" x14ac:dyDescent="0.35">
      <c r="A160">
        <v>4</v>
      </c>
      <c r="B160" t="s">
        <v>1769</v>
      </c>
      <c r="C160" t="str">
        <f>IF(A160=1,RIGHT(D160,LEN(D160)-2),IF(A160=2,RIGHT(D160,LEN(D160)-3),IF(A160=3,RIGHT(D160,LEN(D160)-5),RIGHT(D160,LEN(D160)-6))))</f>
        <v>Manufacture of other knitted and crocheted apparel</v>
      </c>
      <c r="D160" t="s">
        <v>1770</v>
      </c>
      <c r="E160" t="s">
        <v>762</v>
      </c>
      <c r="F160" t="s">
        <v>1771</v>
      </c>
    </row>
    <row r="161" spans="1:6" x14ac:dyDescent="0.35">
      <c r="A161">
        <v>2</v>
      </c>
      <c r="B161" t="s">
        <v>442</v>
      </c>
      <c r="C161" t="str">
        <f>IF(A161=1,RIGHT(D161,LEN(D161)-2),IF(A161=2,RIGHT(D161,LEN(D161)-3),IF(A161=3,RIGHT(D161,LEN(D161)-5),RIGHT(D161,LEN(D161)-6))))</f>
        <v>Manufacture of leather and related products</v>
      </c>
      <c r="D161" t="s">
        <v>443</v>
      </c>
      <c r="E161" t="s">
        <v>347</v>
      </c>
      <c r="F161" t="s">
        <v>444</v>
      </c>
    </row>
    <row r="162" spans="1:6" x14ac:dyDescent="0.35">
      <c r="A162">
        <v>3</v>
      </c>
      <c r="B162" t="s">
        <v>765</v>
      </c>
      <c r="C162" t="str">
        <f>IF(A162=1,RIGHT(D162,LEN(D162)-2),IF(A162=2,RIGHT(D162,LEN(D162)-3),IF(A162=3,RIGHT(D162,LEN(D162)-5),RIGHT(D162,LEN(D162)-6))))</f>
        <v>Tanning and dressing of leather; manufacture of luggage, handbags, saddlery and harness; dressing and dyeing of fur</v>
      </c>
      <c r="D162" t="s">
        <v>766</v>
      </c>
      <c r="E162" t="s">
        <v>442</v>
      </c>
      <c r="F162" t="s">
        <v>767</v>
      </c>
    </row>
    <row r="163" spans="1:6" x14ac:dyDescent="0.35">
      <c r="A163">
        <v>4</v>
      </c>
      <c r="B163" t="s">
        <v>1772</v>
      </c>
      <c r="C163" t="str">
        <f>IF(A163=1,RIGHT(D163,LEN(D163)-2),IF(A163=2,RIGHT(D163,LEN(D163)-3),IF(A163=3,RIGHT(D163,LEN(D163)-5),RIGHT(D163,LEN(D163)-6))))</f>
        <v>Tanning and dressing of leather; dressing and dyeing of fur</v>
      </c>
      <c r="D163" t="s">
        <v>1773</v>
      </c>
      <c r="E163" t="s">
        <v>765</v>
      </c>
      <c r="F163" t="s">
        <v>1774</v>
      </c>
    </row>
    <row r="164" spans="1:6" x14ac:dyDescent="0.35">
      <c r="A164">
        <v>4</v>
      </c>
      <c r="B164" t="s">
        <v>1775</v>
      </c>
      <c r="C164" t="str">
        <f>IF(A164=1,RIGHT(D164,LEN(D164)-2),IF(A164=2,RIGHT(D164,LEN(D164)-3),IF(A164=3,RIGHT(D164,LEN(D164)-5),RIGHT(D164,LEN(D164)-6))))</f>
        <v>Manufacture of luggage, handbags and the like, saddlery and harness</v>
      </c>
      <c r="D164" t="s">
        <v>1776</v>
      </c>
      <c r="E164" t="s">
        <v>765</v>
      </c>
      <c r="F164" t="s">
        <v>1777</v>
      </c>
    </row>
    <row r="165" spans="1:6" x14ac:dyDescent="0.35">
      <c r="A165">
        <v>3</v>
      </c>
      <c r="B165" t="s">
        <v>768</v>
      </c>
      <c r="C165" t="str">
        <f>IF(A165=1,RIGHT(D165,LEN(D165)-2),IF(A165=2,RIGHT(D165,LEN(D165)-3),IF(A165=3,RIGHT(D165,LEN(D165)-5),RIGHT(D165,LEN(D165)-6))))</f>
        <v>Manufacture of footwear</v>
      </c>
      <c r="D165" t="s">
        <v>769</v>
      </c>
      <c r="E165" t="s">
        <v>442</v>
      </c>
      <c r="F165" t="s">
        <v>770</v>
      </c>
    </row>
    <row r="166" spans="1:6" x14ac:dyDescent="0.35">
      <c r="A166">
        <v>4</v>
      </c>
      <c r="B166" t="s">
        <v>1778</v>
      </c>
      <c r="C166" t="str">
        <f>IF(A166=1,RIGHT(D166,LEN(D166)-2),IF(A166=2,RIGHT(D166,LEN(D166)-3),IF(A166=3,RIGHT(D166,LEN(D166)-5),RIGHT(D166,LEN(D166)-6))))</f>
        <v>Manufacture of footwear</v>
      </c>
      <c r="D166" t="s">
        <v>1779</v>
      </c>
      <c r="E166" t="s">
        <v>768</v>
      </c>
      <c r="F166" t="s">
        <v>1780</v>
      </c>
    </row>
    <row r="167" spans="1:6" x14ac:dyDescent="0.35">
      <c r="A167">
        <v>2</v>
      </c>
      <c r="B167" t="s">
        <v>445</v>
      </c>
      <c r="C167" t="str">
        <f>IF(A167=1,RIGHT(D167,LEN(D167)-2),IF(A167=2,RIGHT(D167,LEN(D167)-3),IF(A167=3,RIGHT(D167,LEN(D167)-5),RIGHT(D167,LEN(D167)-6))))</f>
        <v>Manufacture of wood and of products of wood and cork, except furniture; manufacture of articles of straw and plaiting materials</v>
      </c>
      <c r="D167" t="s">
        <v>446</v>
      </c>
      <c r="E167" t="s">
        <v>347</v>
      </c>
      <c r="F167" t="s">
        <v>447</v>
      </c>
    </row>
    <row r="168" spans="1:6" x14ac:dyDescent="0.35">
      <c r="A168">
        <v>3</v>
      </c>
      <c r="B168" t="s">
        <v>771</v>
      </c>
      <c r="C168" t="str">
        <f>IF(A168=1,RIGHT(D168,LEN(D168)-2),IF(A168=2,RIGHT(D168,LEN(D168)-3),IF(A168=3,RIGHT(D168,LEN(D168)-5),RIGHT(D168,LEN(D168)-6))))</f>
        <v>Sawmilling and planing of wood</v>
      </c>
      <c r="D168" t="s">
        <v>772</v>
      </c>
      <c r="E168" t="s">
        <v>445</v>
      </c>
      <c r="F168" t="s">
        <v>773</v>
      </c>
    </row>
    <row r="169" spans="1:6" x14ac:dyDescent="0.35">
      <c r="A169">
        <v>4</v>
      </c>
      <c r="B169" t="s">
        <v>1781</v>
      </c>
      <c r="C169" t="str">
        <f>IF(A169=1,RIGHT(D169,LEN(D169)-2),IF(A169=2,RIGHT(D169,LEN(D169)-3),IF(A169=3,RIGHT(D169,LEN(D169)-5),RIGHT(D169,LEN(D169)-6))))</f>
        <v>Sawmilling and planing of wood</v>
      </c>
      <c r="D169" t="s">
        <v>1782</v>
      </c>
      <c r="E169" t="s">
        <v>771</v>
      </c>
      <c r="F169" t="s">
        <v>1783</v>
      </c>
    </row>
    <row r="170" spans="1:6" x14ac:dyDescent="0.35">
      <c r="A170">
        <v>3</v>
      </c>
      <c r="B170" t="s">
        <v>774</v>
      </c>
      <c r="C170" t="str">
        <f>IF(A170=1,RIGHT(D170,LEN(D170)-2),IF(A170=2,RIGHT(D170,LEN(D170)-3),IF(A170=3,RIGHT(D170,LEN(D170)-5),RIGHT(D170,LEN(D170)-6))))</f>
        <v>Manufacture of products of wood, cork, straw and plaiting materials</v>
      </c>
      <c r="D170" t="s">
        <v>775</v>
      </c>
      <c r="E170" t="s">
        <v>445</v>
      </c>
      <c r="F170" t="s">
        <v>776</v>
      </c>
    </row>
    <row r="171" spans="1:6" x14ac:dyDescent="0.35">
      <c r="A171">
        <v>4</v>
      </c>
      <c r="B171" t="s">
        <v>1784</v>
      </c>
      <c r="C171" t="str">
        <f>IF(A171=1,RIGHT(D171,LEN(D171)-2),IF(A171=2,RIGHT(D171,LEN(D171)-3),IF(A171=3,RIGHT(D171,LEN(D171)-5),RIGHT(D171,LEN(D171)-6))))</f>
        <v>Manufacture of veneer sheets and wood-based panels</v>
      </c>
      <c r="D171" t="s">
        <v>1785</v>
      </c>
      <c r="E171" t="s">
        <v>774</v>
      </c>
      <c r="F171" t="s">
        <v>1786</v>
      </c>
    </row>
    <row r="172" spans="1:6" x14ac:dyDescent="0.35">
      <c r="A172">
        <v>4</v>
      </c>
      <c r="B172" t="s">
        <v>1787</v>
      </c>
      <c r="C172" t="str">
        <f>IF(A172=1,RIGHT(D172,LEN(D172)-2),IF(A172=2,RIGHT(D172,LEN(D172)-3),IF(A172=3,RIGHT(D172,LEN(D172)-5),RIGHT(D172,LEN(D172)-6))))</f>
        <v>Manufacture of assembled parquet floors</v>
      </c>
      <c r="D172" t="s">
        <v>1788</v>
      </c>
      <c r="E172" t="s">
        <v>774</v>
      </c>
      <c r="F172" t="s">
        <v>1789</v>
      </c>
    </row>
    <row r="173" spans="1:6" x14ac:dyDescent="0.35">
      <c r="A173">
        <v>4</v>
      </c>
      <c r="B173" t="s">
        <v>1790</v>
      </c>
      <c r="C173" t="str">
        <f>IF(A173=1,RIGHT(D173,LEN(D173)-2),IF(A173=2,RIGHT(D173,LEN(D173)-3),IF(A173=3,RIGHT(D173,LEN(D173)-5),RIGHT(D173,LEN(D173)-6))))</f>
        <v>Manufacture of other builders' carpentry and joinery</v>
      </c>
      <c r="D173" t="s">
        <v>1791</v>
      </c>
      <c r="E173" t="s">
        <v>774</v>
      </c>
      <c r="F173" t="s">
        <v>1792</v>
      </c>
    </row>
    <row r="174" spans="1:6" x14ac:dyDescent="0.35">
      <c r="A174">
        <v>4</v>
      </c>
      <c r="B174" t="s">
        <v>1793</v>
      </c>
      <c r="C174" t="str">
        <f>IF(A174=1,RIGHT(D174,LEN(D174)-2),IF(A174=2,RIGHT(D174,LEN(D174)-3),IF(A174=3,RIGHT(D174,LEN(D174)-5),RIGHT(D174,LEN(D174)-6))))</f>
        <v>Manufacture of wooden containers</v>
      </c>
      <c r="D174" t="s">
        <v>1794</v>
      </c>
      <c r="E174" t="s">
        <v>774</v>
      </c>
      <c r="F174" t="s">
        <v>1795</v>
      </c>
    </row>
    <row r="175" spans="1:6" x14ac:dyDescent="0.35">
      <c r="A175">
        <v>4</v>
      </c>
      <c r="B175" t="s">
        <v>1796</v>
      </c>
      <c r="C175" t="str">
        <f>IF(A175=1,RIGHT(D175,LEN(D175)-2),IF(A175=2,RIGHT(D175,LEN(D175)-3),IF(A175=3,RIGHT(D175,LEN(D175)-5),RIGHT(D175,LEN(D175)-6))))</f>
        <v>Manufacture of other products of wood; manufacture of articles of cork, straw and plaiting materials</v>
      </c>
      <c r="D175" t="s">
        <v>1797</v>
      </c>
      <c r="E175" t="s">
        <v>774</v>
      </c>
      <c r="F175" t="s">
        <v>1798</v>
      </c>
    </row>
    <row r="176" spans="1:6" x14ac:dyDescent="0.35">
      <c r="A176">
        <v>2</v>
      </c>
      <c r="B176" t="s">
        <v>448</v>
      </c>
      <c r="C176" t="str">
        <f>IF(A176=1,RIGHT(D176,LEN(D176)-2),IF(A176=2,RIGHT(D176,LEN(D176)-3),IF(A176=3,RIGHT(D176,LEN(D176)-5),RIGHT(D176,LEN(D176)-6))))</f>
        <v>Manufacture of paper and paper products</v>
      </c>
      <c r="D176" t="s">
        <v>449</v>
      </c>
      <c r="E176" t="s">
        <v>347</v>
      </c>
      <c r="F176" t="s">
        <v>450</v>
      </c>
    </row>
    <row r="177" spans="1:6" x14ac:dyDescent="0.35">
      <c r="A177">
        <v>3</v>
      </c>
      <c r="B177" t="s">
        <v>777</v>
      </c>
      <c r="C177" t="str">
        <f>IF(A177=1,RIGHT(D177,LEN(D177)-2),IF(A177=2,RIGHT(D177,LEN(D177)-3),IF(A177=3,RIGHT(D177,LEN(D177)-5),RIGHT(D177,LEN(D177)-6))))</f>
        <v>Manufacture of pulp, paper and paperboard</v>
      </c>
      <c r="D177" t="s">
        <v>778</v>
      </c>
      <c r="E177" t="s">
        <v>448</v>
      </c>
      <c r="F177" t="s">
        <v>779</v>
      </c>
    </row>
    <row r="178" spans="1:6" x14ac:dyDescent="0.35">
      <c r="A178">
        <v>4</v>
      </c>
      <c r="B178" t="s">
        <v>1799</v>
      </c>
      <c r="C178" t="str">
        <f>IF(A178=1,RIGHT(D178,LEN(D178)-2),IF(A178=2,RIGHT(D178,LEN(D178)-3),IF(A178=3,RIGHT(D178,LEN(D178)-5),RIGHT(D178,LEN(D178)-6))))</f>
        <v>Manufacture of pulp</v>
      </c>
      <c r="D178" t="s">
        <v>1800</v>
      </c>
      <c r="E178" t="s">
        <v>777</v>
      </c>
      <c r="F178" t="s">
        <v>1801</v>
      </c>
    </row>
    <row r="179" spans="1:6" x14ac:dyDescent="0.35">
      <c r="A179">
        <v>4</v>
      </c>
      <c r="B179" t="s">
        <v>1802</v>
      </c>
      <c r="C179" t="str">
        <f>IF(A179=1,RIGHT(D179,LEN(D179)-2),IF(A179=2,RIGHT(D179,LEN(D179)-3),IF(A179=3,RIGHT(D179,LEN(D179)-5),RIGHT(D179,LEN(D179)-6))))</f>
        <v>Manufacture of paper and paperboard</v>
      </c>
      <c r="D179" t="s">
        <v>1803</v>
      </c>
      <c r="E179" t="s">
        <v>777</v>
      </c>
      <c r="F179" t="s">
        <v>1804</v>
      </c>
    </row>
    <row r="180" spans="1:6" x14ac:dyDescent="0.35">
      <c r="A180">
        <v>3</v>
      </c>
      <c r="B180" t="s">
        <v>780</v>
      </c>
      <c r="C180" t="str">
        <f>IF(A180=1,RIGHT(D180,LEN(D180)-2),IF(A180=2,RIGHT(D180,LEN(D180)-3),IF(A180=3,RIGHT(D180,LEN(D180)-5),RIGHT(D180,LEN(D180)-6))))</f>
        <v>Manufacture of articles of paper and paperboard</v>
      </c>
      <c r="D180" t="s">
        <v>781</v>
      </c>
      <c r="E180" t="s">
        <v>448</v>
      </c>
      <c r="F180" t="s">
        <v>782</v>
      </c>
    </row>
    <row r="181" spans="1:6" x14ac:dyDescent="0.35">
      <c r="A181">
        <v>4</v>
      </c>
      <c r="B181" t="s">
        <v>1805</v>
      </c>
      <c r="C181" t="str">
        <f>IF(A181=1,RIGHT(D181,LEN(D181)-2),IF(A181=2,RIGHT(D181,LEN(D181)-3),IF(A181=3,RIGHT(D181,LEN(D181)-5),RIGHT(D181,LEN(D181)-6))))</f>
        <v>Manufacture of corrugated paper and paperboard and of containers of paper and paperboard</v>
      </c>
      <c r="D181" t="s">
        <v>1806</v>
      </c>
      <c r="E181" t="s">
        <v>780</v>
      </c>
      <c r="F181" t="s">
        <v>1807</v>
      </c>
    </row>
    <row r="182" spans="1:6" x14ac:dyDescent="0.35">
      <c r="A182">
        <v>4</v>
      </c>
      <c r="B182" t="s">
        <v>1808</v>
      </c>
      <c r="C182" t="str">
        <f>IF(A182=1,RIGHT(D182,LEN(D182)-2),IF(A182=2,RIGHT(D182,LEN(D182)-3),IF(A182=3,RIGHT(D182,LEN(D182)-5),RIGHT(D182,LEN(D182)-6))))</f>
        <v>Manufacture of household and sanitary goods and of toilet requisites</v>
      </c>
      <c r="D182" t="s">
        <v>1809</v>
      </c>
      <c r="E182" t="s">
        <v>780</v>
      </c>
      <c r="F182" t="s">
        <v>1810</v>
      </c>
    </row>
    <row r="183" spans="1:6" x14ac:dyDescent="0.35">
      <c r="A183">
        <v>4</v>
      </c>
      <c r="B183" t="s">
        <v>1811</v>
      </c>
      <c r="C183" t="str">
        <f>IF(A183=1,RIGHT(D183,LEN(D183)-2),IF(A183=2,RIGHT(D183,LEN(D183)-3),IF(A183=3,RIGHT(D183,LEN(D183)-5),RIGHT(D183,LEN(D183)-6))))</f>
        <v>Manufacture of paper stationery</v>
      </c>
      <c r="D183" t="s">
        <v>1812</v>
      </c>
      <c r="E183" t="s">
        <v>780</v>
      </c>
      <c r="F183" t="s">
        <v>1813</v>
      </c>
    </row>
    <row r="184" spans="1:6" x14ac:dyDescent="0.35">
      <c r="A184">
        <v>4</v>
      </c>
      <c r="B184" t="s">
        <v>1814</v>
      </c>
      <c r="C184" t="str">
        <f>IF(A184=1,RIGHT(D184,LEN(D184)-2),IF(A184=2,RIGHT(D184,LEN(D184)-3),IF(A184=3,RIGHT(D184,LEN(D184)-5),RIGHT(D184,LEN(D184)-6))))</f>
        <v>Manufacture of wallpaper</v>
      </c>
      <c r="D184" t="s">
        <v>1815</v>
      </c>
      <c r="E184" t="s">
        <v>780</v>
      </c>
      <c r="F184" t="s">
        <v>1816</v>
      </c>
    </row>
    <row r="185" spans="1:6" x14ac:dyDescent="0.35">
      <c r="A185">
        <v>4</v>
      </c>
      <c r="B185" t="s">
        <v>1817</v>
      </c>
      <c r="C185" t="str">
        <f>IF(A185=1,RIGHT(D185,LEN(D185)-2),IF(A185=2,RIGHT(D185,LEN(D185)-3),IF(A185=3,RIGHT(D185,LEN(D185)-5),RIGHT(D185,LEN(D185)-6))))</f>
        <v>Manufacture of other articles of paper and paperboard</v>
      </c>
      <c r="D185" t="s">
        <v>1818</v>
      </c>
      <c r="E185" t="s">
        <v>780</v>
      </c>
      <c r="F185" t="s">
        <v>1819</v>
      </c>
    </row>
    <row r="186" spans="1:6" x14ac:dyDescent="0.35">
      <c r="A186">
        <v>2</v>
      </c>
      <c r="B186" t="s">
        <v>451</v>
      </c>
      <c r="C186" t="str">
        <f>IF(A186=1,RIGHT(D186,LEN(D186)-2),IF(A186=2,RIGHT(D186,LEN(D186)-3),IF(A186=3,RIGHT(D186,LEN(D186)-5),RIGHT(D186,LEN(D186)-6))))</f>
        <v>Printing and reproduction of recorded media</v>
      </c>
      <c r="D186" t="s">
        <v>452</v>
      </c>
      <c r="E186" t="s">
        <v>347</v>
      </c>
      <c r="F186" t="s">
        <v>453</v>
      </c>
    </row>
    <row r="187" spans="1:6" x14ac:dyDescent="0.35">
      <c r="A187">
        <v>3</v>
      </c>
      <c r="B187" t="s">
        <v>783</v>
      </c>
      <c r="C187" t="str">
        <f>IF(A187=1,RIGHT(D187,LEN(D187)-2),IF(A187=2,RIGHT(D187,LEN(D187)-3),IF(A187=3,RIGHT(D187,LEN(D187)-5),RIGHT(D187,LEN(D187)-6))))</f>
        <v>Printing and service activities related to printing</v>
      </c>
      <c r="D187" t="s">
        <v>784</v>
      </c>
      <c r="E187" t="s">
        <v>451</v>
      </c>
      <c r="F187" t="s">
        <v>785</v>
      </c>
    </row>
    <row r="188" spans="1:6" x14ac:dyDescent="0.35">
      <c r="A188">
        <v>4</v>
      </c>
      <c r="B188" t="s">
        <v>1820</v>
      </c>
      <c r="C188" t="str">
        <f>IF(A188=1,RIGHT(D188,LEN(D188)-2),IF(A188=2,RIGHT(D188,LEN(D188)-3),IF(A188=3,RIGHT(D188,LEN(D188)-5),RIGHT(D188,LEN(D188)-6))))</f>
        <v>Printing of newspapers</v>
      </c>
      <c r="D188" t="s">
        <v>1821</v>
      </c>
      <c r="E188" t="s">
        <v>783</v>
      </c>
      <c r="F188" t="s">
        <v>1822</v>
      </c>
    </row>
    <row r="189" spans="1:6" x14ac:dyDescent="0.35">
      <c r="A189">
        <v>4</v>
      </c>
      <c r="B189" t="s">
        <v>1823</v>
      </c>
      <c r="C189" t="str">
        <f>IF(A189=1,RIGHT(D189,LEN(D189)-2),IF(A189=2,RIGHT(D189,LEN(D189)-3),IF(A189=3,RIGHT(D189,LEN(D189)-5),RIGHT(D189,LEN(D189)-6))))</f>
        <v>Other printing</v>
      </c>
      <c r="D189" t="s">
        <v>1824</v>
      </c>
      <c r="E189" t="s">
        <v>783</v>
      </c>
      <c r="F189" t="s">
        <v>1825</v>
      </c>
    </row>
    <row r="190" spans="1:6" x14ac:dyDescent="0.35">
      <c r="A190">
        <v>4</v>
      </c>
      <c r="B190" t="s">
        <v>1826</v>
      </c>
      <c r="C190" t="str">
        <f>IF(A190=1,RIGHT(D190,LEN(D190)-2),IF(A190=2,RIGHT(D190,LEN(D190)-3),IF(A190=3,RIGHT(D190,LEN(D190)-5),RIGHT(D190,LEN(D190)-6))))</f>
        <v>Pre-press and pre-media services</v>
      </c>
      <c r="D190" t="s">
        <v>1827</v>
      </c>
      <c r="E190" t="s">
        <v>783</v>
      </c>
      <c r="F190" t="s">
        <v>1828</v>
      </c>
    </row>
    <row r="191" spans="1:6" x14ac:dyDescent="0.35">
      <c r="A191">
        <v>4</v>
      </c>
      <c r="B191" t="s">
        <v>1829</v>
      </c>
      <c r="C191" t="str">
        <f>IF(A191=1,RIGHT(D191,LEN(D191)-2),IF(A191=2,RIGHT(D191,LEN(D191)-3),IF(A191=3,RIGHT(D191,LEN(D191)-5),RIGHT(D191,LEN(D191)-6))))</f>
        <v>Binding and related services</v>
      </c>
      <c r="D191" t="s">
        <v>1830</v>
      </c>
      <c r="E191" t="s">
        <v>783</v>
      </c>
      <c r="F191" t="s">
        <v>1831</v>
      </c>
    </row>
    <row r="192" spans="1:6" x14ac:dyDescent="0.35">
      <c r="A192">
        <v>3</v>
      </c>
      <c r="B192" t="s">
        <v>786</v>
      </c>
      <c r="C192" t="str">
        <f>IF(A192=1,RIGHT(D192,LEN(D192)-2),IF(A192=2,RIGHT(D192,LEN(D192)-3),IF(A192=3,RIGHT(D192,LEN(D192)-5),RIGHT(D192,LEN(D192)-6))))</f>
        <v>Reproduction of recorded media</v>
      </c>
      <c r="D192" t="s">
        <v>787</v>
      </c>
      <c r="E192" t="s">
        <v>451</v>
      </c>
      <c r="F192" t="s">
        <v>788</v>
      </c>
    </row>
    <row r="193" spans="1:6" x14ac:dyDescent="0.35">
      <c r="A193">
        <v>4</v>
      </c>
      <c r="B193" t="s">
        <v>1832</v>
      </c>
      <c r="C193" t="str">
        <f>IF(A193=1,RIGHT(D193,LEN(D193)-2),IF(A193=2,RIGHT(D193,LEN(D193)-3),IF(A193=3,RIGHT(D193,LEN(D193)-5),RIGHT(D193,LEN(D193)-6))))</f>
        <v>Reproduction of recorded media</v>
      </c>
      <c r="D193" t="s">
        <v>1833</v>
      </c>
      <c r="E193" t="s">
        <v>786</v>
      </c>
      <c r="F193" t="s">
        <v>1834</v>
      </c>
    </row>
    <row r="194" spans="1:6" x14ac:dyDescent="0.35">
      <c r="A194">
        <v>2</v>
      </c>
      <c r="B194" t="s">
        <v>454</v>
      </c>
      <c r="C194" t="str">
        <f>IF(A194=1,RIGHT(D194,LEN(D194)-2),IF(A194=2,RIGHT(D194,LEN(D194)-3),IF(A194=3,RIGHT(D194,LEN(D194)-5),RIGHT(D194,LEN(D194)-6))))</f>
        <v>Manufacture of coke and refined petroleum products</v>
      </c>
      <c r="D194" t="s">
        <v>455</v>
      </c>
      <c r="E194" t="s">
        <v>347</v>
      </c>
      <c r="F194" t="s">
        <v>456</v>
      </c>
    </row>
    <row r="195" spans="1:6" x14ac:dyDescent="0.35">
      <c r="A195">
        <v>3</v>
      </c>
      <c r="B195" t="s">
        <v>789</v>
      </c>
      <c r="C195" t="str">
        <f>IF(A195=1,RIGHT(D195,LEN(D195)-2),IF(A195=2,RIGHT(D195,LEN(D195)-3),IF(A195=3,RIGHT(D195,LEN(D195)-5),RIGHT(D195,LEN(D195)-6))))</f>
        <v>Manufacture of coke oven products</v>
      </c>
      <c r="D195" t="s">
        <v>790</v>
      </c>
      <c r="E195" t="s">
        <v>454</v>
      </c>
      <c r="F195" t="s">
        <v>791</v>
      </c>
    </row>
    <row r="196" spans="1:6" x14ac:dyDescent="0.35">
      <c r="A196">
        <v>4</v>
      </c>
      <c r="B196" t="s">
        <v>1835</v>
      </c>
      <c r="C196" t="str">
        <f>IF(A196=1,RIGHT(D196,LEN(D196)-2),IF(A196=2,RIGHT(D196,LEN(D196)-3),IF(A196=3,RIGHT(D196,LEN(D196)-5),RIGHT(D196,LEN(D196)-6))))</f>
        <v>Manufacture of coke oven products</v>
      </c>
      <c r="D196" t="s">
        <v>1836</v>
      </c>
      <c r="E196" t="s">
        <v>789</v>
      </c>
      <c r="F196" t="s">
        <v>1837</v>
      </c>
    </row>
    <row r="197" spans="1:6" x14ac:dyDescent="0.35">
      <c r="A197">
        <v>3</v>
      </c>
      <c r="B197" t="s">
        <v>792</v>
      </c>
      <c r="C197" t="str">
        <f>IF(A197=1,RIGHT(D197,LEN(D197)-2),IF(A197=2,RIGHT(D197,LEN(D197)-3),IF(A197=3,RIGHT(D197,LEN(D197)-5),RIGHT(D197,LEN(D197)-6))))</f>
        <v>Manufacture of refined petroleum products</v>
      </c>
      <c r="D197" t="s">
        <v>793</v>
      </c>
      <c r="E197" t="s">
        <v>454</v>
      </c>
      <c r="F197" t="s">
        <v>794</v>
      </c>
    </row>
    <row r="198" spans="1:6" x14ac:dyDescent="0.35">
      <c r="A198">
        <v>4</v>
      </c>
      <c r="B198" t="s">
        <v>1838</v>
      </c>
      <c r="C198" t="str">
        <f>IF(A198=1,RIGHT(D198,LEN(D198)-2),IF(A198=2,RIGHT(D198,LEN(D198)-3),IF(A198=3,RIGHT(D198,LEN(D198)-5),RIGHT(D198,LEN(D198)-6))))</f>
        <v>Manufacture of refined petroleum products</v>
      </c>
      <c r="D198" t="s">
        <v>1839</v>
      </c>
      <c r="E198" t="s">
        <v>792</v>
      </c>
      <c r="F198" t="s">
        <v>1840</v>
      </c>
    </row>
    <row r="199" spans="1:6" x14ac:dyDescent="0.35">
      <c r="A199">
        <v>2</v>
      </c>
      <c r="B199" t="s">
        <v>2</v>
      </c>
      <c r="C199" t="str">
        <f>IF(A199=1,RIGHT(D199,LEN(D199)-2),IF(A199=2,RIGHT(D199,LEN(D199)-3),IF(A199=3,RIGHT(D199,LEN(D199)-5),RIGHT(D199,LEN(D199)-6))))</f>
        <v>Manufacture of chemicals and chemical products</v>
      </c>
      <c r="D199" t="s">
        <v>457</v>
      </c>
      <c r="E199" t="s">
        <v>347</v>
      </c>
      <c r="F199" t="s">
        <v>458</v>
      </c>
    </row>
    <row r="200" spans="1:6" x14ac:dyDescent="0.35">
      <c r="A200">
        <v>3</v>
      </c>
      <c r="B200" t="s">
        <v>795</v>
      </c>
      <c r="C200" t="str">
        <f>IF(A200=1,RIGHT(D200,LEN(D200)-2),IF(A200=2,RIGHT(D200,LEN(D200)-3),IF(A200=3,RIGHT(D200,LEN(D200)-5),RIGHT(D200,LEN(D200)-6))))</f>
        <v>Manufacture of basic chemicals, fertilisers and nitrogen compounds, plastics and synthetic rubber in primary forms</v>
      </c>
      <c r="D200" t="s">
        <v>796</v>
      </c>
      <c r="E200" t="s">
        <v>2</v>
      </c>
      <c r="F200" t="s">
        <v>797</v>
      </c>
    </row>
    <row r="201" spans="1:6" x14ac:dyDescent="0.35">
      <c r="A201">
        <v>4</v>
      </c>
      <c r="B201" t="s">
        <v>1841</v>
      </c>
      <c r="C201" t="str">
        <f>IF(A201=1,RIGHT(D201,LEN(D201)-2),IF(A201=2,RIGHT(D201,LEN(D201)-3),IF(A201=3,RIGHT(D201,LEN(D201)-5),RIGHT(D201,LEN(D201)-6))))</f>
        <v>Manufacture of industrial gases</v>
      </c>
      <c r="D201" t="s">
        <v>1842</v>
      </c>
      <c r="E201" t="s">
        <v>795</v>
      </c>
      <c r="F201" t="s">
        <v>1843</v>
      </c>
    </row>
    <row r="202" spans="1:6" x14ac:dyDescent="0.35">
      <c r="A202">
        <v>4</v>
      </c>
      <c r="B202" t="s">
        <v>1844</v>
      </c>
      <c r="C202" t="str">
        <f>IF(A202=1,RIGHT(D202,LEN(D202)-2),IF(A202=2,RIGHT(D202,LEN(D202)-3),IF(A202=3,RIGHT(D202,LEN(D202)-5),RIGHT(D202,LEN(D202)-6))))</f>
        <v>Manufacture of dyes and pigments</v>
      </c>
      <c r="D202" t="s">
        <v>1845</v>
      </c>
      <c r="E202" t="s">
        <v>795</v>
      </c>
      <c r="F202" t="s">
        <v>1846</v>
      </c>
    </row>
    <row r="203" spans="1:6" x14ac:dyDescent="0.35">
      <c r="A203">
        <v>4</v>
      </c>
      <c r="B203" t="s">
        <v>1847</v>
      </c>
      <c r="C203" t="str">
        <f>IF(A203=1,RIGHT(D203,LEN(D203)-2),IF(A203=2,RIGHT(D203,LEN(D203)-3),IF(A203=3,RIGHT(D203,LEN(D203)-5),RIGHT(D203,LEN(D203)-6))))</f>
        <v>Manufacture of other inorganic basic chemicals</v>
      </c>
      <c r="D203" t="s">
        <v>1848</v>
      </c>
      <c r="E203" t="s">
        <v>795</v>
      </c>
      <c r="F203" t="s">
        <v>1849</v>
      </c>
    </row>
    <row r="204" spans="1:6" x14ac:dyDescent="0.35">
      <c r="A204">
        <v>4</v>
      </c>
      <c r="B204" t="s">
        <v>1850</v>
      </c>
      <c r="C204" t="str">
        <f>IF(A204=1,RIGHT(D204,LEN(D204)-2),IF(A204=2,RIGHT(D204,LEN(D204)-3),IF(A204=3,RIGHT(D204,LEN(D204)-5),RIGHT(D204,LEN(D204)-6))))</f>
        <v>Manufacture of other organic basic chemicals</v>
      </c>
      <c r="D204" t="s">
        <v>1851</v>
      </c>
      <c r="E204" t="s">
        <v>795</v>
      </c>
      <c r="F204" t="s">
        <v>1852</v>
      </c>
    </row>
    <row r="205" spans="1:6" x14ac:dyDescent="0.35">
      <c r="A205">
        <v>4</v>
      </c>
      <c r="B205" t="s">
        <v>1853</v>
      </c>
      <c r="C205" t="str">
        <f>IF(A205=1,RIGHT(D205,LEN(D205)-2),IF(A205=2,RIGHT(D205,LEN(D205)-3),IF(A205=3,RIGHT(D205,LEN(D205)-5),RIGHT(D205,LEN(D205)-6))))</f>
        <v>Manufacture of fertilisers and nitrogen compounds</v>
      </c>
      <c r="D205" t="s">
        <v>1854</v>
      </c>
      <c r="E205" t="s">
        <v>795</v>
      </c>
      <c r="F205" t="s">
        <v>1855</v>
      </c>
    </row>
    <row r="206" spans="1:6" x14ac:dyDescent="0.35">
      <c r="A206">
        <v>4</v>
      </c>
      <c r="B206" t="s">
        <v>1856</v>
      </c>
      <c r="C206" t="str">
        <f>IF(A206=1,RIGHT(D206,LEN(D206)-2),IF(A206=2,RIGHT(D206,LEN(D206)-3),IF(A206=3,RIGHT(D206,LEN(D206)-5),RIGHT(D206,LEN(D206)-6))))</f>
        <v>Manufacture of plastics in primary forms</v>
      </c>
      <c r="D206" t="s">
        <v>1857</v>
      </c>
      <c r="E206" t="s">
        <v>795</v>
      </c>
      <c r="F206" t="s">
        <v>1858</v>
      </c>
    </row>
    <row r="207" spans="1:6" x14ac:dyDescent="0.35">
      <c r="A207">
        <v>4</v>
      </c>
      <c r="B207" t="s">
        <v>1859</v>
      </c>
      <c r="C207" t="str">
        <f>IF(A207=1,RIGHT(D207,LEN(D207)-2),IF(A207=2,RIGHT(D207,LEN(D207)-3),IF(A207=3,RIGHT(D207,LEN(D207)-5),RIGHT(D207,LEN(D207)-6))))</f>
        <v>Manufacture of synthetic rubber in primary forms</v>
      </c>
      <c r="D207" t="s">
        <v>1860</v>
      </c>
      <c r="E207" t="s">
        <v>795</v>
      </c>
      <c r="F207" t="s">
        <v>1861</v>
      </c>
    </row>
    <row r="208" spans="1:6" x14ac:dyDescent="0.35">
      <c r="A208">
        <v>3</v>
      </c>
      <c r="B208" t="s">
        <v>798</v>
      </c>
      <c r="C208" t="str">
        <f>IF(A208=1,RIGHT(D208,LEN(D208)-2),IF(A208=2,RIGHT(D208,LEN(D208)-3),IF(A208=3,RIGHT(D208,LEN(D208)-5),RIGHT(D208,LEN(D208)-6))))</f>
        <v>Manufacture of pesticides and other agrochemical products</v>
      </c>
      <c r="D208" t="s">
        <v>799</v>
      </c>
      <c r="E208" t="s">
        <v>2</v>
      </c>
      <c r="F208" t="s">
        <v>800</v>
      </c>
    </row>
    <row r="209" spans="1:6" x14ac:dyDescent="0.35">
      <c r="A209">
        <v>4</v>
      </c>
      <c r="B209" t="s">
        <v>1862</v>
      </c>
      <c r="C209" t="str">
        <f>IF(A209=1,RIGHT(D209,LEN(D209)-2),IF(A209=2,RIGHT(D209,LEN(D209)-3),IF(A209=3,RIGHT(D209,LEN(D209)-5),RIGHT(D209,LEN(D209)-6))))</f>
        <v>Manufacture of pesticides and other agrochemical products</v>
      </c>
      <c r="D209" t="s">
        <v>1863</v>
      </c>
      <c r="E209" t="s">
        <v>798</v>
      </c>
      <c r="F209" t="s">
        <v>1864</v>
      </c>
    </row>
    <row r="210" spans="1:6" x14ac:dyDescent="0.35">
      <c r="A210">
        <v>3</v>
      </c>
      <c r="B210" t="s">
        <v>801</v>
      </c>
      <c r="C210" t="str">
        <f>IF(A210=1,RIGHT(D210,LEN(D210)-2),IF(A210=2,RIGHT(D210,LEN(D210)-3),IF(A210=3,RIGHT(D210,LEN(D210)-5),RIGHT(D210,LEN(D210)-6))))</f>
        <v>Manufacture of paints, varnishes and similar coatings, printing ink and mastics</v>
      </c>
      <c r="D210" t="s">
        <v>802</v>
      </c>
      <c r="E210" t="s">
        <v>2</v>
      </c>
      <c r="F210" t="s">
        <v>803</v>
      </c>
    </row>
    <row r="211" spans="1:6" x14ac:dyDescent="0.35">
      <c r="A211">
        <v>4</v>
      </c>
      <c r="B211" t="s">
        <v>1865</v>
      </c>
      <c r="C211" t="str">
        <f>IF(A211=1,RIGHT(D211,LEN(D211)-2),IF(A211=2,RIGHT(D211,LEN(D211)-3),IF(A211=3,RIGHT(D211,LEN(D211)-5),RIGHT(D211,LEN(D211)-6))))</f>
        <v>Manufacture of paints, varnishes and similar coatings, printing ink and mastics</v>
      </c>
      <c r="D211" t="s">
        <v>1866</v>
      </c>
      <c r="E211" t="s">
        <v>801</v>
      </c>
      <c r="F211" t="s">
        <v>1867</v>
      </c>
    </row>
    <row r="212" spans="1:6" x14ac:dyDescent="0.35">
      <c r="A212">
        <v>3</v>
      </c>
      <c r="B212" t="s">
        <v>804</v>
      </c>
      <c r="C212" t="str">
        <f>IF(A212=1,RIGHT(D212,LEN(D212)-2),IF(A212=2,RIGHT(D212,LEN(D212)-3),IF(A212=3,RIGHT(D212,LEN(D212)-5),RIGHT(D212,LEN(D212)-6))))</f>
        <v>Manufacture of soap and detergents, cleaning and polishing preparations, perfumes and toilet preparations</v>
      </c>
      <c r="D212" t="s">
        <v>805</v>
      </c>
      <c r="E212" t="s">
        <v>2</v>
      </c>
      <c r="F212" t="s">
        <v>806</v>
      </c>
    </row>
    <row r="213" spans="1:6" x14ac:dyDescent="0.35">
      <c r="A213">
        <v>4</v>
      </c>
      <c r="B213" t="s">
        <v>1868</v>
      </c>
      <c r="C213" t="str">
        <f>IF(A213=1,RIGHT(D213,LEN(D213)-2),IF(A213=2,RIGHT(D213,LEN(D213)-3),IF(A213=3,RIGHT(D213,LEN(D213)-5),RIGHT(D213,LEN(D213)-6))))</f>
        <v>Manufacture of soap and detergents, cleaning and polishing preparations</v>
      </c>
      <c r="D213" t="s">
        <v>1869</v>
      </c>
      <c r="E213" t="s">
        <v>804</v>
      </c>
      <c r="F213" t="s">
        <v>1870</v>
      </c>
    </row>
    <row r="214" spans="1:6" x14ac:dyDescent="0.35">
      <c r="A214">
        <v>4</v>
      </c>
      <c r="B214" t="s">
        <v>1871</v>
      </c>
      <c r="C214" t="str">
        <f>IF(A214=1,RIGHT(D214,LEN(D214)-2),IF(A214=2,RIGHT(D214,LEN(D214)-3),IF(A214=3,RIGHT(D214,LEN(D214)-5),RIGHT(D214,LEN(D214)-6))))</f>
        <v>Manufacture of perfumes and toilet preparations</v>
      </c>
      <c r="D214" t="s">
        <v>1872</v>
      </c>
      <c r="E214" t="s">
        <v>804</v>
      </c>
      <c r="F214" t="s">
        <v>1873</v>
      </c>
    </row>
    <row r="215" spans="1:6" x14ac:dyDescent="0.35">
      <c r="A215">
        <v>3</v>
      </c>
      <c r="B215" t="s">
        <v>807</v>
      </c>
      <c r="C215" t="str">
        <f>IF(A215=1,RIGHT(D215,LEN(D215)-2),IF(A215=2,RIGHT(D215,LEN(D215)-3),IF(A215=3,RIGHT(D215,LEN(D215)-5),RIGHT(D215,LEN(D215)-6))))</f>
        <v>Manufacture of other chemical products</v>
      </c>
      <c r="D215" t="s">
        <v>808</v>
      </c>
      <c r="E215" t="s">
        <v>2</v>
      </c>
      <c r="F215" t="s">
        <v>809</v>
      </c>
    </row>
    <row r="216" spans="1:6" x14ac:dyDescent="0.35">
      <c r="A216">
        <v>4</v>
      </c>
      <c r="B216" t="s">
        <v>1874</v>
      </c>
      <c r="C216" t="str">
        <f>IF(A216=1,RIGHT(D216,LEN(D216)-2),IF(A216=2,RIGHT(D216,LEN(D216)-3),IF(A216=3,RIGHT(D216,LEN(D216)-5),RIGHT(D216,LEN(D216)-6))))</f>
        <v>Manufacture of explosives</v>
      </c>
      <c r="D216" t="s">
        <v>1875</v>
      </c>
      <c r="E216" t="s">
        <v>807</v>
      </c>
      <c r="F216" t="s">
        <v>1876</v>
      </c>
    </row>
    <row r="217" spans="1:6" x14ac:dyDescent="0.35">
      <c r="A217">
        <v>4</v>
      </c>
      <c r="B217" t="s">
        <v>1877</v>
      </c>
      <c r="C217" t="str">
        <f>IF(A217=1,RIGHT(D217,LEN(D217)-2),IF(A217=2,RIGHT(D217,LEN(D217)-3),IF(A217=3,RIGHT(D217,LEN(D217)-5),RIGHT(D217,LEN(D217)-6))))</f>
        <v>Manufacture of glues</v>
      </c>
      <c r="D217" t="s">
        <v>1878</v>
      </c>
      <c r="E217" t="s">
        <v>807</v>
      </c>
      <c r="F217" t="s">
        <v>1879</v>
      </c>
    </row>
    <row r="218" spans="1:6" x14ac:dyDescent="0.35">
      <c r="A218">
        <v>4</v>
      </c>
      <c r="B218" t="s">
        <v>1880</v>
      </c>
      <c r="C218" t="str">
        <f>IF(A218=1,RIGHT(D218,LEN(D218)-2),IF(A218=2,RIGHT(D218,LEN(D218)-3),IF(A218=3,RIGHT(D218,LEN(D218)-5),RIGHT(D218,LEN(D218)-6))))</f>
        <v>Manufacture of essential oils</v>
      </c>
      <c r="D218" t="s">
        <v>1881</v>
      </c>
      <c r="E218" t="s">
        <v>807</v>
      </c>
      <c r="F218" t="s">
        <v>1882</v>
      </c>
    </row>
    <row r="219" spans="1:6" x14ac:dyDescent="0.35">
      <c r="A219">
        <v>4</v>
      </c>
      <c r="B219" t="s">
        <v>1883</v>
      </c>
      <c r="C219" t="str">
        <f>IF(A219=1,RIGHT(D219,LEN(D219)-2),IF(A219=2,RIGHT(D219,LEN(D219)-3),IF(A219=3,RIGHT(D219,LEN(D219)-5),RIGHT(D219,LEN(D219)-6))))</f>
        <v>Manufacture of other chemical products n.e.c.</v>
      </c>
      <c r="D219" t="s">
        <v>1884</v>
      </c>
      <c r="E219" t="s">
        <v>807</v>
      </c>
      <c r="F219" t="s">
        <v>1885</v>
      </c>
    </row>
    <row r="220" spans="1:6" x14ac:dyDescent="0.35">
      <c r="A220">
        <v>3</v>
      </c>
      <c r="B220" t="s">
        <v>810</v>
      </c>
      <c r="C220" t="str">
        <f>IF(A220=1,RIGHT(D220,LEN(D220)-2),IF(A220=2,RIGHT(D220,LEN(D220)-3),IF(A220=3,RIGHT(D220,LEN(D220)-5),RIGHT(D220,LEN(D220)-6))))</f>
        <v>Manufacture of man-made fibres</v>
      </c>
      <c r="D220" t="s">
        <v>811</v>
      </c>
      <c r="E220" t="s">
        <v>2</v>
      </c>
      <c r="F220" t="s">
        <v>812</v>
      </c>
    </row>
    <row r="221" spans="1:6" x14ac:dyDescent="0.35">
      <c r="A221">
        <v>4</v>
      </c>
      <c r="B221" t="s">
        <v>1886</v>
      </c>
      <c r="C221" t="str">
        <f>IF(A221=1,RIGHT(D221,LEN(D221)-2),IF(A221=2,RIGHT(D221,LEN(D221)-3),IF(A221=3,RIGHT(D221,LEN(D221)-5),RIGHT(D221,LEN(D221)-6))))</f>
        <v>Manufacture of man-made fibres</v>
      </c>
      <c r="D221" t="s">
        <v>1887</v>
      </c>
      <c r="E221" t="s">
        <v>810</v>
      </c>
      <c r="F221" t="s">
        <v>1888</v>
      </c>
    </row>
    <row r="222" spans="1:6" x14ac:dyDescent="0.35">
      <c r="A222">
        <v>2</v>
      </c>
      <c r="B222" t="s">
        <v>6</v>
      </c>
      <c r="C222" t="str">
        <f>IF(A222=1,RIGHT(D222,LEN(D222)-2),IF(A222=2,RIGHT(D222,LEN(D222)-3),IF(A222=3,RIGHT(D222,LEN(D222)-5),RIGHT(D222,LEN(D222)-6))))</f>
        <v>Manufacture of basic pharmaceutical products and pharmaceutical preparations</v>
      </c>
      <c r="D222" t="s">
        <v>459</v>
      </c>
      <c r="E222" t="s">
        <v>347</v>
      </c>
      <c r="F222" t="s">
        <v>460</v>
      </c>
    </row>
    <row r="223" spans="1:6" x14ac:dyDescent="0.35">
      <c r="A223">
        <v>3</v>
      </c>
      <c r="B223" t="s">
        <v>813</v>
      </c>
      <c r="C223" t="str">
        <f>IF(A223=1,RIGHT(D223,LEN(D223)-2),IF(A223=2,RIGHT(D223,LEN(D223)-3),IF(A223=3,RIGHT(D223,LEN(D223)-5),RIGHT(D223,LEN(D223)-6))))</f>
        <v>Manufacture of basic pharmaceutical products</v>
      </c>
      <c r="D223" t="s">
        <v>814</v>
      </c>
      <c r="E223" t="s">
        <v>6</v>
      </c>
      <c r="F223" t="s">
        <v>815</v>
      </c>
    </row>
    <row r="224" spans="1:6" x14ac:dyDescent="0.35">
      <c r="A224">
        <v>4</v>
      </c>
      <c r="B224" t="s">
        <v>1889</v>
      </c>
      <c r="C224" t="str">
        <f>IF(A224=1,RIGHT(D224,LEN(D224)-2),IF(A224=2,RIGHT(D224,LEN(D224)-3),IF(A224=3,RIGHT(D224,LEN(D224)-5),RIGHT(D224,LEN(D224)-6))))</f>
        <v>Manufacture of basic pharmaceutical products</v>
      </c>
      <c r="D224" t="s">
        <v>1890</v>
      </c>
      <c r="E224" t="s">
        <v>813</v>
      </c>
      <c r="F224" t="s">
        <v>1891</v>
      </c>
    </row>
    <row r="225" spans="1:6" x14ac:dyDescent="0.35">
      <c r="A225">
        <v>3</v>
      </c>
      <c r="B225" t="s">
        <v>816</v>
      </c>
      <c r="C225" t="str">
        <f>IF(A225=1,RIGHT(D225,LEN(D225)-2),IF(A225=2,RIGHT(D225,LEN(D225)-3),IF(A225=3,RIGHT(D225,LEN(D225)-5),RIGHT(D225,LEN(D225)-6))))</f>
        <v>Manufacture of pharmaceutical preparations</v>
      </c>
      <c r="D225" t="s">
        <v>817</v>
      </c>
      <c r="E225" t="s">
        <v>6</v>
      </c>
      <c r="F225" t="s">
        <v>818</v>
      </c>
    </row>
    <row r="226" spans="1:6" x14ac:dyDescent="0.35">
      <c r="A226">
        <v>4</v>
      </c>
      <c r="B226" t="s">
        <v>1892</v>
      </c>
      <c r="C226" t="str">
        <f>IF(A226=1,RIGHT(D226,LEN(D226)-2),IF(A226=2,RIGHT(D226,LEN(D226)-3),IF(A226=3,RIGHT(D226,LEN(D226)-5),RIGHT(D226,LEN(D226)-6))))</f>
        <v>Manufacture of pharmaceutical preparations</v>
      </c>
      <c r="D226" t="s">
        <v>1893</v>
      </c>
      <c r="E226" t="s">
        <v>816</v>
      </c>
      <c r="F226" t="s">
        <v>1894</v>
      </c>
    </row>
    <row r="227" spans="1:6" x14ac:dyDescent="0.35">
      <c r="A227">
        <v>2</v>
      </c>
      <c r="B227" t="s">
        <v>10</v>
      </c>
      <c r="C227" t="str">
        <f>IF(A227=1,RIGHT(D227,LEN(D227)-2),IF(A227=2,RIGHT(D227,LEN(D227)-3),IF(A227=3,RIGHT(D227,LEN(D227)-5),RIGHT(D227,LEN(D227)-6))))</f>
        <v>Manufacture of rubber and plastic products</v>
      </c>
      <c r="D227" t="s">
        <v>461</v>
      </c>
      <c r="E227" t="s">
        <v>347</v>
      </c>
      <c r="F227" t="s">
        <v>462</v>
      </c>
    </row>
    <row r="228" spans="1:6" x14ac:dyDescent="0.35">
      <c r="A228">
        <v>3</v>
      </c>
      <c r="B228" t="s">
        <v>819</v>
      </c>
      <c r="C228" t="str">
        <f>IF(A228=1,RIGHT(D228,LEN(D228)-2),IF(A228=2,RIGHT(D228,LEN(D228)-3),IF(A228=3,RIGHT(D228,LEN(D228)-5),RIGHT(D228,LEN(D228)-6))))</f>
        <v>Manufacture of rubber products</v>
      </c>
      <c r="D228" t="s">
        <v>820</v>
      </c>
      <c r="E228" t="s">
        <v>10</v>
      </c>
      <c r="F228" t="s">
        <v>821</v>
      </c>
    </row>
    <row r="229" spans="1:6" x14ac:dyDescent="0.35">
      <c r="A229">
        <v>4</v>
      </c>
      <c r="B229" t="s">
        <v>1895</v>
      </c>
      <c r="C229" t="str">
        <f>IF(A229=1,RIGHT(D229,LEN(D229)-2),IF(A229=2,RIGHT(D229,LEN(D229)-3),IF(A229=3,RIGHT(D229,LEN(D229)-5),RIGHT(D229,LEN(D229)-6))))</f>
        <v>Manufacture of rubber tyres and tubes; retreading and rebuilding of rubber tyres</v>
      </c>
      <c r="D229" t="s">
        <v>1896</v>
      </c>
      <c r="E229" t="s">
        <v>819</v>
      </c>
      <c r="F229" t="s">
        <v>1897</v>
      </c>
    </row>
    <row r="230" spans="1:6" x14ac:dyDescent="0.35">
      <c r="A230">
        <v>4</v>
      </c>
      <c r="B230" t="s">
        <v>1898</v>
      </c>
      <c r="C230" t="str">
        <f>IF(A230=1,RIGHT(D230,LEN(D230)-2),IF(A230=2,RIGHT(D230,LEN(D230)-3),IF(A230=3,RIGHT(D230,LEN(D230)-5),RIGHT(D230,LEN(D230)-6))))</f>
        <v>Manufacture of other rubber products</v>
      </c>
      <c r="D230" t="s">
        <v>1899</v>
      </c>
      <c r="E230" t="s">
        <v>819</v>
      </c>
      <c r="F230" t="s">
        <v>1900</v>
      </c>
    </row>
    <row r="231" spans="1:6" x14ac:dyDescent="0.35">
      <c r="A231">
        <v>3</v>
      </c>
      <c r="B231" t="s">
        <v>822</v>
      </c>
      <c r="C231" t="str">
        <f>IF(A231=1,RIGHT(D231,LEN(D231)-2),IF(A231=2,RIGHT(D231,LEN(D231)-3),IF(A231=3,RIGHT(D231,LEN(D231)-5),RIGHT(D231,LEN(D231)-6))))</f>
        <v>Manufacture of plastics products</v>
      </c>
      <c r="D231" t="s">
        <v>3307</v>
      </c>
      <c r="E231" t="s">
        <v>10</v>
      </c>
      <c r="F231" t="s">
        <v>823</v>
      </c>
    </row>
    <row r="232" spans="1:6" x14ac:dyDescent="0.35">
      <c r="A232">
        <v>4</v>
      </c>
      <c r="B232" t="s">
        <v>1901</v>
      </c>
      <c r="C232" t="str">
        <f>IF(A232=1,RIGHT(D232,LEN(D232)-2),IF(A232=2,RIGHT(D232,LEN(D232)-3),IF(A232=3,RIGHT(D232,LEN(D232)-5),RIGHT(D232,LEN(D232)-6))))</f>
        <v>Manufacture of plastic plates, sheets, tubes and profiles</v>
      </c>
      <c r="D232" t="s">
        <v>1902</v>
      </c>
      <c r="E232" t="s">
        <v>822</v>
      </c>
      <c r="F232" t="s">
        <v>1903</v>
      </c>
    </row>
    <row r="233" spans="1:6" x14ac:dyDescent="0.35">
      <c r="A233">
        <v>4</v>
      </c>
      <c r="B233" t="s">
        <v>1904</v>
      </c>
      <c r="C233" t="str">
        <f>IF(A233=1,RIGHT(D233,LEN(D233)-2),IF(A233=2,RIGHT(D233,LEN(D233)-3),IF(A233=3,RIGHT(D233,LEN(D233)-5),RIGHT(D233,LEN(D233)-6))))</f>
        <v>Manufacture of plastic packing goods</v>
      </c>
      <c r="D233" t="s">
        <v>1905</v>
      </c>
      <c r="E233" t="s">
        <v>822</v>
      </c>
      <c r="F233" t="s">
        <v>1906</v>
      </c>
    </row>
    <row r="234" spans="1:6" x14ac:dyDescent="0.35">
      <c r="A234">
        <v>4</v>
      </c>
      <c r="B234" t="s">
        <v>1907</v>
      </c>
      <c r="C234" t="str">
        <f>IF(A234=1,RIGHT(D234,LEN(D234)-2),IF(A234=2,RIGHT(D234,LEN(D234)-3),IF(A234=3,RIGHT(D234,LEN(D234)-5),RIGHT(D234,LEN(D234)-6))))</f>
        <v>Manufacture of builders’ ware of plastic</v>
      </c>
      <c r="D234" t="s">
        <v>1908</v>
      </c>
      <c r="E234" t="s">
        <v>822</v>
      </c>
      <c r="F234" t="s">
        <v>1909</v>
      </c>
    </row>
    <row r="235" spans="1:6" x14ac:dyDescent="0.35">
      <c r="A235">
        <v>4</v>
      </c>
      <c r="B235" t="s">
        <v>1910</v>
      </c>
      <c r="C235" t="str">
        <f>IF(A235=1,RIGHT(D235,LEN(D235)-2),IF(A235=2,RIGHT(D235,LEN(D235)-3),IF(A235=3,RIGHT(D235,LEN(D235)-5),RIGHT(D235,LEN(D235)-6))))</f>
        <v>Manufacture of other plastic products</v>
      </c>
      <c r="D235" t="s">
        <v>1911</v>
      </c>
      <c r="E235" t="s">
        <v>822</v>
      </c>
      <c r="F235" t="s">
        <v>1912</v>
      </c>
    </row>
    <row r="236" spans="1:6" x14ac:dyDescent="0.35">
      <c r="A236">
        <v>2</v>
      </c>
      <c r="B236" t="s">
        <v>12</v>
      </c>
      <c r="C236" t="str">
        <f>IF(A236=1,RIGHT(D236,LEN(D236)-2),IF(A236=2,RIGHT(D236,LEN(D236)-3),IF(A236=3,RIGHT(D236,LEN(D236)-5),RIGHT(D236,LEN(D236)-6))))</f>
        <v>Manufacture of other non-metallic mineral products</v>
      </c>
      <c r="D236" t="s">
        <v>463</v>
      </c>
      <c r="E236" t="s">
        <v>347</v>
      </c>
      <c r="F236" t="s">
        <v>464</v>
      </c>
    </row>
    <row r="237" spans="1:6" x14ac:dyDescent="0.35">
      <c r="A237">
        <v>3</v>
      </c>
      <c r="B237" t="s">
        <v>824</v>
      </c>
      <c r="C237" t="str">
        <f>IF(A237=1,RIGHT(D237,LEN(D237)-2),IF(A237=2,RIGHT(D237,LEN(D237)-3),IF(A237=3,RIGHT(D237,LEN(D237)-5),RIGHT(D237,LEN(D237)-6))))</f>
        <v>Manufacture of glass and glass products</v>
      </c>
      <c r="D237" t="s">
        <v>825</v>
      </c>
      <c r="E237" t="s">
        <v>12</v>
      </c>
      <c r="F237" t="s">
        <v>826</v>
      </c>
    </row>
    <row r="238" spans="1:6" x14ac:dyDescent="0.35">
      <c r="A238">
        <v>4</v>
      </c>
      <c r="B238" t="s">
        <v>1913</v>
      </c>
      <c r="C238" t="str">
        <f>IF(A238=1,RIGHT(D238,LEN(D238)-2),IF(A238=2,RIGHT(D238,LEN(D238)-3),IF(A238=3,RIGHT(D238,LEN(D238)-5),RIGHT(D238,LEN(D238)-6))))</f>
        <v>Manufacture of flat glass</v>
      </c>
      <c r="D238" t="s">
        <v>1914</v>
      </c>
      <c r="E238" t="s">
        <v>824</v>
      </c>
      <c r="F238" t="s">
        <v>1915</v>
      </c>
    </row>
    <row r="239" spans="1:6" x14ac:dyDescent="0.35">
      <c r="A239">
        <v>4</v>
      </c>
      <c r="B239" t="s">
        <v>1916</v>
      </c>
      <c r="C239" t="str">
        <f>IF(A239=1,RIGHT(D239,LEN(D239)-2),IF(A239=2,RIGHT(D239,LEN(D239)-3),IF(A239=3,RIGHT(D239,LEN(D239)-5),RIGHT(D239,LEN(D239)-6))))</f>
        <v>Shaping and processing of flat glass</v>
      </c>
      <c r="D239" t="s">
        <v>1917</v>
      </c>
      <c r="E239" t="s">
        <v>824</v>
      </c>
      <c r="F239" t="s">
        <v>1918</v>
      </c>
    </row>
    <row r="240" spans="1:6" x14ac:dyDescent="0.35">
      <c r="A240">
        <v>4</v>
      </c>
      <c r="B240" t="s">
        <v>1919</v>
      </c>
      <c r="C240" t="str">
        <f>IF(A240=1,RIGHT(D240,LEN(D240)-2),IF(A240=2,RIGHT(D240,LEN(D240)-3),IF(A240=3,RIGHT(D240,LEN(D240)-5),RIGHT(D240,LEN(D240)-6))))</f>
        <v>Manufacture of hollow glass</v>
      </c>
      <c r="D240" t="s">
        <v>1920</v>
      </c>
      <c r="E240" t="s">
        <v>824</v>
      </c>
      <c r="F240" t="s">
        <v>1921</v>
      </c>
    </row>
    <row r="241" spans="1:6" x14ac:dyDescent="0.35">
      <c r="A241">
        <v>4</v>
      </c>
      <c r="B241" t="s">
        <v>1922</v>
      </c>
      <c r="C241" t="str">
        <f>IF(A241=1,RIGHT(D241,LEN(D241)-2),IF(A241=2,RIGHT(D241,LEN(D241)-3),IF(A241=3,RIGHT(D241,LEN(D241)-5),RIGHT(D241,LEN(D241)-6))))</f>
        <v>Manufacture of glass fibres</v>
      </c>
      <c r="D241" t="s">
        <v>1923</v>
      </c>
      <c r="E241" t="s">
        <v>824</v>
      </c>
      <c r="F241" t="s">
        <v>1924</v>
      </c>
    </row>
    <row r="242" spans="1:6" x14ac:dyDescent="0.35">
      <c r="A242">
        <v>4</v>
      </c>
      <c r="B242" t="s">
        <v>1925</v>
      </c>
      <c r="C242" t="str">
        <f>IF(A242=1,RIGHT(D242,LEN(D242)-2),IF(A242=2,RIGHT(D242,LEN(D242)-3),IF(A242=3,RIGHT(D242,LEN(D242)-5),RIGHT(D242,LEN(D242)-6))))</f>
        <v>Manufacture and processing of other glass, including technical glassware</v>
      </c>
      <c r="D242" t="s">
        <v>1926</v>
      </c>
      <c r="E242" t="s">
        <v>824</v>
      </c>
      <c r="F242" t="s">
        <v>1927</v>
      </c>
    </row>
    <row r="243" spans="1:6" x14ac:dyDescent="0.35">
      <c r="A243">
        <v>3</v>
      </c>
      <c r="B243" t="s">
        <v>827</v>
      </c>
      <c r="C243" t="str">
        <f>IF(A243=1,RIGHT(D243,LEN(D243)-2),IF(A243=2,RIGHT(D243,LEN(D243)-3),IF(A243=3,RIGHT(D243,LEN(D243)-5),RIGHT(D243,LEN(D243)-6))))</f>
        <v>Manufacture of refractory products</v>
      </c>
      <c r="D243" t="s">
        <v>828</v>
      </c>
      <c r="E243" t="s">
        <v>12</v>
      </c>
      <c r="F243" t="s">
        <v>829</v>
      </c>
    </row>
    <row r="244" spans="1:6" x14ac:dyDescent="0.35">
      <c r="A244">
        <v>4</v>
      </c>
      <c r="B244" t="s">
        <v>1928</v>
      </c>
      <c r="C244" t="str">
        <f>IF(A244=1,RIGHT(D244,LEN(D244)-2),IF(A244=2,RIGHT(D244,LEN(D244)-3),IF(A244=3,RIGHT(D244,LEN(D244)-5),RIGHT(D244,LEN(D244)-6))))</f>
        <v>Manufacture of refractory products</v>
      </c>
      <c r="D244" t="s">
        <v>1929</v>
      </c>
      <c r="E244" t="s">
        <v>827</v>
      </c>
      <c r="F244" t="s">
        <v>1930</v>
      </c>
    </row>
    <row r="245" spans="1:6" x14ac:dyDescent="0.35">
      <c r="A245">
        <v>3</v>
      </c>
      <c r="B245" t="s">
        <v>830</v>
      </c>
      <c r="C245" t="str">
        <f>IF(A245=1,RIGHT(D245,LEN(D245)-2),IF(A245=2,RIGHT(D245,LEN(D245)-3),IF(A245=3,RIGHT(D245,LEN(D245)-5),RIGHT(D245,LEN(D245)-6))))</f>
        <v>Manufacture of clay building materials</v>
      </c>
      <c r="D245" t="s">
        <v>831</v>
      </c>
      <c r="E245" t="s">
        <v>12</v>
      </c>
      <c r="F245" t="s">
        <v>832</v>
      </c>
    </row>
    <row r="246" spans="1:6" x14ac:dyDescent="0.35">
      <c r="A246">
        <v>4</v>
      </c>
      <c r="B246" t="s">
        <v>1931</v>
      </c>
      <c r="C246" t="str">
        <f>IF(A246=1,RIGHT(D246,LEN(D246)-2),IF(A246=2,RIGHT(D246,LEN(D246)-3),IF(A246=3,RIGHT(D246,LEN(D246)-5),RIGHT(D246,LEN(D246)-6))))</f>
        <v>Manufacture of ceramic tiles and flags</v>
      </c>
      <c r="D246" t="s">
        <v>1932</v>
      </c>
      <c r="E246" t="s">
        <v>830</v>
      </c>
      <c r="F246" t="s">
        <v>1933</v>
      </c>
    </row>
    <row r="247" spans="1:6" x14ac:dyDescent="0.35">
      <c r="A247">
        <v>4</v>
      </c>
      <c r="B247" t="s">
        <v>1934</v>
      </c>
      <c r="C247" t="str">
        <f>IF(A247=1,RIGHT(D247,LEN(D247)-2),IF(A247=2,RIGHT(D247,LEN(D247)-3),IF(A247=3,RIGHT(D247,LEN(D247)-5),RIGHT(D247,LEN(D247)-6))))</f>
        <v>Manufacture of bricks, tiles and construction products, in baked clay</v>
      </c>
      <c r="D247" t="s">
        <v>1935</v>
      </c>
      <c r="E247" t="s">
        <v>830</v>
      </c>
      <c r="F247" t="s">
        <v>1936</v>
      </c>
    </row>
    <row r="248" spans="1:6" x14ac:dyDescent="0.35">
      <c r="A248">
        <v>3</v>
      </c>
      <c r="B248" t="s">
        <v>833</v>
      </c>
      <c r="C248" t="str">
        <f>IF(A248=1,RIGHT(D248,LEN(D248)-2),IF(A248=2,RIGHT(D248,LEN(D248)-3),IF(A248=3,RIGHT(D248,LEN(D248)-5),RIGHT(D248,LEN(D248)-6))))</f>
        <v>Manufacture of other porcelain and ceramic products</v>
      </c>
      <c r="D248" t="s">
        <v>834</v>
      </c>
      <c r="E248" t="s">
        <v>12</v>
      </c>
      <c r="F248" t="s">
        <v>835</v>
      </c>
    </row>
    <row r="249" spans="1:6" x14ac:dyDescent="0.35">
      <c r="A249">
        <v>4</v>
      </c>
      <c r="B249" t="s">
        <v>1937</v>
      </c>
      <c r="C249" t="str">
        <f>IF(A249=1,RIGHT(D249,LEN(D249)-2),IF(A249=2,RIGHT(D249,LEN(D249)-3),IF(A249=3,RIGHT(D249,LEN(D249)-5),RIGHT(D249,LEN(D249)-6))))</f>
        <v>Manufacture of ceramic household and ornamental articles</v>
      </c>
      <c r="D249" t="s">
        <v>1938</v>
      </c>
      <c r="E249" t="s">
        <v>833</v>
      </c>
      <c r="F249" t="s">
        <v>1939</v>
      </c>
    </row>
    <row r="250" spans="1:6" x14ac:dyDescent="0.35">
      <c r="A250">
        <v>4</v>
      </c>
      <c r="B250" t="s">
        <v>1940</v>
      </c>
      <c r="C250" t="str">
        <f>IF(A250=1,RIGHT(D250,LEN(D250)-2),IF(A250=2,RIGHT(D250,LEN(D250)-3),IF(A250=3,RIGHT(D250,LEN(D250)-5),RIGHT(D250,LEN(D250)-6))))</f>
        <v>Manufacture of ceramic sanitary fixtures</v>
      </c>
      <c r="D250" t="s">
        <v>1941</v>
      </c>
      <c r="E250" t="s">
        <v>833</v>
      </c>
      <c r="F250" t="s">
        <v>1942</v>
      </c>
    </row>
    <row r="251" spans="1:6" x14ac:dyDescent="0.35">
      <c r="A251">
        <v>4</v>
      </c>
      <c r="B251" t="s">
        <v>1943</v>
      </c>
      <c r="C251" t="str">
        <f>IF(A251=1,RIGHT(D251,LEN(D251)-2),IF(A251=2,RIGHT(D251,LEN(D251)-3),IF(A251=3,RIGHT(D251,LEN(D251)-5),RIGHT(D251,LEN(D251)-6))))</f>
        <v>Manufacture of ceramic insulators and insulating fittings</v>
      </c>
      <c r="D251" t="s">
        <v>1944</v>
      </c>
      <c r="E251" t="s">
        <v>833</v>
      </c>
      <c r="F251" t="s">
        <v>1945</v>
      </c>
    </row>
    <row r="252" spans="1:6" x14ac:dyDescent="0.35">
      <c r="A252">
        <v>4</v>
      </c>
      <c r="B252" t="s">
        <v>1946</v>
      </c>
      <c r="C252" t="str">
        <f>IF(A252=1,RIGHT(D252,LEN(D252)-2),IF(A252=2,RIGHT(D252,LEN(D252)-3),IF(A252=3,RIGHT(D252,LEN(D252)-5),RIGHT(D252,LEN(D252)-6))))</f>
        <v>Manufacture of other technical ceramic products</v>
      </c>
      <c r="D252" t="s">
        <v>1947</v>
      </c>
      <c r="E252" t="s">
        <v>833</v>
      </c>
      <c r="F252" t="s">
        <v>1948</v>
      </c>
    </row>
    <row r="253" spans="1:6" x14ac:dyDescent="0.35">
      <c r="A253">
        <v>4</v>
      </c>
      <c r="B253" t="s">
        <v>1949</v>
      </c>
      <c r="C253" t="str">
        <f>IF(A253=1,RIGHT(D253,LEN(D253)-2),IF(A253=2,RIGHT(D253,LEN(D253)-3),IF(A253=3,RIGHT(D253,LEN(D253)-5),RIGHT(D253,LEN(D253)-6))))</f>
        <v>Manufacture of other ceramic products</v>
      </c>
      <c r="D253" t="s">
        <v>1950</v>
      </c>
      <c r="E253" t="s">
        <v>833</v>
      </c>
      <c r="F253" t="s">
        <v>1951</v>
      </c>
    </row>
    <row r="254" spans="1:6" x14ac:dyDescent="0.35">
      <c r="A254">
        <v>3</v>
      </c>
      <c r="B254" t="s">
        <v>836</v>
      </c>
      <c r="C254" t="str">
        <f>IF(A254=1,RIGHT(D254,LEN(D254)-2),IF(A254=2,RIGHT(D254,LEN(D254)-3),IF(A254=3,RIGHT(D254,LEN(D254)-5),RIGHT(D254,LEN(D254)-6))))</f>
        <v>Manufacture of cement, lime and plaster</v>
      </c>
      <c r="D254" t="s">
        <v>837</v>
      </c>
      <c r="E254" t="s">
        <v>12</v>
      </c>
      <c r="F254" t="s">
        <v>838</v>
      </c>
    </row>
    <row r="255" spans="1:6" x14ac:dyDescent="0.35">
      <c r="A255">
        <v>4</v>
      </c>
      <c r="B255" t="s">
        <v>1952</v>
      </c>
      <c r="C255" t="str">
        <f>IF(A255=1,RIGHT(D255,LEN(D255)-2),IF(A255=2,RIGHT(D255,LEN(D255)-3),IF(A255=3,RIGHT(D255,LEN(D255)-5),RIGHT(D255,LEN(D255)-6))))</f>
        <v>Manufacture of cement</v>
      </c>
      <c r="D255" t="s">
        <v>1953</v>
      </c>
      <c r="E255" t="s">
        <v>836</v>
      </c>
      <c r="F255" t="s">
        <v>1954</v>
      </c>
    </row>
    <row r="256" spans="1:6" x14ac:dyDescent="0.35">
      <c r="A256">
        <v>4</v>
      </c>
      <c r="B256" t="s">
        <v>1955</v>
      </c>
      <c r="C256" t="str">
        <f>IF(A256=1,RIGHT(D256,LEN(D256)-2),IF(A256=2,RIGHT(D256,LEN(D256)-3),IF(A256=3,RIGHT(D256,LEN(D256)-5),RIGHT(D256,LEN(D256)-6))))</f>
        <v>Manufacture of lime and plaster</v>
      </c>
      <c r="D256" t="s">
        <v>1956</v>
      </c>
      <c r="E256" t="s">
        <v>836</v>
      </c>
      <c r="F256" t="s">
        <v>1957</v>
      </c>
    </row>
    <row r="257" spans="1:6" x14ac:dyDescent="0.35">
      <c r="A257">
        <v>3</v>
      </c>
      <c r="B257" t="s">
        <v>839</v>
      </c>
      <c r="C257" t="str">
        <f>IF(A257=1,RIGHT(D257,LEN(D257)-2),IF(A257=2,RIGHT(D257,LEN(D257)-3),IF(A257=3,RIGHT(D257,LEN(D257)-5),RIGHT(D257,LEN(D257)-6))))</f>
        <v>Manufacture of articles of concrete, cement and plaster</v>
      </c>
      <c r="D257" t="s">
        <v>840</v>
      </c>
      <c r="E257" t="s">
        <v>12</v>
      </c>
      <c r="F257" t="s">
        <v>841</v>
      </c>
    </row>
    <row r="258" spans="1:6" x14ac:dyDescent="0.35">
      <c r="A258">
        <v>4</v>
      </c>
      <c r="B258" t="s">
        <v>1958</v>
      </c>
      <c r="C258" t="str">
        <f>IF(A258=1,RIGHT(D258,LEN(D258)-2),IF(A258=2,RIGHT(D258,LEN(D258)-3),IF(A258=3,RIGHT(D258,LEN(D258)-5),RIGHT(D258,LEN(D258)-6))))</f>
        <v>Manufacture of concrete products for construction purposes</v>
      </c>
      <c r="D258" t="s">
        <v>1959</v>
      </c>
      <c r="E258" t="s">
        <v>839</v>
      </c>
      <c r="F258" t="s">
        <v>1960</v>
      </c>
    </row>
    <row r="259" spans="1:6" x14ac:dyDescent="0.35">
      <c r="A259">
        <v>4</v>
      </c>
      <c r="B259" t="s">
        <v>1961</v>
      </c>
      <c r="C259" t="str">
        <f>IF(A259=1,RIGHT(D259,LEN(D259)-2),IF(A259=2,RIGHT(D259,LEN(D259)-3),IF(A259=3,RIGHT(D259,LEN(D259)-5),RIGHT(D259,LEN(D259)-6))))</f>
        <v>Manufacture of plaster products for construction purposes</v>
      </c>
      <c r="D259" t="s">
        <v>1962</v>
      </c>
      <c r="E259" t="s">
        <v>839</v>
      </c>
      <c r="F259" t="s">
        <v>1963</v>
      </c>
    </row>
    <row r="260" spans="1:6" x14ac:dyDescent="0.35">
      <c r="A260">
        <v>4</v>
      </c>
      <c r="B260" t="s">
        <v>1964</v>
      </c>
      <c r="C260" t="str">
        <f>IF(A260=1,RIGHT(D260,LEN(D260)-2),IF(A260=2,RIGHT(D260,LEN(D260)-3),IF(A260=3,RIGHT(D260,LEN(D260)-5),RIGHT(D260,LEN(D260)-6))))</f>
        <v>Manufacture of ready-mixed concrete</v>
      </c>
      <c r="D260" t="s">
        <v>1965</v>
      </c>
      <c r="E260" t="s">
        <v>839</v>
      </c>
      <c r="F260" t="s">
        <v>1966</v>
      </c>
    </row>
    <row r="261" spans="1:6" x14ac:dyDescent="0.35">
      <c r="A261">
        <v>4</v>
      </c>
      <c r="B261" t="s">
        <v>1967</v>
      </c>
      <c r="C261" t="str">
        <f>IF(A261=1,RIGHT(D261,LEN(D261)-2),IF(A261=2,RIGHT(D261,LEN(D261)-3),IF(A261=3,RIGHT(D261,LEN(D261)-5),RIGHT(D261,LEN(D261)-6))))</f>
        <v>Manufacture of mortars</v>
      </c>
      <c r="D261" t="s">
        <v>1968</v>
      </c>
      <c r="E261" t="s">
        <v>839</v>
      </c>
      <c r="F261" t="s">
        <v>1969</v>
      </c>
    </row>
    <row r="262" spans="1:6" x14ac:dyDescent="0.35">
      <c r="A262">
        <v>4</v>
      </c>
      <c r="B262" t="s">
        <v>1970</v>
      </c>
      <c r="C262" t="str">
        <f>IF(A262=1,RIGHT(D262,LEN(D262)-2),IF(A262=2,RIGHT(D262,LEN(D262)-3),IF(A262=3,RIGHT(D262,LEN(D262)-5),RIGHT(D262,LEN(D262)-6))))</f>
        <v>Manufacture of fibre cement</v>
      </c>
      <c r="D262" t="s">
        <v>1971</v>
      </c>
      <c r="E262" t="s">
        <v>839</v>
      </c>
      <c r="F262" t="s">
        <v>1972</v>
      </c>
    </row>
    <row r="263" spans="1:6" x14ac:dyDescent="0.35">
      <c r="A263">
        <v>4</v>
      </c>
      <c r="B263" t="s">
        <v>1973</v>
      </c>
      <c r="C263" t="str">
        <f>IF(A263=1,RIGHT(D263,LEN(D263)-2),IF(A263=2,RIGHT(D263,LEN(D263)-3),IF(A263=3,RIGHT(D263,LEN(D263)-5),RIGHT(D263,LEN(D263)-6))))</f>
        <v>Manufacture of other articles of concrete, plaster and cement</v>
      </c>
      <c r="D263" t="s">
        <v>1974</v>
      </c>
      <c r="E263" t="s">
        <v>839</v>
      </c>
      <c r="F263" t="s">
        <v>1975</v>
      </c>
    </row>
    <row r="264" spans="1:6" x14ac:dyDescent="0.35">
      <c r="A264">
        <v>3</v>
      </c>
      <c r="B264" t="s">
        <v>842</v>
      </c>
      <c r="C264" t="str">
        <f>IF(A264=1,RIGHT(D264,LEN(D264)-2),IF(A264=2,RIGHT(D264,LEN(D264)-3),IF(A264=3,RIGHT(D264,LEN(D264)-5),RIGHT(D264,LEN(D264)-6))))</f>
        <v>Cutting, shaping and finishing of stone</v>
      </c>
      <c r="D264" t="s">
        <v>843</v>
      </c>
      <c r="E264" t="s">
        <v>12</v>
      </c>
      <c r="F264" t="s">
        <v>844</v>
      </c>
    </row>
    <row r="265" spans="1:6" x14ac:dyDescent="0.35">
      <c r="A265">
        <v>4</v>
      </c>
      <c r="B265" t="s">
        <v>1976</v>
      </c>
      <c r="C265" t="str">
        <f>IF(A265=1,RIGHT(D265,LEN(D265)-2),IF(A265=2,RIGHT(D265,LEN(D265)-3),IF(A265=3,RIGHT(D265,LEN(D265)-5),RIGHT(D265,LEN(D265)-6))))</f>
        <v>Cutting, shaping and finishing of stone</v>
      </c>
      <c r="D265" t="s">
        <v>1977</v>
      </c>
      <c r="E265" t="s">
        <v>842</v>
      </c>
      <c r="F265" t="s">
        <v>1978</v>
      </c>
    </row>
    <row r="266" spans="1:6" x14ac:dyDescent="0.35">
      <c r="A266">
        <v>3</v>
      </c>
      <c r="B266" t="s">
        <v>845</v>
      </c>
      <c r="C266" t="str">
        <f>IF(A266=1,RIGHT(D266,LEN(D266)-2),IF(A266=2,RIGHT(D266,LEN(D266)-3),IF(A266=3,RIGHT(D266,LEN(D266)-5),RIGHT(D266,LEN(D266)-6))))</f>
        <v>Manufacture of abrasive products and non-metallic mineral products n.e.c.</v>
      </c>
      <c r="D266" t="s">
        <v>846</v>
      </c>
      <c r="E266" t="s">
        <v>12</v>
      </c>
      <c r="F266" t="s">
        <v>847</v>
      </c>
    </row>
    <row r="267" spans="1:6" x14ac:dyDescent="0.35">
      <c r="A267">
        <v>4</v>
      </c>
      <c r="B267" t="s">
        <v>1979</v>
      </c>
      <c r="C267" t="str">
        <f>IF(A267=1,RIGHT(D267,LEN(D267)-2),IF(A267=2,RIGHT(D267,LEN(D267)-3),IF(A267=3,RIGHT(D267,LEN(D267)-5),RIGHT(D267,LEN(D267)-6))))</f>
        <v>Production of abrasive products</v>
      </c>
      <c r="D267" t="s">
        <v>1980</v>
      </c>
      <c r="E267" t="s">
        <v>845</v>
      </c>
      <c r="F267" t="s">
        <v>1981</v>
      </c>
    </row>
    <row r="268" spans="1:6" x14ac:dyDescent="0.35">
      <c r="A268">
        <v>4</v>
      </c>
      <c r="B268" t="s">
        <v>1982</v>
      </c>
      <c r="C268" t="str">
        <f>IF(A268=1,RIGHT(D268,LEN(D268)-2),IF(A268=2,RIGHT(D268,LEN(D268)-3),IF(A268=3,RIGHT(D268,LEN(D268)-5),RIGHT(D268,LEN(D268)-6))))</f>
        <v>Manufacture of other non-metallic mineral products n.e.c.</v>
      </c>
      <c r="D268" t="s">
        <v>1983</v>
      </c>
      <c r="E268" t="s">
        <v>845</v>
      </c>
      <c r="F268" t="s">
        <v>1984</v>
      </c>
    </row>
    <row r="269" spans="1:6" x14ac:dyDescent="0.35">
      <c r="A269">
        <v>2</v>
      </c>
      <c r="B269" t="s">
        <v>14</v>
      </c>
      <c r="C269" t="str">
        <f>IF(A269=1,RIGHT(D269,LEN(D269)-2),IF(A269=2,RIGHT(D269,LEN(D269)-3),IF(A269=3,RIGHT(D269,LEN(D269)-5),RIGHT(D269,LEN(D269)-6))))</f>
        <v>Manufacture of basic metals</v>
      </c>
      <c r="D269" t="s">
        <v>465</v>
      </c>
      <c r="E269" t="s">
        <v>347</v>
      </c>
      <c r="F269" t="s">
        <v>466</v>
      </c>
    </row>
    <row r="270" spans="1:6" x14ac:dyDescent="0.35">
      <c r="A270">
        <v>3</v>
      </c>
      <c r="B270" t="s">
        <v>848</v>
      </c>
      <c r="C270" t="str">
        <f>IF(A270=1,RIGHT(D270,LEN(D270)-2),IF(A270=2,RIGHT(D270,LEN(D270)-3),IF(A270=3,RIGHT(D270,LEN(D270)-5),RIGHT(D270,LEN(D270)-6))))</f>
        <v>Manufacture of basic iron and steel and of ferro-alloys</v>
      </c>
      <c r="D270" t="s">
        <v>849</v>
      </c>
      <c r="E270" t="s">
        <v>14</v>
      </c>
      <c r="F270" t="s">
        <v>850</v>
      </c>
    </row>
    <row r="271" spans="1:6" x14ac:dyDescent="0.35">
      <c r="A271">
        <v>4</v>
      </c>
      <c r="B271" t="s">
        <v>1985</v>
      </c>
      <c r="C271" t="str">
        <f>IF(A271=1,RIGHT(D271,LEN(D271)-2),IF(A271=2,RIGHT(D271,LEN(D271)-3),IF(A271=3,RIGHT(D271,LEN(D271)-5),RIGHT(D271,LEN(D271)-6))))</f>
        <v>Manufacture of basic iron and steel and of ferro-alloys</v>
      </c>
      <c r="D271" t="s">
        <v>1986</v>
      </c>
      <c r="E271" t="s">
        <v>848</v>
      </c>
      <c r="F271" t="s">
        <v>1987</v>
      </c>
    </row>
    <row r="272" spans="1:6" x14ac:dyDescent="0.35">
      <c r="A272">
        <v>3</v>
      </c>
      <c r="B272" t="s">
        <v>851</v>
      </c>
      <c r="C272" t="str">
        <f>IF(A272=1,RIGHT(D272,LEN(D272)-2),IF(A272=2,RIGHT(D272,LEN(D272)-3),IF(A272=3,RIGHT(D272,LEN(D272)-5),RIGHT(D272,LEN(D272)-6))))</f>
        <v>Manufacture of tubes, pipes, hollow profiles and related fittings, of steel</v>
      </c>
      <c r="D272" t="s">
        <v>852</v>
      </c>
      <c r="E272" t="s">
        <v>14</v>
      </c>
      <c r="F272" t="s">
        <v>853</v>
      </c>
    </row>
    <row r="273" spans="1:6" x14ac:dyDescent="0.35">
      <c r="A273">
        <v>4</v>
      </c>
      <c r="B273" t="s">
        <v>1988</v>
      </c>
      <c r="C273" t="str">
        <f>IF(A273=1,RIGHT(D273,LEN(D273)-2),IF(A273=2,RIGHT(D273,LEN(D273)-3),IF(A273=3,RIGHT(D273,LEN(D273)-5),RIGHT(D273,LEN(D273)-6))))</f>
        <v>Manufacture of tubes, pipes, hollow profiles and related fittings, of steel</v>
      </c>
      <c r="D273" t="s">
        <v>1989</v>
      </c>
      <c r="E273" t="s">
        <v>851</v>
      </c>
      <c r="F273" t="s">
        <v>1990</v>
      </c>
    </row>
    <row r="274" spans="1:6" x14ac:dyDescent="0.35">
      <c r="A274">
        <v>3</v>
      </c>
      <c r="B274" t="s">
        <v>854</v>
      </c>
      <c r="C274" t="str">
        <f>IF(A274=1,RIGHT(D274,LEN(D274)-2),IF(A274=2,RIGHT(D274,LEN(D274)-3),IF(A274=3,RIGHT(D274,LEN(D274)-5),RIGHT(D274,LEN(D274)-6))))</f>
        <v>Manufacture of other products of first processing of steel</v>
      </c>
      <c r="D274" t="s">
        <v>855</v>
      </c>
      <c r="E274" t="s">
        <v>14</v>
      </c>
      <c r="F274" t="s">
        <v>856</v>
      </c>
    </row>
    <row r="275" spans="1:6" x14ac:dyDescent="0.35">
      <c r="A275">
        <v>4</v>
      </c>
      <c r="B275" t="s">
        <v>1991</v>
      </c>
      <c r="C275" t="str">
        <f>IF(A275=1,RIGHT(D275,LEN(D275)-2),IF(A275=2,RIGHT(D275,LEN(D275)-3),IF(A275=3,RIGHT(D275,LEN(D275)-5),RIGHT(D275,LEN(D275)-6))))</f>
        <v>Cold drawing of bars</v>
      </c>
      <c r="D275" t="s">
        <v>1992</v>
      </c>
      <c r="E275" t="s">
        <v>854</v>
      </c>
      <c r="F275" t="s">
        <v>1993</v>
      </c>
    </row>
    <row r="276" spans="1:6" x14ac:dyDescent="0.35">
      <c r="A276">
        <v>4</v>
      </c>
      <c r="B276" t="s">
        <v>1994</v>
      </c>
      <c r="C276" t="str">
        <f>IF(A276=1,RIGHT(D276,LEN(D276)-2),IF(A276=2,RIGHT(D276,LEN(D276)-3),IF(A276=3,RIGHT(D276,LEN(D276)-5),RIGHT(D276,LEN(D276)-6))))</f>
        <v>Cold rolling of narrow strip</v>
      </c>
      <c r="D276" t="s">
        <v>1995</v>
      </c>
      <c r="E276" t="s">
        <v>854</v>
      </c>
      <c r="F276" t="s">
        <v>1996</v>
      </c>
    </row>
    <row r="277" spans="1:6" x14ac:dyDescent="0.35">
      <c r="A277">
        <v>4</v>
      </c>
      <c r="B277" t="s">
        <v>1997</v>
      </c>
      <c r="C277" t="str">
        <f>IF(A277=1,RIGHT(D277,LEN(D277)-2),IF(A277=2,RIGHT(D277,LEN(D277)-3),IF(A277=3,RIGHT(D277,LEN(D277)-5),RIGHT(D277,LEN(D277)-6))))</f>
        <v>Cold forming or folding</v>
      </c>
      <c r="D277" t="s">
        <v>1998</v>
      </c>
      <c r="E277" t="s">
        <v>854</v>
      </c>
      <c r="F277" t="s">
        <v>1999</v>
      </c>
    </row>
    <row r="278" spans="1:6" x14ac:dyDescent="0.35">
      <c r="A278">
        <v>4</v>
      </c>
      <c r="B278" t="s">
        <v>2000</v>
      </c>
      <c r="C278" t="str">
        <f>IF(A278=1,RIGHT(D278,LEN(D278)-2),IF(A278=2,RIGHT(D278,LEN(D278)-3),IF(A278=3,RIGHT(D278,LEN(D278)-5),RIGHT(D278,LEN(D278)-6))))</f>
        <v>Cold drawing of wire</v>
      </c>
      <c r="D278" t="s">
        <v>2001</v>
      </c>
      <c r="E278" t="s">
        <v>854</v>
      </c>
      <c r="F278" t="s">
        <v>2002</v>
      </c>
    </row>
    <row r="279" spans="1:6" x14ac:dyDescent="0.35">
      <c r="A279">
        <v>3</v>
      </c>
      <c r="B279" t="s">
        <v>857</v>
      </c>
      <c r="C279" t="str">
        <f>IF(A279=1,RIGHT(D279,LEN(D279)-2),IF(A279=2,RIGHT(D279,LEN(D279)-3),IF(A279=3,RIGHT(D279,LEN(D279)-5),RIGHT(D279,LEN(D279)-6))))</f>
        <v>Manufacture of basic precious and other non-ferrous metals</v>
      </c>
      <c r="D279" t="s">
        <v>858</v>
      </c>
      <c r="E279" t="s">
        <v>14</v>
      </c>
      <c r="F279" t="s">
        <v>859</v>
      </c>
    </row>
    <row r="280" spans="1:6" x14ac:dyDescent="0.35">
      <c r="A280">
        <v>4</v>
      </c>
      <c r="B280" t="s">
        <v>2003</v>
      </c>
      <c r="C280" t="str">
        <f>IF(A280=1,RIGHT(D280,LEN(D280)-2),IF(A280=2,RIGHT(D280,LEN(D280)-3),IF(A280=3,RIGHT(D280,LEN(D280)-5),RIGHT(D280,LEN(D280)-6))))</f>
        <v>Precious metals production</v>
      </c>
      <c r="D280" t="s">
        <v>2004</v>
      </c>
      <c r="E280" t="s">
        <v>857</v>
      </c>
      <c r="F280" t="s">
        <v>2005</v>
      </c>
    </row>
    <row r="281" spans="1:6" x14ac:dyDescent="0.35">
      <c r="A281">
        <v>4</v>
      </c>
      <c r="B281" t="s">
        <v>2006</v>
      </c>
      <c r="C281" s="9" t="s">
        <v>3332</v>
      </c>
      <c r="D281" t="s">
        <v>2007</v>
      </c>
      <c r="E281" t="s">
        <v>857</v>
      </c>
      <c r="F281" t="s">
        <v>2008</v>
      </c>
    </row>
    <row r="282" spans="1:6" x14ac:dyDescent="0.35">
      <c r="A282">
        <v>4</v>
      </c>
      <c r="B282" t="s">
        <v>2009</v>
      </c>
      <c r="C282" t="str">
        <f>IF(A282=1,RIGHT(D282,LEN(D282)-2),IF(A282=2,RIGHT(D282,LEN(D282)-3),IF(A282=3,RIGHT(D282,LEN(D282)-5),RIGHT(D282,LEN(D282)-6))))</f>
        <v>Lead, zinc and tin production</v>
      </c>
      <c r="D282" t="s">
        <v>2010</v>
      </c>
      <c r="E282" t="s">
        <v>857</v>
      </c>
      <c r="F282" t="s">
        <v>2011</v>
      </c>
    </row>
    <row r="283" spans="1:6" x14ac:dyDescent="0.35">
      <c r="A283">
        <v>4</v>
      </c>
      <c r="B283" t="s">
        <v>2012</v>
      </c>
      <c r="C283" t="str">
        <f>IF(A283=1,RIGHT(D283,LEN(D283)-2),IF(A283=2,RIGHT(D283,LEN(D283)-3),IF(A283=3,RIGHT(D283,LEN(D283)-5),RIGHT(D283,LEN(D283)-6))))</f>
        <v>Copper production</v>
      </c>
      <c r="D283" t="s">
        <v>2013</v>
      </c>
      <c r="E283" t="s">
        <v>857</v>
      </c>
      <c r="F283" t="s">
        <v>2014</v>
      </c>
    </row>
    <row r="284" spans="1:6" x14ac:dyDescent="0.35">
      <c r="A284">
        <v>4</v>
      </c>
      <c r="B284" t="s">
        <v>2015</v>
      </c>
      <c r="C284" t="str">
        <f>IF(A284=1,RIGHT(D284,LEN(D284)-2),IF(A284=2,RIGHT(D284,LEN(D284)-3),IF(A284=3,RIGHT(D284,LEN(D284)-5),RIGHT(D284,LEN(D284)-6))))</f>
        <v>Other non-ferrous metal production</v>
      </c>
      <c r="D284" t="s">
        <v>2016</v>
      </c>
      <c r="E284" t="s">
        <v>857</v>
      </c>
      <c r="F284" t="s">
        <v>2017</v>
      </c>
    </row>
    <row r="285" spans="1:6" x14ac:dyDescent="0.35">
      <c r="A285">
        <v>4</v>
      </c>
      <c r="B285" t="s">
        <v>2018</v>
      </c>
      <c r="C285" t="str">
        <f>IF(A285=1,RIGHT(D285,LEN(D285)-2),IF(A285=2,RIGHT(D285,LEN(D285)-3),IF(A285=3,RIGHT(D285,LEN(D285)-5),RIGHT(D285,LEN(D285)-6))))</f>
        <v>Processing of nuclear fuel</v>
      </c>
      <c r="D285" t="s">
        <v>2019</v>
      </c>
      <c r="E285" t="s">
        <v>857</v>
      </c>
      <c r="F285" t="s">
        <v>2020</v>
      </c>
    </row>
    <row r="286" spans="1:6" x14ac:dyDescent="0.35">
      <c r="A286">
        <v>3</v>
      </c>
      <c r="B286" t="s">
        <v>860</v>
      </c>
      <c r="C286" t="str">
        <f>IF(A286=1,RIGHT(D286,LEN(D286)-2),IF(A286=2,RIGHT(D286,LEN(D286)-3),IF(A286=3,RIGHT(D286,LEN(D286)-5),RIGHT(D286,LEN(D286)-6))))</f>
        <v>Casting of metals</v>
      </c>
      <c r="D286" t="s">
        <v>861</v>
      </c>
      <c r="E286" t="s">
        <v>14</v>
      </c>
      <c r="F286" t="s">
        <v>862</v>
      </c>
    </row>
    <row r="287" spans="1:6" x14ac:dyDescent="0.35">
      <c r="A287">
        <v>4</v>
      </c>
      <c r="B287" t="s">
        <v>2021</v>
      </c>
      <c r="C287" t="str">
        <f>IF(A287=1,RIGHT(D287,LEN(D287)-2),IF(A287=2,RIGHT(D287,LEN(D287)-3),IF(A287=3,RIGHT(D287,LEN(D287)-5),RIGHT(D287,LEN(D287)-6))))</f>
        <v>Casting of iron</v>
      </c>
      <c r="D287" t="s">
        <v>2022</v>
      </c>
      <c r="E287" t="s">
        <v>860</v>
      </c>
      <c r="F287" t="s">
        <v>2023</v>
      </c>
    </row>
    <row r="288" spans="1:6" x14ac:dyDescent="0.35">
      <c r="A288">
        <v>4</v>
      </c>
      <c r="B288" t="s">
        <v>2024</v>
      </c>
      <c r="C288" t="str">
        <f>IF(A288=1,RIGHT(D288,LEN(D288)-2),IF(A288=2,RIGHT(D288,LEN(D288)-3),IF(A288=3,RIGHT(D288,LEN(D288)-5),RIGHT(D288,LEN(D288)-6))))</f>
        <v>Casting of steel</v>
      </c>
      <c r="D288" t="s">
        <v>2025</v>
      </c>
      <c r="E288" t="s">
        <v>860</v>
      </c>
      <c r="F288" t="s">
        <v>2026</v>
      </c>
    </row>
    <row r="289" spans="1:6" x14ac:dyDescent="0.35">
      <c r="A289">
        <v>4</v>
      </c>
      <c r="B289" t="s">
        <v>2027</v>
      </c>
      <c r="C289" t="str">
        <f>IF(A289=1,RIGHT(D289,LEN(D289)-2),IF(A289=2,RIGHT(D289,LEN(D289)-3),IF(A289=3,RIGHT(D289,LEN(D289)-5),RIGHT(D289,LEN(D289)-6))))</f>
        <v>Casting of light metals</v>
      </c>
      <c r="D289" t="s">
        <v>2028</v>
      </c>
      <c r="E289" t="s">
        <v>860</v>
      </c>
      <c r="F289" t="s">
        <v>2029</v>
      </c>
    </row>
    <row r="290" spans="1:6" x14ac:dyDescent="0.35">
      <c r="A290">
        <v>4</v>
      </c>
      <c r="B290" t="s">
        <v>2030</v>
      </c>
      <c r="C290" t="str">
        <f>IF(A290=1,RIGHT(D290,LEN(D290)-2),IF(A290=2,RIGHT(D290,LEN(D290)-3),IF(A290=3,RIGHT(D290,LEN(D290)-5),RIGHT(D290,LEN(D290)-6))))</f>
        <v>Casting of other non-ferrous metals</v>
      </c>
      <c r="D290" t="s">
        <v>2031</v>
      </c>
      <c r="E290" t="s">
        <v>860</v>
      </c>
      <c r="F290" t="s">
        <v>2032</v>
      </c>
    </row>
    <row r="291" spans="1:6" x14ac:dyDescent="0.35">
      <c r="A291">
        <v>2</v>
      </c>
      <c r="B291" t="s">
        <v>16</v>
      </c>
      <c r="C291" t="str">
        <f>IF(A291=1,RIGHT(D291,LEN(D291)-2),IF(A291=2,RIGHT(D291,LEN(D291)-3),IF(A291=3,RIGHT(D291,LEN(D291)-5),RIGHT(D291,LEN(D291)-6))))</f>
        <v>Manufacture of fabricated metal products, except machinery and equipment</v>
      </c>
      <c r="D291" t="s">
        <v>467</v>
      </c>
      <c r="E291" t="s">
        <v>347</v>
      </c>
      <c r="F291" t="s">
        <v>468</v>
      </c>
    </row>
    <row r="292" spans="1:6" x14ac:dyDescent="0.35">
      <c r="A292">
        <v>3</v>
      </c>
      <c r="B292" t="s">
        <v>863</v>
      </c>
      <c r="C292" t="str">
        <f>IF(A292=1,RIGHT(D292,LEN(D292)-2),IF(A292=2,RIGHT(D292,LEN(D292)-3),IF(A292=3,RIGHT(D292,LEN(D292)-5),RIGHT(D292,LEN(D292)-6))))</f>
        <v>Manufacture of structural metal products</v>
      </c>
      <c r="D292" t="s">
        <v>864</v>
      </c>
      <c r="E292" t="s">
        <v>16</v>
      </c>
      <c r="F292" t="s">
        <v>865</v>
      </c>
    </row>
    <row r="293" spans="1:6" x14ac:dyDescent="0.35">
      <c r="A293">
        <v>4</v>
      </c>
      <c r="B293" t="s">
        <v>2033</v>
      </c>
      <c r="C293" t="str">
        <f>IF(A293=1,RIGHT(D293,LEN(D293)-2),IF(A293=2,RIGHT(D293,LEN(D293)-3),IF(A293=3,RIGHT(D293,LEN(D293)-5),RIGHT(D293,LEN(D293)-6))))</f>
        <v>Manufacture of metal structures and parts of structures</v>
      </c>
      <c r="D293" t="s">
        <v>2034</v>
      </c>
      <c r="E293" t="s">
        <v>863</v>
      </c>
      <c r="F293" t="s">
        <v>2035</v>
      </c>
    </row>
    <row r="294" spans="1:6" x14ac:dyDescent="0.35">
      <c r="A294">
        <v>4</v>
      </c>
      <c r="B294" t="s">
        <v>2036</v>
      </c>
      <c r="C294" t="str">
        <f>IF(A294=1,RIGHT(D294,LEN(D294)-2),IF(A294=2,RIGHT(D294,LEN(D294)-3),IF(A294=3,RIGHT(D294,LEN(D294)-5),RIGHT(D294,LEN(D294)-6))))</f>
        <v>Manufacture of doors and windows of metal</v>
      </c>
      <c r="D294" t="s">
        <v>2037</v>
      </c>
      <c r="E294" t="s">
        <v>863</v>
      </c>
      <c r="F294" t="s">
        <v>2038</v>
      </c>
    </row>
    <row r="295" spans="1:6" x14ac:dyDescent="0.35">
      <c r="A295">
        <v>3</v>
      </c>
      <c r="B295" t="s">
        <v>866</v>
      </c>
      <c r="C295" t="str">
        <f>IF(A295=1,RIGHT(D295,LEN(D295)-2),IF(A295=2,RIGHT(D295,LEN(D295)-3),IF(A295=3,RIGHT(D295,LEN(D295)-5),RIGHT(D295,LEN(D295)-6))))</f>
        <v>Manufacture of tanks, reservoirs and containers of metal</v>
      </c>
      <c r="D295" t="s">
        <v>867</v>
      </c>
      <c r="E295" t="s">
        <v>16</v>
      </c>
      <c r="F295" t="s">
        <v>868</v>
      </c>
    </row>
    <row r="296" spans="1:6" x14ac:dyDescent="0.35">
      <c r="A296">
        <v>4</v>
      </c>
      <c r="B296" t="s">
        <v>2039</v>
      </c>
      <c r="C296" t="str">
        <f>IF(A296=1,RIGHT(D296,LEN(D296)-2),IF(A296=2,RIGHT(D296,LEN(D296)-3),IF(A296=3,RIGHT(D296,LEN(D296)-5),RIGHT(D296,LEN(D296)-6))))</f>
        <v>Manufacture of central heating radiators and boilers</v>
      </c>
      <c r="D296" t="s">
        <v>2040</v>
      </c>
      <c r="E296" t="s">
        <v>866</v>
      </c>
      <c r="F296" t="s">
        <v>2041</v>
      </c>
    </row>
    <row r="297" spans="1:6" x14ac:dyDescent="0.35">
      <c r="A297">
        <v>4</v>
      </c>
      <c r="B297" t="s">
        <v>2042</v>
      </c>
      <c r="C297" t="str">
        <f>IF(A297=1,RIGHT(D297,LEN(D297)-2),IF(A297=2,RIGHT(D297,LEN(D297)-3),IF(A297=3,RIGHT(D297,LEN(D297)-5),RIGHT(D297,LEN(D297)-6))))</f>
        <v>Manufacture of other tanks, reservoirs and containers of metal</v>
      </c>
      <c r="D297" t="s">
        <v>2043</v>
      </c>
      <c r="E297" t="s">
        <v>866</v>
      </c>
      <c r="F297" t="s">
        <v>2044</v>
      </c>
    </row>
    <row r="298" spans="1:6" x14ac:dyDescent="0.35">
      <c r="A298">
        <v>3</v>
      </c>
      <c r="B298" t="s">
        <v>869</v>
      </c>
      <c r="C298" t="str">
        <f>IF(A298=1,RIGHT(D298,LEN(D298)-2),IF(A298=2,RIGHT(D298,LEN(D298)-3),IF(A298=3,RIGHT(D298,LEN(D298)-5),RIGHT(D298,LEN(D298)-6))))</f>
        <v>Manufacture of steam generators, except central heating hot water boilers</v>
      </c>
      <c r="D298" t="s">
        <v>870</v>
      </c>
      <c r="E298" t="s">
        <v>16</v>
      </c>
      <c r="F298" t="s">
        <v>871</v>
      </c>
    </row>
    <row r="299" spans="1:6" x14ac:dyDescent="0.35">
      <c r="A299">
        <v>4</v>
      </c>
      <c r="B299" t="s">
        <v>2045</v>
      </c>
      <c r="C299" t="str">
        <f>IF(A299=1,RIGHT(D299,LEN(D299)-2),IF(A299=2,RIGHT(D299,LEN(D299)-3),IF(A299=3,RIGHT(D299,LEN(D299)-5),RIGHT(D299,LEN(D299)-6))))</f>
        <v>Manufacture of steam generators, except central heating hot water boilers</v>
      </c>
      <c r="D299" t="s">
        <v>2046</v>
      </c>
      <c r="E299" t="s">
        <v>869</v>
      </c>
      <c r="F299" t="s">
        <v>2047</v>
      </c>
    </row>
    <row r="300" spans="1:6" x14ac:dyDescent="0.35">
      <c r="A300">
        <v>3</v>
      </c>
      <c r="B300" t="s">
        <v>872</v>
      </c>
      <c r="C300" t="str">
        <f>IF(A300=1,RIGHT(D300,LEN(D300)-2),IF(A300=2,RIGHT(D300,LEN(D300)-3),IF(A300=3,RIGHT(D300,LEN(D300)-5),RIGHT(D300,LEN(D300)-6))))</f>
        <v>Manufacture of weapons and ammunition</v>
      </c>
      <c r="D300" t="s">
        <v>873</v>
      </c>
      <c r="E300" t="s">
        <v>16</v>
      </c>
      <c r="F300" t="s">
        <v>874</v>
      </c>
    </row>
    <row r="301" spans="1:6" x14ac:dyDescent="0.35">
      <c r="A301">
        <v>4</v>
      </c>
      <c r="B301" t="s">
        <v>2048</v>
      </c>
      <c r="C301" t="str">
        <f>IF(A301=1,RIGHT(D301,LEN(D301)-2),IF(A301=2,RIGHT(D301,LEN(D301)-3),IF(A301=3,RIGHT(D301,LEN(D301)-5),RIGHT(D301,LEN(D301)-6))))</f>
        <v>Manufacture of weapons and ammunition</v>
      </c>
      <c r="D301" t="s">
        <v>2049</v>
      </c>
      <c r="E301" t="s">
        <v>872</v>
      </c>
      <c r="F301" t="s">
        <v>2050</v>
      </c>
    </row>
    <row r="302" spans="1:6" x14ac:dyDescent="0.35">
      <c r="A302">
        <v>3</v>
      </c>
      <c r="B302" t="s">
        <v>875</v>
      </c>
      <c r="C302" s="7" t="str">
        <f>IF(A302=1,RIGHT(D302,LEN(D302)-2),IF(A302=2,RIGHT(D302,LEN(D302)-3),IF(A302=3,RIGHT(D302,LEN(D302)-5),RIGHT(D302,LEN(D302)-6))))</f>
        <v>Forging, pressing, stamping and roll-forming of metal; powder metallurgy</v>
      </c>
      <c r="D302" t="s">
        <v>876</v>
      </c>
      <c r="E302" t="s">
        <v>16</v>
      </c>
      <c r="F302" t="s">
        <v>877</v>
      </c>
    </row>
    <row r="303" spans="1:6" x14ac:dyDescent="0.35">
      <c r="A303">
        <v>4</v>
      </c>
      <c r="B303" t="s">
        <v>2051</v>
      </c>
      <c r="C303" t="str">
        <f>IF(A303=1,RIGHT(D303,LEN(D303)-2),IF(A303=2,RIGHT(D303,LEN(D303)-3),IF(A303=3,RIGHT(D303,LEN(D303)-5),RIGHT(D303,LEN(D303)-6))))</f>
        <v>Forging, pressing, stamping and roll-forming of metal; powder metallurgy</v>
      </c>
      <c r="D303" t="s">
        <v>2052</v>
      </c>
      <c r="E303" t="s">
        <v>875</v>
      </c>
      <c r="F303" t="s">
        <v>2053</v>
      </c>
    </row>
    <row r="304" spans="1:6" x14ac:dyDescent="0.35">
      <c r="A304">
        <v>3</v>
      </c>
      <c r="B304" t="s">
        <v>878</v>
      </c>
      <c r="C304" t="str">
        <f>IF(A304=1,RIGHT(D304,LEN(D304)-2),IF(A304=2,RIGHT(D304,LEN(D304)-3),IF(A304=3,RIGHT(D304,LEN(D304)-5),RIGHT(D304,LEN(D304)-6))))</f>
        <v>Treatment and coating of metals; machining</v>
      </c>
      <c r="D304" t="s">
        <v>879</v>
      </c>
      <c r="E304" t="s">
        <v>16</v>
      </c>
      <c r="F304" t="s">
        <v>880</v>
      </c>
    </row>
    <row r="305" spans="1:6" x14ac:dyDescent="0.35">
      <c r="A305">
        <v>4</v>
      </c>
      <c r="B305" t="s">
        <v>2054</v>
      </c>
      <c r="C305" t="str">
        <f>IF(A305=1,RIGHT(D305,LEN(D305)-2),IF(A305=2,RIGHT(D305,LEN(D305)-3),IF(A305=3,RIGHT(D305,LEN(D305)-5),RIGHT(D305,LEN(D305)-6))))</f>
        <v>Treatment and coating of metals</v>
      </c>
      <c r="D305" t="s">
        <v>2055</v>
      </c>
      <c r="E305" t="s">
        <v>878</v>
      </c>
      <c r="F305" t="s">
        <v>2056</v>
      </c>
    </row>
    <row r="306" spans="1:6" x14ac:dyDescent="0.35">
      <c r="A306">
        <v>4</v>
      </c>
      <c r="B306" t="s">
        <v>2057</v>
      </c>
      <c r="C306" t="str">
        <f>IF(A306=1,RIGHT(D306,LEN(D306)-2),IF(A306=2,RIGHT(D306,LEN(D306)-3),IF(A306=3,RIGHT(D306,LEN(D306)-5),RIGHT(D306,LEN(D306)-6))))</f>
        <v>Machining</v>
      </c>
      <c r="D306" t="s">
        <v>2058</v>
      </c>
      <c r="E306" t="s">
        <v>878</v>
      </c>
      <c r="F306" t="s">
        <v>2059</v>
      </c>
    </row>
    <row r="307" spans="1:6" x14ac:dyDescent="0.35">
      <c r="A307">
        <v>3</v>
      </c>
      <c r="B307" t="s">
        <v>881</v>
      </c>
      <c r="C307" t="str">
        <f>IF(A307=1,RIGHT(D307,LEN(D307)-2),IF(A307=2,RIGHT(D307,LEN(D307)-3),IF(A307=3,RIGHT(D307,LEN(D307)-5),RIGHT(D307,LEN(D307)-6))))</f>
        <v>Manufacture of cutlery, tools and general hardware</v>
      </c>
      <c r="D307" t="s">
        <v>882</v>
      </c>
      <c r="E307" t="s">
        <v>16</v>
      </c>
      <c r="F307" t="s">
        <v>883</v>
      </c>
    </row>
    <row r="308" spans="1:6" x14ac:dyDescent="0.35">
      <c r="A308">
        <v>4</v>
      </c>
      <c r="B308" t="s">
        <v>2060</v>
      </c>
      <c r="C308" t="str">
        <f>IF(A308=1,RIGHT(D308,LEN(D308)-2),IF(A308=2,RIGHT(D308,LEN(D308)-3),IF(A308=3,RIGHT(D308,LEN(D308)-5),RIGHT(D308,LEN(D308)-6))))</f>
        <v>Manufacture of cutlery</v>
      </c>
      <c r="D308" t="s">
        <v>2061</v>
      </c>
      <c r="E308" t="s">
        <v>881</v>
      </c>
      <c r="F308" t="s">
        <v>2062</v>
      </c>
    </row>
    <row r="309" spans="1:6" x14ac:dyDescent="0.35">
      <c r="A309">
        <v>4</v>
      </c>
      <c r="B309" t="s">
        <v>2063</v>
      </c>
      <c r="C309" t="str">
        <f>IF(A309=1,RIGHT(D309,LEN(D309)-2),IF(A309=2,RIGHT(D309,LEN(D309)-3),IF(A309=3,RIGHT(D309,LEN(D309)-5),RIGHT(D309,LEN(D309)-6))))</f>
        <v>Manufacture of locks and hinges</v>
      </c>
      <c r="D309" t="s">
        <v>2064</v>
      </c>
      <c r="E309" t="s">
        <v>881</v>
      </c>
      <c r="F309" t="s">
        <v>2065</v>
      </c>
    </row>
    <row r="310" spans="1:6" x14ac:dyDescent="0.35">
      <c r="A310">
        <v>4</v>
      </c>
      <c r="B310" t="s">
        <v>2066</v>
      </c>
      <c r="C310" t="str">
        <f>IF(A310=1,RIGHT(D310,LEN(D310)-2),IF(A310=2,RIGHT(D310,LEN(D310)-3),IF(A310=3,RIGHT(D310,LEN(D310)-5),RIGHT(D310,LEN(D310)-6))))</f>
        <v>Manufacture of tools</v>
      </c>
      <c r="D310" t="s">
        <v>2067</v>
      </c>
      <c r="E310" t="s">
        <v>881</v>
      </c>
      <c r="F310" t="s">
        <v>2068</v>
      </c>
    </row>
    <row r="311" spans="1:6" x14ac:dyDescent="0.35">
      <c r="A311">
        <v>3</v>
      </c>
      <c r="B311" t="s">
        <v>884</v>
      </c>
      <c r="C311" t="str">
        <f>IF(A311=1,RIGHT(D311,LEN(D311)-2),IF(A311=2,RIGHT(D311,LEN(D311)-3),IF(A311=3,RIGHT(D311,LEN(D311)-5),RIGHT(D311,LEN(D311)-6))))</f>
        <v>Manufacture of other fabricated metal products</v>
      </c>
      <c r="D311" t="s">
        <v>885</v>
      </c>
      <c r="E311" t="s">
        <v>16</v>
      </c>
      <c r="F311" t="s">
        <v>886</v>
      </c>
    </row>
    <row r="312" spans="1:6" x14ac:dyDescent="0.35">
      <c r="A312">
        <v>4</v>
      </c>
      <c r="B312" t="s">
        <v>2069</v>
      </c>
      <c r="C312" t="str">
        <f>IF(A312=1,RIGHT(D312,LEN(D312)-2),IF(A312=2,RIGHT(D312,LEN(D312)-3),IF(A312=3,RIGHT(D312,LEN(D312)-5),RIGHT(D312,LEN(D312)-6))))</f>
        <v>Manufacture of steel drums and similar containers</v>
      </c>
      <c r="D312" t="s">
        <v>2070</v>
      </c>
      <c r="E312" t="s">
        <v>884</v>
      </c>
      <c r="F312" t="s">
        <v>2071</v>
      </c>
    </row>
    <row r="313" spans="1:6" x14ac:dyDescent="0.35">
      <c r="A313">
        <v>4</v>
      </c>
      <c r="B313" t="s">
        <v>2072</v>
      </c>
      <c r="C313" t="str">
        <f>IF(A313=1,RIGHT(D313,LEN(D313)-2),IF(A313=2,RIGHT(D313,LEN(D313)-3),IF(A313=3,RIGHT(D313,LEN(D313)-5),RIGHT(D313,LEN(D313)-6))))</f>
        <v>Manufacture of light metal packaging</v>
      </c>
      <c r="D313" t="s">
        <v>2073</v>
      </c>
      <c r="E313" t="s">
        <v>884</v>
      </c>
      <c r="F313" t="s">
        <v>2074</v>
      </c>
    </row>
    <row r="314" spans="1:6" x14ac:dyDescent="0.35">
      <c r="A314">
        <v>4</v>
      </c>
      <c r="B314" t="s">
        <v>2075</v>
      </c>
      <c r="C314" t="str">
        <f>IF(A314=1,RIGHT(D314,LEN(D314)-2),IF(A314=2,RIGHT(D314,LEN(D314)-3),IF(A314=3,RIGHT(D314,LEN(D314)-5),RIGHT(D314,LEN(D314)-6))))</f>
        <v>Manufacture of wire products, chain and springs</v>
      </c>
      <c r="D314" t="s">
        <v>2076</v>
      </c>
      <c r="E314" t="s">
        <v>884</v>
      </c>
      <c r="F314" t="s">
        <v>2077</v>
      </c>
    </row>
    <row r="315" spans="1:6" x14ac:dyDescent="0.35">
      <c r="A315">
        <v>4</v>
      </c>
      <c r="B315" t="s">
        <v>2078</v>
      </c>
      <c r="C315" t="str">
        <f>IF(A315=1,RIGHT(D315,LEN(D315)-2),IF(A315=2,RIGHT(D315,LEN(D315)-3),IF(A315=3,RIGHT(D315,LEN(D315)-5),RIGHT(D315,LEN(D315)-6))))</f>
        <v>Manufacture of fasteners and screw machine products</v>
      </c>
      <c r="D315" t="s">
        <v>2079</v>
      </c>
      <c r="E315" t="s">
        <v>884</v>
      </c>
      <c r="F315" t="s">
        <v>2080</v>
      </c>
    </row>
    <row r="316" spans="1:6" x14ac:dyDescent="0.35">
      <c r="A316">
        <v>4</v>
      </c>
      <c r="B316" t="s">
        <v>2081</v>
      </c>
      <c r="C316" t="str">
        <f>IF(A316=1,RIGHT(D316,LEN(D316)-2),IF(A316=2,RIGHT(D316,LEN(D316)-3),IF(A316=3,RIGHT(D316,LEN(D316)-5),RIGHT(D316,LEN(D316)-6))))</f>
        <v>Manufacture of other fabricated metal products n.e.c.</v>
      </c>
      <c r="D316" t="s">
        <v>2082</v>
      </c>
      <c r="E316" t="s">
        <v>884</v>
      </c>
      <c r="F316" t="s">
        <v>2083</v>
      </c>
    </row>
    <row r="317" spans="1:6" x14ac:dyDescent="0.35">
      <c r="A317">
        <v>2</v>
      </c>
      <c r="B317" t="s">
        <v>18</v>
      </c>
      <c r="C317" t="str">
        <f>IF(A317=1,RIGHT(D317,LEN(D317)-2),IF(A317=2,RIGHT(D317,LEN(D317)-3),IF(A317=3,RIGHT(D317,LEN(D317)-5),RIGHT(D317,LEN(D317)-6))))</f>
        <v>Manufacture of computer, electronic and optical products</v>
      </c>
      <c r="D317" t="s">
        <v>469</v>
      </c>
      <c r="E317" t="s">
        <v>347</v>
      </c>
      <c r="F317" t="s">
        <v>470</v>
      </c>
    </row>
    <row r="318" spans="1:6" x14ac:dyDescent="0.35">
      <c r="A318">
        <v>3</v>
      </c>
      <c r="B318" t="s">
        <v>887</v>
      </c>
      <c r="C318" t="str">
        <f>IF(A318=1,RIGHT(D318,LEN(D318)-2),IF(A318=2,RIGHT(D318,LEN(D318)-3),IF(A318=3,RIGHT(D318,LEN(D318)-5),RIGHT(D318,LEN(D318)-6))))</f>
        <v>Manufacture of electronic components and boards</v>
      </c>
      <c r="D318" t="s">
        <v>888</v>
      </c>
      <c r="E318" t="s">
        <v>18</v>
      </c>
      <c r="F318" t="s">
        <v>889</v>
      </c>
    </row>
    <row r="319" spans="1:6" x14ac:dyDescent="0.35">
      <c r="A319">
        <v>4</v>
      </c>
      <c r="B319" t="s">
        <v>2084</v>
      </c>
      <c r="C319" t="str">
        <f>IF(A319=1,RIGHT(D319,LEN(D319)-2),IF(A319=2,RIGHT(D319,LEN(D319)-3),IF(A319=3,RIGHT(D319,LEN(D319)-5),RIGHT(D319,LEN(D319)-6))))</f>
        <v>Manufacture of electronic components</v>
      </c>
      <c r="D319" t="s">
        <v>2085</v>
      </c>
      <c r="E319" t="s">
        <v>887</v>
      </c>
      <c r="F319" t="s">
        <v>2086</v>
      </c>
    </row>
    <row r="320" spans="1:6" x14ac:dyDescent="0.35">
      <c r="A320">
        <v>4</v>
      </c>
      <c r="B320" t="s">
        <v>2087</v>
      </c>
      <c r="C320" t="str">
        <f>IF(A320=1,RIGHT(D320,LEN(D320)-2),IF(A320=2,RIGHT(D320,LEN(D320)-3),IF(A320=3,RIGHT(D320,LEN(D320)-5),RIGHT(D320,LEN(D320)-6))))</f>
        <v>Manufacture of loaded electronic boards</v>
      </c>
      <c r="D320" t="s">
        <v>2088</v>
      </c>
      <c r="E320" t="s">
        <v>887</v>
      </c>
      <c r="F320" t="s">
        <v>2089</v>
      </c>
    </row>
    <row r="321" spans="1:6" x14ac:dyDescent="0.35">
      <c r="A321">
        <v>3</v>
      </c>
      <c r="B321" t="s">
        <v>890</v>
      </c>
      <c r="C321" t="str">
        <f>IF(A321=1,RIGHT(D321,LEN(D321)-2),IF(A321=2,RIGHT(D321,LEN(D321)-3),IF(A321=3,RIGHT(D321,LEN(D321)-5),RIGHT(D321,LEN(D321)-6))))</f>
        <v>Manufacture of computers and peripheral equipment</v>
      </c>
      <c r="D321" t="s">
        <v>891</v>
      </c>
      <c r="E321" t="s">
        <v>18</v>
      </c>
      <c r="F321" t="s">
        <v>892</v>
      </c>
    </row>
    <row r="322" spans="1:6" x14ac:dyDescent="0.35">
      <c r="A322">
        <v>4</v>
      </c>
      <c r="B322" t="s">
        <v>2090</v>
      </c>
      <c r="C322" t="str">
        <f>IF(A322=1,RIGHT(D322,LEN(D322)-2),IF(A322=2,RIGHT(D322,LEN(D322)-3),IF(A322=3,RIGHT(D322,LEN(D322)-5),RIGHT(D322,LEN(D322)-6))))</f>
        <v>Manufacture of computers and peripheral equipment</v>
      </c>
      <c r="D322" t="s">
        <v>2091</v>
      </c>
      <c r="E322" t="s">
        <v>890</v>
      </c>
      <c r="F322" t="s">
        <v>2092</v>
      </c>
    </row>
    <row r="323" spans="1:6" x14ac:dyDescent="0.35">
      <c r="A323">
        <v>3</v>
      </c>
      <c r="B323" t="s">
        <v>893</v>
      </c>
      <c r="C323" t="str">
        <f>IF(A323=1,RIGHT(D323,LEN(D323)-2),IF(A323=2,RIGHT(D323,LEN(D323)-3),IF(A323=3,RIGHT(D323,LEN(D323)-5),RIGHT(D323,LEN(D323)-6))))</f>
        <v>Manufacture of communication equipment</v>
      </c>
      <c r="D323" t="s">
        <v>894</v>
      </c>
      <c r="E323" t="s">
        <v>18</v>
      </c>
      <c r="F323" t="s">
        <v>895</v>
      </c>
    </row>
    <row r="324" spans="1:6" x14ac:dyDescent="0.35">
      <c r="A324">
        <v>4</v>
      </c>
      <c r="B324" t="s">
        <v>2093</v>
      </c>
      <c r="C324" t="str">
        <f>IF(A324=1,RIGHT(D324,LEN(D324)-2),IF(A324=2,RIGHT(D324,LEN(D324)-3),IF(A324=3,RIGHT(D324,LEN(D324)-5),RIGHT(D324,LEN(D324)-6))))</f>
        <v>Manufacture of communication equipment</v>
      </c>
      <c r="D324" t="s">
        <v>2094</v>
      </c>
      <c r="E324" t="s">
        <v>893</v>
      </c>
      <c r="F324" t="s">
        <v>2095</v>
      </c>
    </row>
    <row r="325" spans="1:6" x14ac:dyDescent="0.35">
      <c r="A325">
        <v>3</v>
      </c>
      <c r="B325" t="s">
        <v>896</v>
      </c>
      <c r="C325" t="str">
        <f>IF(A325=1,RIGHT(D325,LEN(D325)-2),IF(A325=2,RIGHT(D325,LEN(D325)-3),IF(A325=3,RIGHT(D325,LEN(D325)-5),RIGHT(D325,LEN(D325)-6))))</f>
        <v>Manufacture of consumer electronics</v>
      </c>
      <c r="D325" t="s">
        <v>897</v>
      </c>
      <c r="E325" t="s">
        <v>18</v>
      </c>
      <c r="F325" t="s">
        <v>898</v>
      </c>
    </row>
    <row r="326" spans="1:6" x14ac:dyDescent="0.35">
      <c r="A326">
        <v>4</v>
      </c>
      <c r="B326" t="s">
        <v>2096</v>
      </c>
      <c r="C326" t="str">
        <f>IF(A326=1,RIGHT(D326,LEN(D326)-2),IF(A326=2,RIGHT(D326,LEN(D326)-3),IF(A326=3,RIGHT(D326,LEN(D326)-5),RIGHT(D326,LEN(D326)-6))))</f>
        <v>Manufacture of consumer electronics</v>
      </c>
      <c r="D326" t="s">
        <v>2097</v>
      </c>
      <c r="E326" t="s">
        <v>896</v>
      </c>
      <c r="F326" t="s">
        <v>2098</v>
      </c>
    </row>
    <row r="327" spans="1:6" x14ac:dyDescent="0.35">
      <c r="A327">
        <v>3</v>
      </c>
      <c r="B327" t="s">
        <v>899</v>
      </c>
      <c r="C327" t="str">
        <f>IF(A327=1,RIGHT(D327,LEN(D327)-2),IF(A327=2,RIGHT(D327,LEN(D327)-3),IF(A327=3,RIGHT(D327,LEN(D327)-5),RIGHT(D327,LEN(D327)-6))))</f>
        <v>Manufacture of instruments and appliances for measuring, testing and navigation; watches and clocks</v>
      </c>
      <c r="D327" t="s">
        <v>900</v>
      </c>
      <c r="E327" t="s">
        <v>18</v>
      </c>
      <c r="F327" t="s">
        <v>901</v>
      </c>
    </row>
    <row r="328" spans="1:6" x14ac:dyDescent="0.35">
      <c r="A328">
        <v>4</v>
      </c>
      <c r="B328" t="s">
        <v>2099</v>
      </c>
      <c r="C328" t="str">
        <f>IF(A328=1,RIGHT(D328,LEN(D328)-2),IF(A328=2,RIGHT(D328,LEN(D328)-3),IF(A328=3,RIGHT(D328,LEN(D328)-5),RIGHT(D328,LEN(D328)-6))))</f>
        <v>Manufacture of instruments and appliances for measuring, testing and navigation</v>
      </c>
      <c r="D328" t="s">
        <v>2100</v>
      </c>
      <c r="E328" t="s">
        <v>899</v>
      </c>
      <c r="F328" t="s">
        <v>2101</v>
      </c>
    </row>
    <row r="329" spans="1:6" x14ac:dyDescent="0.35">
      <c r="A329">
        <v>4</v>
      </c>
      <c r="B329" t="s">
        <v>2102</v>
      </c>
      <c r="C329" t="str">
        <f>IF(A329=1,RIGHT(D329,LEN(D329)-2),IF(A329=2,RIGHT(D329,LEN(D329)-3),IF(A329=3,RIGHT(D329,LEN(D329)-5),RIGHT(D329,LEN(D329)-6))))</f>
        <v>Manufacture of watches and clocks</v>
      </c>
      <c r="D329" t="s">
        <v>2103</v>
      </c>
      <c r="E329" t="s">
        <v>899</v>
      </c>
      <c r="F329" t="s">
        <v>2104</v>
      </c>
    </row>
    <row r="330" spans="1:6" x14ac:dyDescent="0.35">
      <c r="A330">
        <v>3</v>
      </c>
      <c r="B330" t="s">
        <v>902</v>
      </c>
      <c r="C330" t="str">
        <f>IF(A330=1,RIGHT(D330,LEN(D330)-2),IF(A330=2,RIGHT(D330,LEN(D330)-3),IF(A330=3,RIGHT(D330,LEN(D330)-5),RIGHT(D330,LEN(D330)-6))))</f>
        <v>Manufacture of irradiation, electromedical and electrotherapeutic equipment</v>
      </c>
      <c r="D330" t="s">
        <v>903</v>
      </c>
      <c r="E330" t="s">
        <v>18</v>
      </c>
      <c r="F330" t="s">
        <v>904</v>
      </c>
    </row>
    <row r="331" spans="1:6" x14ac:dyDescent="0.35">
      <c r="A331">
        <v>4</v>
      </c>
      <c r="B331" t="s">
        <v>2105</v>
      </c>
      <c r="C331" t="str">
        <f>IF(A331=1,RIGHT(D331,LEN(D331)-2),IF(A331=2,RIGHT(D331,LEN(D331)-3),IF(A331=3,RIGHT(D331,LEN(D331)-5),RIGHT(D331,LEN(D331)-6))))</f>
        <v>Manufacture of irradiation, electromedical and electrotherapeutic equipment</v>
      </c>
      <c r="D331" t="s">
        <v>2106</v>
      </c>
      <c r="E331" t="s">
        <v>902</v>
      </c>
      <c r="F331" t="s">
        <v>2107</v>
      </c>
    </row>
    <row r="332" spans="1:6" x14ac:dyDescent="0.35">
      <c r="A332">
        <v>3</v>
      </c>
      <c r="B332" t="s">
        <v>905</v>
      </c>
      <c r="C332" t="str">
        <f>IF(A332=1,RIGHT(D332,LEN(D332)-2),IF(A332=2,RIGHT(D332,LEN(D332)-3),IF(A332=3,RIGHT(D332,LEN(D332)-5),RIGHT(D332,LEN(D332)-6))))</f>
        <v>Manufacture of optical instruments and photographic equipment</v>
      </c>
      <c r="D332" t="s">
        <v>906</v>
      </c>
      <c r="E332" t="s">
        <v>18</v>
      </c>
      <c r="F332" t="s">
        <v>907</v>
      </c>
    </row>
    <row r="333" spans="1:6" x14ac:dyDescent="0.35">
      <c r="A333">
        <v>4</v>
      </c>
      <c r="B333" t="s">
        <v>2108</v>
      </c>
      <c r="C333" t="str">
        <f>IF(A333=1,RIGHT(D333,LEN(D333)-2),IF(A333=2,RIGHT(D333,LEN(D333)-3),IF(A333=3,RIGHT(D333,LEN(D333)-5),RIGHT(D333,LEN(D333)-6))))</f>
        <v>Manufacture of optical instruments and photographic equipment</v>
      </c>
      <c r="D333" t="s">
        <v>2109</v>
      </c>
      <c r="E333" t="s">
        <v>905</v>
      </c>
      <c r="F333" t="s">
        <v>2110</v>
      </c>
    </row>
    <row r="334" spans="1:6" x14ac:dyDescent="0.35">
      <c r="A334">
        <v>3</v>
      </c>
      <c r="B334" t="s">
        <v>908</v>
      </c>
      <c r="C334" t="str">
        <f>IF(A334=1,RIGHT(D334,LEN(D334)-2),IF(A334=2,RIGHT(D334,LEN(D334)-3),IF(A334=3,RIGHT(D334,LEN(D334)-5),RIGHT(D334,LEN(D334)-6))))</f>
        <v>Manufacture of magnetic and optical media</v>
      </c>
      <c r="D334" t="s">
        <v>909</v>
      </c>
      <c r="E334" t="s">
        <v>18</v>
      </c>
      <c r="F334" t="s">
        <v>910</v>
      </c>
    </row>
    <row r="335" spans="1:6" x14ac:dyDescent="0.35">
      <c r="A335">
        <v>4</v>
      </c>
      <c r="B335" t="s">
        <v>2111</v>
      </c>
      <c r="C335" t="str">
        <f>IF(A335=1,RIGHT(D335,LEN(D335)-2),IF(A335=2,RIGHT(D335,LEN(D335)-3),IF(A335=3,RIGHT(D335,LEN(D335)-5),RIGHT(D335,LEN(D335)-6))))</f>
        <v>Manufacture of magnetic and optical media</v>
      </c>
      <c r="D335" t="s">
        <v>2112</v>
      </c>
      <c r="E335" t="s">
        <v>908</v>
      </c>
      <c r="F335" t="s">
        <v>2113</v>
      </c>
    </row>
    <row r="336" spans="1:6" x14ac:dyDescent="0.35">
      <c r="A336">
        <v>2</v>
      </c>
      <c r="B336" t="s">
        <v>20</v>
      </c>
      <c r="C336" t="str">
        <f>IF(A336=1,RIGHT(D336,LEN(D336)-2),IF(A336=2,RIGHT(D336,LEN(D336)-3),IF(A336=3,RIGHT(D336,LEN(D336)-5),RIGHT(D336,LEN(D336)-6))))</f>
        <v>Manufacture of electrical equipment</v>
      </c>
      <c r="D336" t="s">
        <v>471</v>
      </c>
      <c r="E336" t="s">
        <v>347</v>
      </c>
      <c r="F336" t="s">
        <v>472</v>
      </c>
    </row>
    <row r="337" spans="1:6" x14ac:dyDescent="0.35">
      <c r="A337">
        <v>3</v>
      </c>
      <c r="B337" t="s">
        <v>911</v>
      </c>
      <c r="C337" t="str">
        <f>IF(A337=1,RIGHT(D337,LEN(D337)-2),IF(A337=2,RIGHT(D337,LEN(D337)-3),IF(A337=3,RIGHT(D337,LEN(D337)-5),RIGHT(D337,LEN(D337)-6))))</f>
        <v>Manufacture of electric motors, generators, transformers and electricity distribution and control apparatus</v>
      </c>
      <c r="D337" t="s">
        <v>912</v>
      </c>
      <c r="E337" t="s">
        <v>20</v>
      </c>
      <c r="F337" t="s">
        <v>913</v>
      </c>
    </row>
    <row r="338" spans="1:6" x14ac:dyDescent="0.35">
      <c r="A338">
        <v>4</v>
      </c>
      <c r="B338" t="s">
        <v>2114</v>
      </c>
      <c r="C338" t="str">
        <f>IF(A338=1,RIGHT(D338,LEN(D338)-2),IF(A338=2,RIGHT(D338,LEN(D338)-3),IF(A338=3,RIGHT(D338,LEN(D338)-5),RIGHT(D338,LEN(D338)-6))))</f>
        <v>Manufacture of electric motors, generators and transformers</v>
      </c>
      <c r="D338" t="s">
        <v>2115</v>
      </c>
      <c r="E338" t="s">
        <v>911</v>
      </c>
      <c r="F338" t="s">
        <v>2116</v>
      </c>
    </row>
    <row r="339" spans="1:6" x14ac:dyDescent="0.35">
      <c r="A339">
        <v>4</v>
      </c>
      <c r="B339" t="s">
        <v>2117</v>
      </c>
      <c r="C339" t="str">
        <f>IF(A339=1,RIGHT(D339,LEN(D339)-2),IF(A339=2,RIGHT(D339,LEN(D339)-3),IF(A339=3,RIGHT(D339,LEN(D339)-5),RIGHT(D339,LEN(D339)-6))))</f>
        <v>Manufacture of electricity distribution and control apparatus</v>
      </c>
      <c r="D339" t="s">
        <v>2118</v>
      </c>
      <c r="E339" t="s">
        <v>911</v>
      </c>
      <c r="F339" t="s">
        <v>2119</v>
      </c>
    </row>
    <row r="340" spans="1:6" x14ac:dyDescent="0.35">
      <c r="A340">
        <v>3</v>
      </c>
      <c r="B340" t="s">
        <v>914</v>
      </c>
      <c r="C340" t="str">
        <f>IF(A340=1,RIGHT(D340,LEN(D340)-2),IF(A340=2,RIGHT(D340,LEN(D340)-3),IF(A340=3,RIGHT(D340,LEN(D340)-5),RIGHT(D340,LEN(D340)-6))))</f>
        <v>Manufacture of batteries and accumulators</v>
      </c>
      <c r="D340" t="s">
        <v>915</v>
      </c>
      <c r="E340" t="s">
        <v>20</v>
      </c>
      <c r="F340" t="s">
        <v>916</v>
      </c>
    </row>
    <row r="341" spans="1:6" x14ac:dyDescent="0.35">
      <c r="A341">
        <v>4</v>
      </c>
      <c r="B341" t="s">
        <v>2120</v>
      </c>
      <c r="C341" t="str">
        <f>IF(A341=1,RIGHT(D341,LEN(D341)-2),IF(A341=2,RIGHT(D341,LEN(D341)-3),IF(A341=3,RIGHT(D341,LEN(D341)-5),RIGHT(D341,LEN(D341)-6))))</f>
        <v>Manufacture of batteries and accumulators</v>
      </c>
      <c r="D341" t="s">
        <v>2121</v>
      </c>
      <c r="E341" t="s">
        <v>914</v>
      </c>
      <c r="F341" t="s">
        <v>2122</v>
      </c>
    </row>
    <row r="342" spans="1:6" x14ac:dyDescent="0.35">
      <c r="A342">
        <v>3</v>
      </c>
      <c r="B342" t="s">
        <v>917</v>
      </c>
      <c r="C342" t="str">
        <f>IF(A342=1,RIGHT(D342,LEN(D342)-2),IF(A342=2,RIGHT(D342,LEN(D342)-3),IF(A342=3,RIGHT(D342,LEN(D342)-5),RIGHT(D342,LEN(D342)-6))))</f>
        <v>Manufacture of wiring and wiring devices</v>
      </c>
      <c r="D342" t="s">
        <v>918</v>
      </c>
      <c r="E342" t="s">
        <v>20</v>
      </c>
      <c r="F342" t="s">
        <v>919</v>
      </c>
    </row>
    <row r="343" spans="1:6" x14ac:dyDescent="0.35">
      <c r="A343">
        <v>4</v>
      </c>
      <c r="B343" t="s">
        <v>2123</v>
      </c>
      <c r="C343" t="str">
        <f>IF(A343=1,RIGHT(D343,LEN(D343)-2),IF(A343=2,RIGHT(D343,LEN(D343)-3),IF(A343=3,RIGHT(D343,LEN(D343)-5),RIGHT(D343,LEN(D343)-6))))</f>
        <v>Manufacture of fibre optic cables</v>
      </c>
      <c r="D343" t="s">
        <v>2124</v>
      </c>
      <c r="E343" t="s">
        <v>917</v>
      </c>
      <c r="F343" t="s">
        <v>2125</v>
      </c>
    </row>
    <row r="344" spans="1:6" x14ac:dyDescent="0.35">
      <c r="A344">
        <v>4</v>
      </c>
      <c r="B344" t="s">
        <v>2126</v>
      </c>
      <c r="C344" t="str">
        <f>IF(A344=1,RIGHT(D344,LEN(D344)-2),IF(A344=2,RIGHT(D344,LEN(D344)-3),IF(A344=3,RIGHT(D344,LEN(D344)-5),RIGHT(D344,LEN(D344)-6))))</f>
        <v>Manufacture of other electronic and electric wires and cables</v>
      </c>
      <c r="D344" t="s">
        <v>2127</v>
      </c>
      <c r="E344" t="s">
        <v>917</v>
      </c>
      <c r="F344" t="s">
        <v>2128</v>
      </c>
    </row>
    <row r="345" spans="1:6" x14ac:dyDescent="0.35">
      <c r="A345">
        <v>4</v>
      </c>
      <c r="B345" t="s">
        <v>2129</v>
      </c>
      <c r="C345" t="str">
        <f>IF(A345=1,RIGHT(D345,LEN(D345)-2),IF(A345=2,RIGHT(D345,LEN(D345)-3),IF(A345=3,RIGHT(D345,LEN(D345)-5),RIGHT(D345,LEN(D345)-6))))</f>
        <v>Manufacture of wiring devices</v>
      </c>
      <c r="D345" t="s">
        <v>2130</v>
      </c>
      <c r="E345" t="s">
        <v>917</v>
      </c>
      <c r="F345" t="s">
        <v>2131</v>
      </c>
    </row>
    <row r="346" spans="1:6" x14ac:dyDescent="0.35">
      <c r="A346">
        <v>3</v>
      </c>
      <c r="B346" t="s">
        <v>920</v>
      </c>
      <c r="C346" t="str">
        <f>IF(A346=1,RIGHT(D346,LEN(D346)-2),IF(A346=2,RIGHT(D346,LEN(D346)-3),IF(A346=3,RIGHT(D346,LEN(D346)-5),RIGHT(D346,LEN(D346)-6))))</f>
        <v>Manufacture of electric lighting equipment</v>
      </c>
      <c r="D346" t="s">
        <v>921</v>
      </c>
      <c r="E346" t="s">
        <v>20</v>
      </c>
      <c r="F346" t="s">
        <v>922</v>
      </c>
    </row>
    <row r="347" spans="1:6" x14ac:dyDescent="0.35">
      <c r="A347">
        <v>4</v>
      </c>
      <c r="B347" t="s">
        <v>2132</v>
      </c>
      <c r="C347" t="str">
        <f>IF(A347=1,RIGHT(D347,LEN(D347)-2),IF(A347=2,RIGHT(D347,LEN(D347)-3),IF(A347=3,RIGHT(D347,LEN(D347)-5),RIGHT(D347,LEN(D347)-6))))</f>
        <v>Manufacture of electric lighting equipment</v>
      </c>
      <c r="D347" t="s">
        <v>2133</v>
      </c>
      <c r="E347" t="s">
        <v>920</v>
      </c>
      <c r="F347" t="s">
        <v>2134</v>
      </c>
    </row>
    <row r="348" spans="1:6" x14ac:dyDescent="0.35">
      <c r="A348">
        <v>3</v>
      </c>
      <c r="B348" t="s">
        <v>923</v>
      </c>
      <c r="C348" t="str">
        <f>IF(A348=1,RIGHT(D348,LEN(D348)-2),IF(A348=2,RIGHT(D348,LEN(D348)-3),IF(A348=3,RIGHT(D348,LEN(D348)-5),RIGHT(D348,LEN(D348)-6))))</f>
        <v>Manufacture of domestic appliances</v>
      </c>
      <c r="D348" t="s">
        <v>924</v>
      </c>
      <c r="E348" t="s">
        <v>20</v>
      </c>
      <c r="F348" t="s">
        <v>925</v>
      </c>
    </row>
    <row r="349" spans="1:6" x14ac:dyDescent="0.35">
      <c r="A349">
        <v>4</v>
      </c>
      <c r="B349" t="s">
        <v>2135</v>
      </c>
      <c r="C349" t="str">
        <f>IF(A349=1,RIGHT(D349,LEN(D349)-2),IF(A349=2,RIGHT(D349,LEN(D349)-3),IF(A349=3,RIGHT(D349,LEN(D349)-5),RIGHT(D349,LEN(D349)-6))))</f>
        <v>Manufacture of electric domestic appliances</v>
      </c>
      <c r="D349" t="s">
        <v>2136</v>
      </c>
      <c r="E349" t="s">
        <v>923</v>
      </c>
      <c r="F349" t="s">
        <v>2137</v>
      </c>
    </row>
    <row r="350" spans="1:6" x14ac:dyDescent="0.35">
      <c r="A350">
        <v>4</v>
      </c>
      <c r="B350" t="s">
        <v>2138</v>
      </c>
      <c r="C350" t="str">
        <f>IF(A350=1,RIGHT(D350,LEN(D350)-2),IF(A350=2,RIGHT(D350,LEN(D350)-3),IF(A350=3,RIGHT(D350,LEN(D350)-5),RIGHT(D350,LEN(D350)-6))))</f>
        <v>Manufacture of non-electric domestic appliances</v>
      </c>
      <c r="D350" t="s">
        <v>2139</v>
      </c>
      <c r="E350" t="s">
        <v>923</v>
      </c>
      <c r="F350" t="s">
        <v>2140</v>
      </c>
    </row>
    <row r="351" spans="1:6" x14ac:dyDescent="0.35">
      <c r="A351">
        <v>3</v>
      </c>
      <c r="B351" t="s">
        <v>926</v>
      </c>
      <c r="C351" t="str">
        <f>IF(A351=1,RIGHT(D351,LEN(D351)-2),IF(A351=2,RIGHT(D351,LEN(D351)-3),IF(A351=3,RIGHT(D351,LEN(D351)-5),RIGHT(D351,LEN(D351)-6))))</f>
        <v>Manufacture of other electrical equipment</v>
      </c>
      <c r="D351" t="s">
        <v>927</v>
      </c>
      <c r="E351" t="s">
        <v>20</v>
      </c>
      <c r="F351" t="s">
        <v>928</v>
      </c>
    </row>
    <row r="352" spans="1:6" x14ac:dyDescent="0.35">
      <c r="A352">
        <v>4</v>
      </c>
      <c r="B352" t="s">
        <v>2141</v>
      </c>
      <c r="C352" t="str">
        <f>IF(A352=1,RIGHT(D352,LEN(D352)-2),IF(A352=2,RIGHT(D352,LEN(D352)-3),IF(A352=3,RIGHT(D352,LEN(D352)-5),RIGHT(D352,LEN(D352)-6))))</f>
        <v>Manufacture of other electrical equipment</v>
      </c>
      <c r="D352" t="s">
        <v>2142</v>
      </c>
      <c r="E352" t="s">
        <v>926</v>
      </c>
      <c r="F352" t="s">
        <v>2143</v>
      </c>
    </row>
    <row r="353" spans="1:6" x14ac:dyDescent="0.35">
      <c r="A353">
        <v>2</v>
      </c>
      <c r="B353" t="s">
        <v>22</v>
      </c>
      <c r="C353" t="str">
        <f>IF(A353=1,RIGHT(D353,LEN(D353)-2),IF(A353=2,RIGHT(D353,LEN(D353)-3),IF(A353=3,RIGHT(D353,LEN(D353)-5),RIGHT(D353,LEN(D353)-6))))</f>
        <v>Manufacture of machinery and equipment n.e.c.</v>
      </c>
      <c r="D353" t="s">
        <v>473</v>
      </c>
      <c r="E353" t="s">
        <v>347</v>
      </c>
      <c r="F353" t="s">
        <v>474</v>
      </c>
    </row>
    <row r="354" spans="1:6" x14ac:dyDescent="0.35">
      <c r="A354">
        <v>3</v>
      </c>
      <c r="B354" t="s">
        <v>929</v>
      </c>
      <c r="C354" t="str">
        <f>IF(A354=1,RIGHT(D354,LEN(D354)-2),IF(A354=2,RIGHT(D354,LEN(D354)-3),IF(A354=3,RIGHT(D354,LEN(D354)-5),RIGHT(D354,LEN(D354)-6))))</f>
        <v>Manufacture of general-purpose machinery</v>
      </c>
      <c r="D354" t="s">
        <v>930</v>
      </c>
      <c r="E354" t="s">
        <v>22</v>
      </c>
      <c r="F354" t="s">
        <v>931</v>
      </c>
    </row>
    <row r="355" spans="1:6" x14ac:dyDescent="0.35">
      <c r="A355">
        <v>4</v>
      </c>
      <c r="B355" t="s">
        <v>2144</v>
      </c>
      <c r="C355" t="str">
        <f>IF(A355=1,RIGHT(D355,LEN(D355)-2),IF(A355=2,RIGHT(D355,LEN(D355)-3),IF(A355=3,RIGHT(D355,LEN(D355)-5),RIGHT(D355,LEN(D355)-6))))</f>
        <v>Manufacture of engines and turbines, except aircraft, vehicle and cycle engines</v>
      </c>
      <c r="D355" t="s">
        <v>2145</v>
      </c>
      <c r="E355" t="s">
        <v>929</v>
      </c>
      <c r="F355" t="s">
        <v>2146</v>
      </c>
    </row>
    <row r="356" spans="1:6" x14ac:dyDescent="0.35">
      <c r="A356">
        <v>4</v>
      </c>
      <c r="B356" t="s">
        <v>2147</v>
      </c>
      <c r="C356" t="str">
        <f>IF(A356=1,RIGHT(D356,LEN(D356)-2),IF(A356=2,RIGHT(D356,LEN(D356)-3),IF(A356=3,RIGHT(D356,LEN(D356)-5),RIGHT(D356,LEN(D356)-6))))</f>
        <v>Manufacture of fluid power equipment</v>
      </c>
      <c r="D356" t="s">
        <v>2148</v>
      </c>
      <c r="E356" t="s">
        <v>929</v>
      </c>
      <c r="F356" t="s">
        <v>2149</v>
      </c>
    </row>
    <row r="357" spans="1:6" x14ac:dyDescent="0.35">
      <c r="A357">
        <v>4</v>
      </c>
      <c r="B357" t="s">
        <v>2150</v>
      </c>
      <c r="C357" t="str">
        <f>IF(A357=1,RIGHT(D357,LEN(D357)-2),IF(A357=2,RIGHT(D357,LEN(D357)-3),IF(A357=3,RIGHT(D357,LEN(D357)-5),RIGHT(D357,LEN(D357)-6))))</f>
        <v>Manufacture of other pumps and compressors</v>
      </c>
      <c r="D357" t="s">
        <v>2151</v>
      </c>
      <c r="E357" t="s">
        <v>929</v>
      </c>
      <c r="F357" t="s">
        <v>2152</v>
      </c>
    </row>
    <row r="358" spans="1:6" x14ac:dyDescent="0.35">
      <c r="A358">
        <v>4</v>
      </c>
      <c r="B358" t="s">
        <v>2153</v>
      </c>
      <c r="C358" t="str">
        <f>IF(A358=1,RIGHT(D358,LEN(D358)-2),IF(A358=2,RIGHT(D358,LEN(D358)-3),IF(A358=3,RIGHT(D358,LEN(D358)-5),RIGHT(D358,LEN(D358)-6))))</f>
        <v>Manufacture of other taps and valves</v>
      </c>
      <c r="D358" t="s">
        <v>2154</v>
      </c>
      <c r="E358" t="s">
        <v>929</v>
      </c>
      <c r="F358" t="s">
        <v>2155</v>
      </c>
    </row>
    <row r="359" spans="1:6" x14ac:dyDescent="0.35">
      <c r="A359">
        <v>4</v>
      </c>
      <c r="B359" t="s">
        <v>2156</v>
      </c>
      <c r="C359" t="str">
        <f>IF(A359=1,RIGHT(D359,LEN(D359)-2),IF(A359=2,RIGHT(D359,LEN(D359)-3),IF(A359=3,RIGHT(D359,LEN(D359)-5),RIGHT(D359,LEN(D359)-6))))</f>
        <v>Manufacture of bearings, gears, gearing and driving elements</v>
      </c>
      <c r="D359" t="s">
        <v>2157</v>
      </c>
      <c r="E359" t="s">
        <v>929</v>
      </c>
      <c r="F359" t="s">
        <v>2158</v>
      </c>
    </row>
    <row r="360" spans="1:6" x14ac:dyDescent="0.35">
      <c r="A360">
        <v>3</v>
      </c>
      <c r="B360" t="s">
        <v>932</v>
      </c>
      <c r="C360" t="str">
        <f>IF(A360=1,RIGHT(D360,LEN(D360)-2),IF(A360=2,RIGHT(D360,LEN(D360)-3),IF(A360=3,RIGHT(D360,LEN(D360)-5),RIGHT(D360,LEN(D360)-6))))</f>
        <v>Manufacture of other general-purpose machinery</v>
      </c>
      <c r="D360" t="s">
        <v>933</v>
      </c>
      <c r="E360" t="s">
        <v>22</v>
      </c>
      <c r="F360" t="s">
        <v>934</v>
      </c>
    </row>
    <row r="361" spans="1:6" x14ac:dyDescent="0.35">
      <c r="A361">
        <v>4</v>
      </c>
      <c r="B361" t="s">
        <v>2159</v>
      </c>
      <c r="C361" t="str">
        <f>IF(A361=1,RIGHT(D361,LEN(D361)-2),IF(A361=2,RIGHT(D361,LEN(D361)-3),IF(A361=3,RIGHT(D361,LEN(D361)-5),RIGHT(D361,LEN(D361)-6))))</f>
        <v>Manufacture of ovens, furnaces and furnace burners</v>
      </c>
      <c r="D361" t="s">
        <v>2160</v>
      </c>
      <c r="E361" t="s">
        <v>932</v>
      </c>
      <c r="F361" t="s">
        <v>2161</v>
      </c>
    </row>
    <row r="362" spans="1:6" x14ac:dyDescent="0.35">
      <c r="A362">
        <v>4</v>
      </c>
      <c r="B362" t="s">
        <v>2162</v>
      </c>
      <c r="C362" t="str">
        <f>IF(A362=1,RIGHT(D362,LEN(D362)-2),IF(A362=2,RIGHT(D362,LEN(D362)-3),IF(A362=3,RIGHT(D362,LEN(D362)-5),RIGHT(D362,LEN(D362)-6))))</f>
        <v>Manufacture of lifting and handling equipment</v>
      </c>
      <c r="D362" t="s">
        <v>2163</v>
      </c>
      <c r="E362" t="s">
        <v>932</v>
      </c>
      <c r="F362" t="s">
        <v>2164</v>
      </c>
    </row>
    <row r="363" spans="1:6" x14ac:dyDescent="0.35">
      <c r="A363">
        <v>4</v>
      </c>
      <c r="B363" t="s">
        <v>2165</v>
      </c>
      <c r="C363" t="str">
        <f>IF(A363=1,RIGHT(D363,LEN(D363)-2),IF(A363=2,RIGHT(D363,LEN(D363)-3),IF(A363=3,RIGHT(D363,LEN(D363)-5),RIGHT(D363,LEN(D363)-6))))</f>
        <v>Manufacture of office machinery and equipment (except computers and peripheral equipment)</v>
      </c>
      <c r="D363" t="s">
        <v>2166</v>
      </c>
      <c r="E363" t="s">
        <v>932</v>
      </c>
      <c r="F363" t="s">
        <v>2167</v>
      </c>
    </row>
    <row r="364" spans="1:6" x14ac:dyDescent="0.35">
      <c r="A364">
        <v>4</v>
      </c>
      <c r="B364" t="s">
        <v>2168</v>
      </c>
      <c r="C364" t="str">
        <f>IF(A364=1,RIGHT(D364,LEN(D364)-2),IF(A364=2,RIGHT(D364,LEN(D364)-3),IF(A364=3,RIGHT(D364,LEN(D364)-5),RIGHT(D364,LEN(D364)-6))))</f>
        <v>Manufacture of power-driven hand tools</v>
      </c>
      <c r="D364" t="s">
        <v>2169</v>
      </c>
      <c r="E364" t="s">
        <v>932</v>
      </c>
      <c r="F364" t="s">
        <v>2170</v>
      </c>
    </row>
    <row r="365" spans="1:6" x14ac:dyDescent="0.35">
      <c r="A365">
        <v>4</v>
      </c>
      <c r="B365" t="s">
        <v>2171</v>
      </c>
      <c r="C365" t="str">
        <f>IF(A365=1,RIGHT(D365,LEN(D365)-2),IF(A365=2,RIGHT(D365,LEN(D365)-3),IF(A365=3,RIGHT(D365,LEN(D365)-5),RIGHT(D365,LEN(D365)-6))))</f>
        <v>Manufacture of non-domestic cooling and ventilation equipment</v>
      </c>
      <c r="D365" t="s">
        <v>2172</v>
      </c>
      <c r="E365" t="s">
        <v>932</v>
      </c>
      <c r="F365" t="s">
        <v>2173</v>
      </c>
    </row>
    <row r="366" spans="1:6" x14ac:dyDescent="0.35">
      <c r="A366">
        <v>4</v>
      </c>
      <c r="B366" t="s">
        <v>2174</v>
      </c>
      <c r="C366" t="str">
        <f>IF(A366=1,RIGHT(D366,LEN(D366)-2),IF(A366=2,RIGHT(D366,LEN(D366)-3),IF(A366=3,RIGHT(D366,LEN(D366)-5),RIGHT(D366,LEN(D366)-6))))</f>
        <v>Manufacture of other general-purpose machinery n.e.c.</v>
      </c>
      <c r="D366" t="s">
        <v>2175</v>
      </c>
      <c r="E366" t="s">
        <v>932</v>
      </c>
      <c r="F366" t="s">
        <v>2176</v>
      </c>
    </row>
    <row r="367" spans="1:6" x14ac:dyDescent="0.35">
      <c r="A367">
        <v>3</v>
      </c>
      <c r="B367" t="s">
        <v>935</v>
      </c>
      <c r="C367" t="str">
        <f>IF(A367=1,RIGHT(D367,LEN(D367)-2),IF(A367=2,RIGHT(D367,LEN(D367)-3),IF(A367=3,RIGHT(D367,LEN(D367)-5),RIGHT(D367,LEN(D367)-6))))</f>
        <v>Manufacture of agricultural and forestry machinery</v>
      </c>
      <c r="D367" t="s">
        <v>936</v>
      </c>
      <c r="E367" t="s">
        <v>22</v>
      </c>
      <c r="F367" t="s">
        <v>937</v>
      </c>
    </row>
    <row r="368" spans="1:6" x14ac:dyDescent="0.35">
      <c r="A368">
        <v>4</v>
      </c>
      <c r="B368" t="s">
        <v>2177</v>
      </c>
      <c r="C368" t="str">
        <f>IF(A368=1,RIGHT(D368,LEN(D368)-2),IF(A368=2,RIGHT(D368,LEN(D368)-3),IF(A368=3,RIGHT(D368,LEN(D368)-5),RIGHT(D368,LEN(D368)-6))))</f>
        <v>Manufacture of agricultural and forestry machinery</v>
      </c>
      <c r="D368" t="s">
        <v>2178</v>
      </c>
      <c r="E368" t="s">
        <v>935</v>
      </c>
      <c r="F368" t="s">
        <v>2179</v>
      </c>
    </row>
    <row r="369" spans="1:6" x14ac:dyDescent="0.35">
      <c r="A369">
        <v>3</v>
      </c>
      <c r="B369" t="s">
        <v>938</v>
      </c>
      <c r="C369" t="str">
        <f>IF(A369=1,RIGHT(D369,LEN(D369)-2),IF(A369=2,RIGHT(D369,LEN(D369)-3),IF(A369=3,RIGHT(D369,LEN(D369)-5),RIGHT(D369,LEN(D369)-6))))</f>
        <v>Manufacture of metal forming machinery and machine tools</v>
      </c>
      <c r="D369" t="s">
        <v>939</v>
      </c>
      <c r="E369" t="s">
        <v>22</v>
      </c>
      <c r="F369" t="s">
        <v>940</v>
      </c>
    </row>
    <row r="370" spans="1:6" x14ac:dyDescent="0.35">
      <c r="A370">
        <v>4</v>
      </c>
      <c r="B370" t="s">
        <v>2180</v>
      </c>
      <c r="C370" t="str">
        <f>IF(A370=1,RIGHT(D370,LEN(D370)-2),IF(A370=2,RIGHT(D370,LEN(D370)-3),IF(A370=3,RIGHT(D370,LEN(D370)-5),RIGHT(D370,LEN(D370)-6))))</f>
        <v>Manufacture of metal forming machinery</v>
      </c>
      <c r="D370" t="s">
        <v>2181</v>
      </c>
      <c r="E370" t="s">
        <v>938</v>
      </c>
      <c r="F370" t="s">
        <v>2182</v>
      </c>
    </row>
    <row r="371" spans="1:6" x14ac:dyDescent="0.35">
      <c r="A371">
        <v>4</v>
      </c>
      <c r="B371" t="s">
        <v>2183</v>
      </c>
      <c r="C371" t="str">
        <f>IF(A371=1,RIGHT(D371,LEN(D371)-2),IF(A371=2,RIGHT(D371,LEN(D371)-3),IF(A371=3,RIGHT(D371,LEN(D371)-5),RIGHT(D371,LEN(D371)-6))))</f>
        <v>Manufacture of other machine tools</v>
      </c>
      <c r="D371" t="s">
        <v>2184</v>
      </c>
      <c r="E371" t="s">
        <v>938</v>
      </c>
      <c r="F371" t="s">
        <v>2185</v>
      </c>
    </row>
    <row r="372" spans="1:6" x14ac:dyDescent="0.35">
      <c r="A372">
        <v>3</v>
      </c>
      <c r="B372" t="s">
        <v>941</v>
      </c>
      <c r="C372" t="str">
        <f>IF(A372=1,RIGHT(D372,LEN(D372)-2),IF(A372=2,RIGHT(D372,LEN(D372)-3),IF(A372=3,RIGHT(D372,LEN(D372)-5),RIGHT(D372,LEN(D372)-6))))</f>
        <v>Manufacture of other special-purpose machinery</v>
      </c>
      <c r="D372" t="s">
        <v>942</v>
      </c>
      <c r="E372" t="s">
        <v>22</v>
      </c>
      <c r="F372" t="s">
        <v>943</v>
      </c>
    </row>
    <row r="373" spans="1:6" x14ac:dyDescent="0.35">
      <c r="A373">
        <v>4</v>
      </c>
      <c r="B373" t="s">
        <v>2186</v>
      </c>
      <c r="C373" t="str">
        <f>IF(A373=1,RIGHT(D373,LEN(D373)-2),IF(A373=2,RIGHT(D373,LEN(D373)-3),IF(A373=3,RIGHT(D373,LEN(D373)-5),RIGHT(D373,LEN(D373)-6))))</f>
        <v>Manufacture of machinery for metallurgy</v>
      </c>
      <c r="D373" t="s">
        <v>2187</v>
      </c>
      <c r="E373" t="s">
        <v>941</v>
      </c>
      <c r="F373" t="s">
        <v>2188</v>
      </c>
    </row>
    <row r="374" spans="1:6" x14ac:dyDescent="0.35">
      <c r="A374">
        <v>4</v>
      </c>
      <c r="B374" t="s">
        <v>2189</v>
      </c>
      <c r="C374" t="str">
        <f>IF(A374=1,RIGHT(D374,LEN(D374)-2),IF(A374=2,RIGHT(D374,LEN(D374)-3),IF(A374=3,RIGHT(D374,LEN(D374)-5),RIGHT(D374,LEN(D374)-6))))</f>
        <v>Manufacture of machinery for mining, quarrying and construction</v>
      </c>
      <c r="D374" t="s">
        <v>2190</v>
      </c>
      <c r="E374" t="s">
        <v>941</v>
      </c>
      <c r="F374" t="s">
        <v>2191</v>
      </c>
    </row>
    <row r="375" spans="1:6" x14ac:dyDescent="0.35">
      <c r="A375">
        <v>4</v>
      </c>
      <c r="B375" t="s">
        <v>2192</v>
      </c>
      <c r="C375" t="str">
        <f>IF(A375=1,RIGHT(D375,LEN(D375)-2),IF(A375=2,RIGHT(D375,LEN(D375)-3),IF(A375=3,RIGHT(D375,LEN(D375)-5),RIGHT(D375,LEN(D375)-6))))</f>
        <v>Manufacture of machinery for food, beverage and tobacco processing</v>
      </c>
      <c r="D375" t="s">
        <v>2193</v>
      </c>
      <c r="E375" t="s">
        <v>941</v>
      </c>
      <c r="F375" t="s">
        <v>2194</v>
      </c>
    </row>
    <row r="376" spans="1:6" x14ac:dyDescent="0.35">
      <c r="A376">
        <v>4</v>
      </c>
      <c r="B376" t="s">
        <v>2195</v>
      </c>
      <c r="C376" t="str">
        <f>IF(A376=1,RIGHT(D376,LEN(D376)-2),IF(A376=2,RIGHT(D376,LEN(D376)-3),IF(A376=3,RIGHT(D376,LEN(D376)-5),RIGHT(D376,LEN(D376)-6))))</f>
        <v>Manufacture of machinery for textile, apparel and leather production</v>
      </c>
      <c r="D376" t="s">
        <v>2196</v>
      </c>
      <c r="E376" t="s">
        <v>941</v>
      </c>
      <c r="F376" t="s">
        <v>2197</v>
      </c>
    </row>
    <row r="377" spans="1:6" x14ac:dyDescent="0.35">
      <c r="A377">
        <v>4</v>
      </c>
      <c r="B377" t="s">
        <v>2198</v>
      </c>
      <c r="C377" t="str">
        <f>IF(A377=1,RIGHT(D377,LEN(D377)-2),IF(A377=2,RIGHT(D377,LEN(D377)-3),IF(A377=3,RIGHT(D377,LEN(D377)-5),RIGHT(D377,LEN(D377)-6))))</f>
        <v>Manufacture of machinery for paper and paperboard production</v>
      </c>
      <c r="D377" t="s">
        <v>2199</v>
      </c>
      <c r="E377" t="s">
        <v>941</v>
      </c>
      <c r="F377" t="s">
        <v>2200</v>
      </c>
    </row>
    <row r="378" spans="1:6" x14ac:dyDescent="0.35">
      <c r="A378">
        <v>4</v>
      </c>
      <c r="B378" t="s">
        <v>2201</v>
      </c>
      <c r="C378" t="str">
        <f>IF(A378=1,RIGHT(D378,LEN(D378)-2),IF(A378=2,RIGHT(D378,LEN(D378)-3),IF(A378=3,RIGHT(D378,LEN(D378)-5),RIGHT(D378,LEN(D378)-6))))</f>
        <v>Manufacture of plastics and rubber machinery</v>
      </c>
      <c r="D378" t="s">
        <v>2202</v>
      </c>
      <c r="E378" t="s">
        <v>941</v>
      </c>
      <c r="F378" t="s">
        <v>2203</v>
      </c>
    </row>
    <row r="379" spans="1:6" x14ac:dyDescent="0.35">
      <c r="A379">
        <v>4</v>
      </c>
      <c r="B379" t="s">
        <v>2204</v>
      </c>
      <c r="C379" t="str">
        <f>IF(A379=1,RIGHT(D379,LEN(D379)-2),IF(A379=2,RIGHT(D379,LEN(D379)-3),IF(A379=3,RIGHT(D379,LEN(D379)-5),RIGHT(D379,LEN(D379)-6))))</f>
        <v>Manufacture of other special-purpose machinery n.e.c.</v>
      </c>
      <c r="D379" t="s">
        <v>2205</v>
      </c>
      <c r="E379" t="s">
        <v>941</v>
      </c>
      <c r="F379" t="s">
        <v>2206</v>
      </c>
    </row>
    <row r="380" spans="1:6" x14ac:dyDescent="0.35">
      <c r="A380">
        <v>2</v>
      </c>
      <c r="B380" t="s">
        <v>24</v>
      </c>
      <c r="C380" t="str">
        <f>IF(A380=1,RIGHT(D380,LEN(D380)-2),IF(A380=2,RIGHT(D380,LEN(D380)-3),IF(A380=3,RIGHT(D380,LEN(D380)-5),RIGHT(D380,LEN(D380)-6))))</f>
        <v>Manufacture of motor vehicles, trailers and semi-trailers</v>
      </c>
      <c r="D380" t="s">
        <v>475</v>
      </c>
      <c r="E380" t="s">
        <v>347</v>
      </c>
      <c r="F380" t="s">
        <v>476</v>
      </c>
    </row>
    <row r="381" spans="1:6" x14ac:dyDescent="0.35">
      <c r="A381">
        <v>3</v>
      </c>
      <c r="B381" t="s">
        <v>944</v>
      </c>
      <c r="C381" t="str">
        <f>IF(A381=1,RIGHT(D381,LEN(D381)-2),IF(A381=2,RIGHT(D381,LEN(D381)-3),IF(A381=3,RIGHT(D381,LEN(D381)-5),RIGHT(D381,LEN(D381)-6))))</f>
        <v>Manufacture of motor vehicles</v>
      </c>
      <c r="D381" t="s">
        <v>945</v>
      </c>
      <c r="E381" t="s">
        <v>24</v>
      </c>
      <c r="F381" t="s">
        <v>946</v>
      </c>
    </row>
    <row r="382" spans="1:6" x14ac:dyDescent="0.35">
      <c r="A382">
        <v>4</v>
      </c>
      <c r="B382" t="s">
        <v>2207</v>
      </c>
      <c r="C382" t="str">
        <f>IF(A382=1,RIGHT(D382,LEN(D382)-2),IF(A382=2,RIGHT(D382,LEN(D382)-3),IF(A382=3,RIGHT(D382,LEN(D382)-5),RIGHT(D382,LEN(D382)-6))))</f>
        <v>Manufacture of motor vehicles</v>
      </c>
      <c r="D382" t="s">
        <v>2208</v>
      </c>
      <c r="E382" t="s">
        <v>944</v>
      </c>
      <c r="F382" t="s">
        <v>2209</v>
      </c>
    </row>
    <row r="383" spans="1:6" x14ac:dyDescent="0.35">
      <c r="A383">
        <v>3</v>
      </c>
      <c r="B383" t="s">
        <v>947</v>
      </c>
      <c r="C383" t="str">
        <f>IF(A383=1,RIGHT(D383,LEN(D383)-2),IF(A383=2,RIGHT(D383,LEN(D383)-3),IF(A383=3,RIGHT(D383,LEN(D383)-5),RIGHT(D383,LEN(D383)-6))))</f>
        <v>Manufacture of bodies (coachwork) for motor vehicles; manufacture of trailers and semi-trailers</v>
      </c>
      <c r="D383" t="s">
        <v>948</v>
      </c>
      <c r="E383" t="s">
        <v>24</v>
      </c>
      <c r="F383" t="s">
        <v>949</v>
      </c>
    </row>
    <row r="384" spans="1:6" x14ac:dyDescent="0.35">
      <c r="A384">
        <v>4</v>
      </c>
      <c r="B384" t="s">
        <v>2210</v>
      </c>
      <c r="C384" t="str">
        <f>IF(A384=1,RIGHT(D384,LEN(D384)-2),IF(A384=2,RIGHT(D384,LEN(D384)-3),IF(A384=3,RIGHT(D384,LEN(D384)-5),RIGHT(D384,LEN(D384)-6))))</f>
        <v>Manufacture of bodies (coachwork) for motor vehicles; manufacture of trailers and semi-trailers</v>
      </c>
      <c r="D384" t="s">
        <v>2211</v>
      </c>
      <c r="E384" t="s">
        <v>947</v>
      </c>
      <c r="F384" t="s">
        <v>2212</v>
      </c>
    </row>
    <row r="385" spans="1:6" x14ac:dyDescent="0.35">
      <c r="A385">
        <v>3</v>
      </c>
      <c r="B385" t="s">
        <v>950</v>
      </c>
      <c r="C385" t="str">
        <f>IF(A385=1,RIGHT(D385,LEN(D385)-2),IF(A385=2,RIGHT(D385,LEN(D385)-3),IF(A385=3,RIGHT(D385,LEN(D385)-5),RIGHT(D385,LEN(D385)-6))))</f>
        <v>Manufacture of parts and accessories for motor vehicles</v>
      </c>
      <c r="D385" t="s">
        <v>951</v>
      </c>
      <c r="E385" t="s">
        <v>24</v>
      </c>
      <c r="F385" t="s">
        <v>952</v>
      </c>
    </row>
    <row r="386" spans="1:6" x14ac:dyDescent="0.35">
      <c r="A386">
        <v>4</v>
      </c>
      <c r="B386" t="s">
        <v>2213</v>
      </c>
      <c r="C386" t="str">
        <f>IF(A386=1,RIGHT(D386,LEN(D386)-2),IF(A386=2,RIGHT(D386,LEN(D386)-3),IF(A386=3,RIGHT(D386,LEN(D386)-5),RIGHT(D386,LEN(D386)-6))))</f>
        <v>Manufacture of electrical and electronic equipment for motor vehicles</v>
      </c>
      <c r="D386" t="s">
        <v>2214</v>
      </c>
      <c r="E386" t="s">
        <v>950</v>
      </c>
      <c r="F386" t="s">
        <v>2215</v>
      </c>
    </row>
    <row r="387" spans="1:6" x14ac:dyDescent="0.35">
      <c r="A387">
        <v>4</v>
      </c>
      <c r="B387" t="s">
        <v>2216</v>
      </c>
      <c r="C387" t="str">
        <f>IF(A387=1,RIGHT(D387,LEN(D387)-2),IF(A387=2,RIGHT(D387,LEN(D387)-3),IF(A387=3,RIGHT(D387,LEN(D387)-5),RIGHT(D387,LEN(D387)-6))))</f>
        <v>Manufacture of other parts and accessories for motor vehicles</v>
      </c>
      <c r="D387" t="s">
        <v>2217</v>
      </c>
      <c r="E387" t="s">
        <v>950</v>
      </c>
      <c r="F387" t="s">
        <v>2218</v>
      </c>
    </row>
    <row r="388" spans="1:6" x14ac:dyDescent="0.35">
      <c r="A388">
        <v>2</v>
      </c>
      <c r="B388" t="s">
        <v>26</v>
      </c>
      <c r="C388" t="str">
        <f>IF(A388=1,RIGHT(D388,LEN(D388)-2),IF(A388=2,RIGHT(D388,LEN(D388)-3),IF(A388=3,RIGHT(D388,LEN(D388)-5),RIGHT(D388,LEN(D388)-6))))</f>
        <v>Manufacture of other transport equipment</v>
      </c>
      <c r="D388" t="s">
        <v>477</v>
      </c>
      <c r="E388" t="s">
        <v>347</v>
      </c>
      <c r="F388" t="s">
        <v>478</v>
      </c>
    </row>
    <row r="389" spans="1:6" x14ac:dyDescent="0.35">
      <c r="A389">
        <v>3</v>
      </c>
      <c r="B389" t="s">
        <v>953</v>
      </c>
      <c r="C389" t="str">
        <f>IF(A389=1,RIGHT(D389,LEN(D389)-2),IF(A389=2,RIGHT(D389,LEN(D389)-3),IF(A389=3,RIGHT(D389,LEN(D389)-5),RIGHT(D389,LEN(D389)-6))))</f>
        <v>Building of ships and boats</v>
      </c>
      <c r="D389" t="s">
        <v>954</v>
      </c>
      <c r="E389" t="s">
        <v>26</v>
      </c>
      <c r="F389" t="s">
        <v>955</v>
      </c>
    </row>
    <row r="390" spans="1:6" x14ac:dyDescent="0.35">
      <c r="A390">
        <v>4</v>
      </c>
      <c r="B390" t="s">
        <v>2219</v>
      </c>
      <c r="C390" t="str">
        <f>IF(A390=1,RIGHT(D390,LEN(D390)-2),IF(A390=2,RIGHT(D390,LEN(D390)-3),IF(A390=3,RIGHT(D390,LEN(D390)-5),RIGHT(D390,LEN(D390)-6))))</f>
        <v>Building of ships and floating structures</v>
      </c>
      <c r="D390" t="s">
        <v>2220</v>
      </c>
      <c r="E390" t="s">
        <v>953</v>
      </c>
      <c r="F390" t="s">
        <v>2221</v>
      </c>
    </row>
    <row r="391" spans="1:6" x14ac:dyDescent="0.35">
      <c r="A391">
        <v>4</v>
      </c>
      <c r="B391" t="s">
        <v>2222</v>
      </c>
      <c r="C391" t="str">
        <f>IF(A391=1,RIGHT(D391,LEN(D391)-2),IF(A391=2,RIGHT(D391,LEN(D391)-3),IF(A391=3,RIGHT(D391,LEN(D391)-5),RIGHT(D391,LEN(D391)-6))))</f>
        <v>Building of pleasure and sporting boats</v>
      </c>
      <c r="D391" t="s">
        <v>2223</v>
      </c>
      <c r="E391" t="s">
        <v>953</v>
      </c>
      <c r="F391" t="s">
        <v>2224</v>
      </c>
    </row>
    <row r="392" spans="1:6" x14ac:dyDescent="0.35">
      <c r="A392">
        <v>3</v>
      </c>
      <c r="B392" t="s">
        <v>956</v>
      </c>
      <c r="C392" t="str">
        <f>IF(A392=1,RIGHT(D392,LEN(D392)-2),IF(A392=2,RIGHT(D392,LEN(D392)-3),IF(A392=3,RIGHT(D392,LEN(D392)-5),RIGHT(D392,LEN(D392)-6))))</f>
        <v>Manufacture of railway locomotives and rolling stock</v>
      </c>
      <c r="D392" t="s">
        <v>957</v>
      </c>
      <c r="E392" t="s">
        <v>26</v>
      </c>
      <c r="F392" t="s">
        <v>958</v>
      </c>
    </row>
    <row r="393" spans="1:6" x14ac:dyDescent="0.35">
      <c r="A393">
        <v>4</v>
      </c>
      <c r="B393" t="s">
        <v>2225</v>
      </c>
      <c r="C393" t="str">
        <f>IF(A393=1,RIGHT(D393,LEN(D393)-2),IF(A393=2,RIGHT(D393,LEN(D393)-3),IF(A393=3,RIGHT(D393,LEN(D393)-5),RIGHT(D393,LEN(D393)-6))))</f>
        <v>Manufacture of railway locomotives and rolling stock</v>
      </c>
      <c r="D393" t="s">
        <v>2226</v>
      </c>
      <c r="E393" t="s">
        <v>956</v>
      </c>
      <c r="F393" t="s">
        <v>2227</v>
      </c>
    </row>
    <row r="394" spans="1:6" x14ac:dyDescent="0.35">
      <c r="A394">
        <v>3</v>
      </c>
      <c r="B394" t="s">
        <v>959</v>
      </c>
      <c r="C394" t="str">
        <f>IF(A394=1,RIGHT(D394,LEN(D394)-2),IF(A394=2,RIGHT(D394,LEN(D394)-3),IF(A394=3,RIGHT(D394,LEN(D394)-5),RIGHT(D394,LEN(D394)-6))))</f>
        <v>Manufacture of air and spacecraft and related machinery</v>
      </c>
      <c r="D394" t="s">
        <v>960</v>
      </c>
      <c r="E394" t="s">
        <v>26</v>
      </c>
      <c r="F394" t="s">
        <v>961</v>
      </c>
    </row>
    <row r="395" spans="1:6" x14ac:dyDescent="0.35">
      <c r="A395">
        <v>4</v>
      </c>
      <c r="B395" t="s">
        <v>2228</v>
      </c>
      <c r="C395" t="str">
        <f>IF(A395=1,RIGHT(D395,LEN(D395)-2),IF(A395=2,RIGHT(D395,LEN(D395)-3),IF(A395=3,RIGHT(D395,LEN(D395)-5),RIGHT(D395,LEN(D395)-6))))</f>
        <v>Manufacture of air and spacecraft and related machinery</v>
      </c>
      <c r="D395" t="s">
        <v>2229</v>
      </c>
      <c r="E395" t="s">
        <v>959</v>
      </c>
      <c r="F395" t="s">
        <v>2230</v>
      </c>
    </row>
    <row r="396" spans="1:6" x14ac:dyDescent="0.35">
      <c r="A396">
        <v>3</v>
      </c>
      <c r="B396" t="s">
        <v>962</v>
      </c>
      <c r="C396" t="str">
        <f>IF(A396=1,RIGHT(D396,LEN(D396)-2),IF(A396=2,RIGHT(D396,LEN(D396)-3),IF(A396=3,RIGHT(D396,LEN(D396)-5),RIGHT(D396,LEN(D396)-6))))</f>
        <v>Manufacture of military fighting vehicles</v>
      </c>
      <c r="D396" t="s">
        <v>963</v>
      </c>
      <c r="E396" t="s">
        <v>26</v>
      </c>
      <c r="F396" t="s">
        <v>964</v>
      </c>
    </row>
    <row r="397" spans="1:6" x14ac:dyDescent="0.35">
      <c r="A397">
        <v>4</v>
      </c>
      <c r="B397" t="s">
        <v>2231</v>
      </c>
      <c r="C397" t="str">
        <f>IF(A397=1,RIGHT(D397,LEN(D397)-2),IF(A397=2,RIGHT(D397,LEN(D397)-3),IF(A397=3,RIGHT(D397,LEN(D397)-5),RIGHT(D397,LEN(D397)-6))))</f>
        <v>Manufacture of military fighting vehicles</v>
      </c>
      <c r="D397" t="s">
        <v>2232</v>
      </c>
      <c r="E397" t="s">
        <v>962</v>
      </c>
      <c r="F397" t="s">
        <v>2233</v>
      </c>
    </row>
    <row r="398" spans="1:6" x14ac:dyDescent="0.35">
      <c r="A398">
        <v>3</v>
      </c>
      <c r="B398" t="s">
        <v>965</v>
      </c>
      <c r="C398" t="str">
        <f>IF(A398=1,RIGHT(D398,LEN(D398)-2),IF(A398=2,RIGHT(D398,LEN(D398)-3),IF(A398=3,RIGHT(D398,LEN(D398)-5),RIGHT(D398,LEN(D398)-6))))</f>
        <v>Manufacture of transport equipment n.e.c.</v>
      </c>
      <c r="D398" t="s">
        <v>966</v>
      </c>
      <c r="E398" t="s">
        <v>26</v>
      </c>
      <c r="F398" t="s">
        <v>967</v>
      </c>
    </row>
    <row r="399" spans="1:6" x14ac:dyDescent="0.35">
      <c r="A399">
        <v>4</v>
      </c>
      <c r="B399" t="s">
        <v>2234</v>
      </c>
      <c r="C399" t="str">
        <f>IF(A399=1,RIGHT(D399,LEN(D399)-2),IF(A399=2,RIGHT(D399,LEN(D399)-3),IF(A399=3,RIGHT(D399,LEN(D399)-5),RIGHT(D399,LEN(D399)-6))))</f>
        <v>Manufacture of motorcycles</v>
      </c>
      <c r="D399" t="s">
        <v>2235</v>
      </c>
      <c r="E399" t="s">
        <v>965</v>
      </c>
      <c r="F399" t="s">
        <v>2236</v>
      </c>
    </row>
    <row r="400" spans="1:6" x14ac:dyDescent="0.35">
      <c r="A400">
        <v>4</v>
      </c>
      <c r="B400" t="s">
        <v>2237</v>
      </c>
      <c r="C400" t="str">
        <f>IF(A400=1,RIGHT(D400,LEN(D400)-2),IF(A400=2,RIGHT(D400,LEN(D400)-3),IF(A400=3,RIGHT(D400,LEN(D400)-5),RIGHT(D400,LEN(D400)-6))))</f>
        <v>Manufacture of bicycles and invalid carriages</v>
      </c>
      <c r="D400" t="s">
        <v>2238</v>
      </c>
      <c r="E400" t="s">
        <v>965</v>
      </c>
      <c r="F400" t="s">
        <v>2239</v>
      </c>
    </row>
    <row r="401" spans="1:6" x14ac:dyDescent="0.35">
      <c r="A401">
        <v>4</v>
      </c>
      <c r="B401" t="s">
        <v>2240</v>
      </c>
      <c r="C401" t="str">
        <f>IF(A401=1,RIGHT(D401,LEN(D401)-2),IF(A401=2,RIGHT(D401,LEN(D401)-3),IF(A401=3,RIGHT(D401,LEN(D401)-5),RIGHT(D401,LEN(D401)-6))))</f>
        <v>Manufacture of other transport equipment n.e.c.</v>
      </c>
      <c r="D401" t="s">
        <v>2241</v>
      </c>
      <c r="E401" t="s">
        <v>965</v>
      </c>
      <c r="F401" t="s">
        <v>2242</v>
      </c>
    </row>
    <row r="402" spans="1:6" x14ac:dyDescent="0.35">
      <c r="A402">
        <v>2</v>
      </c>
      <c r="B402" t="s">
        <v>28</v>
      </c>
      <c r="C402" t="str">
        <f>IF(A402=1,RIGHT(D402,LEN(D402)-2),IF(A402=2,RIGHT(D402,LEN(D402)-3),IF(A402=3,RIGHT(D402,LEN(D402)-5),RIGHT(D402,LEN(D402)-6))))</f>
        <v>Manufacture of furniture</v>
      </c>
      <c r="D402" t="s">
        <v>479</v>
      </c>
      <c r="E402" t="s">
        <v>347</v>
      </c>
      <c r="F402" t="s">
        <v>480</v>
      </c>
    </row>
    <row r="403" spans="1:6" x14ac:dyDescent="0.35">
      <c r="A403">
        <v>3</v>
      </c>
      <c r="B403" t="s">
        <v>968</v>
      </c>
      <c r="C403" t="str">
        <f>IF(A403=1,RIGHT(D403,LEN(D403)-2),IF(A403=2,RIGHT(D403,LEN(D403)-3),IF(A403=3,RIGHT(D403,LEN(D403)-5),RIGHT(D403,LEN(D403)-6))))</f>
        <v>Manufacture of furniture</v>
      </c>
      <c r="D403" t="s">
        <v>969</v>
      </c>
      <c r="E403" t="s">
        <v>28</v>
      </c>
      <c r="F403" t="s">
        <v>970</v>
      </c>
    </row>
    <row r="404" spans="1:6" x14ac:dyDescent="0.35">
      <c r="A404">
        <v>4</v>
      </c>
      <c r="B404" t="s">
        <v>2243</v>
      </c>
      <c r="C404" t="str">
        <f>IF(A404=1,RIGHT(D404,LEN(D404)-2),IF(A404=2,RIGHT(D404,LEN(D404)-3),IF(A404=3,RIGHT(D404,LEN(D404)-5),RIGHT(D404,LEN(D404)-6))))</f>
        <v>Manufacture of office and shop furniture</v>
      </c>
      <c r="D404" t="s">
        <v>2244</v>
      </c>
      <c r="E404" t="s">
        <v>968</v>
      </c>
      <c r="F404" t="s">
        <v>2245</v>
      </c>
    </row>
    <row r="405" spans="1:6" x14ac:dyDescent="0.35">
      <c r="A405">
        <v>4</v>
      </c>
      <c r="B405" t="s">
        <v>2246</v>
      </c>
      <c r="C405" t="str">
        <f>IF(A405=1,RIGHT(D405,LEN(D405)-2),IF(A405=2,RIGHT(D405,LEN(D405)-3),IF(A405=3,RIGHT(D405,LEN(D405)-5),RIGHT(D405,LEN(D405)-6))))</f>
        <v>Manufacture of kitchen furniture</v>
      </c>
      <c r="D405" t="s">
        <v>2247</v>
      </c>
      <c r="E405" t="s">
        <v>968</v>
      </c>
      <c r="F405" t="s">
        <v>2248</v>
      </c>
    </row>
    <row r="406" spans="1:6" x14ac:dyDescent="0.35">
      <c r="A406">
        <v>4</v>
      </c>
      <c r="B406" t="s">
        <v>2249</v>
      </c>
      <c r="C406" t="str">
        <f>IF(A406=1,RIGHT(D406,LEN(D406)-2),IF(A406=2,RIGHT(D406,LEN(D406)-3),IF(A406=3,RIGHT(D406,LEN(D406)-5),RIGHT(D406,LEN(D406)-6))))</f>
        <v>Manufacture of mattresses</v>
      </c>
      <c r="D406" t="s">
        <v>2250</v>
      </c>
      <c r="E406" t="s">
        <v>968</v>
      </c>
      <c r="F406" t="s">
        <v>2251</v>
      </c>
    </row>
    <row r="407" spans="1:6" x14ac:dyDescent="0.35">
      <c r="A407">
        <v>4</v>
      </c>
      <c r="B407" t="s">
        <v>2252</v>
      </c>
      <c r="C407" t="str">
        <f>IF(A407=1,RIGHT(D407,LEN(D407)-2),IF(A407=2,RIGHT(D407,LEN(D407)-3),IF(A407=3,RIGHT(D407,LEN(D407)-5),RIGHT(D407,LEN(D407)-6))))</f>
        <v>Manufacture of other furniture</v>
      </c>
      <c r="D407" t="s">
        <v>2253</v>
      </c>
      <c r="E407" t="s">
        <v>968</v>
      </c>
      <c r="F407" t="s">
        <v>2254</v>
      </c>
    </row>
    <row r="408" spans="1:6" x14ac:dyDescent="0.35">
      <c r="A408">
        <v>2</v>
      </c>
      <c r="B408" t="s">
        <v>30</v>
      </c>
      <c r="C408" t="str">
        <f>IF(A408=1,RIGHT(D408,LEN(D408)-2),IF(A408=2,RIGHT(D408,LEN(D408)-3),IF(A408=3,RIGHT(D408,LEN(D408)-5),RIGHT(D408,LEN(D408)-6))))</f>
        <v>Other manufacturing</v>
      </c>
      <c r="D408" t="s">
        <v>481</v>
      </c>
      <c r="E408" t="s">
        <v>347</v>
      </c>
      <c r="F408" t="s">
        <v>482</v>
      </c>
    </row>
    <row r="409" spans="1:6" x14ac:dyDescent="0.35">
      <c r="A409">
        <v>3</v>
      </c>
      <c r="B409" t="s">
        <v>971</v>
      </c>
      <c r="C409" t="str">
        <f>IF(A409=1,RIGHT(D409,LEN(D409)-2),IF(A409=2,RIGHT(D409,LEN(D409)-3),IF(A409=3,RIGHT(D409,LEN(D409)-5),RIGHT(D409,LEN(D409)-6))))</f>
        <v>Manufacture of jewellery, bijouterie and related articles</v>
      </c>
      <c r="D409" t="s">
        <v>972</v>
      </c>
      <c r="E409" t="s">
        <v>30</v>
      </c>
      <c r="F409" t="s">
        <v>973</v>
      </c>
    </row>
    <row r="410" spans="1:6" x14ac:dyDescent="0.35">
      <c r="A410">
        <v>4</v>
      </c>
      <c r="B410" t="s">
        <v>2255</v>
      </c>
      <c r="C410" t="str">
        <f>IF(A410=1,RIGHT(D410,LEN(D410)-2),IF(A410=2,RIGHT(D410,LEN(D410)-3),IF(A410=3,RIGHT(D410,LEN(D410)-5),RIGHT(D410,LEN(D410)-6))))</f>
        <v>Striking of coins</v>
      </c>
      <c r="D410" t="s">
        <v>2256</v>
      </c>
      <c r="E410" t="s">
        <v>971</v>
      </c>
      <c r="F410" t="s">
        <v>2257</v>
      </c>
    </row>
    <row r="411" spans="1:6" x14ac:dyDescent="0.35">
      <c r="A411">
        <v>4</v>
      </c>
      <c r="B411" t="s">
        <v>2258</v>
      </c>
      <c r="C411" t="str">
        <f>IF(A411=1,RIGHT(D411,LEN(D411)-2),IF(A411=2,RIGHT(D411,LEN(D411)-3),IF(A411=3,RIGHT(D411,LEN(D411)-5),RIGHT(D411,LEN(D411)-6))))</f>
        <v>Manufacture of jewellery and related articles</v>
      </c>
      <c r="D411" t="s">
        <v>2259</v>
      </c>
      <c r="E411" t="s">
        <v>971</v>
      </c>
      <c r="F411" t="s">
        <v>2260</v>
      </c>
    </row>
    <row r="412" spans="1:6" x14ac:dyDescent="0.35">
      <c r="A412">
        <v>4</v>
      </c>
      <c r="B412" t="s">
        <v>2261</v>
      </c>
      <c r="C412" t="str">
        <f>IF(A412=1,RIGHT(D412,LEN(D412)-2),IF(A412=2,RIGHT(D412,LEN(D412)-3),IF(A412=3,RIGHT(D412,LEN(D412)-5),RIGHT(D412,LEN(D412)-6))))</f>
        <v>Manufacture of imitation jewellery and related articles</v>
      </c>
      <c r="D412" t="s">
        <v>2262</v>
      </c>
      <c r="E412" t="s">
        <v>971</v>
      </c>
      <c r="F412" t="s">
        <v>2263</v>
      </c>
    </row>
    <row r="413" spans="1:6" x14ac:dyDescent="0.35">
      <c r="A413">
        <v>3</v>
      </c>
      <c r="B413" t="s">
        <v>974</v>
      </c>
      <c r="C413" t="str">
        <f>IF(A413=1,RIGHT(D413,LEN(D413)-2),IF(A413=2,RIGHT(D413,LEN(D413)-3),IF(A413=3,RIGHT(D413,LEN(D413)-5),RIGHT(D413,LEN(D413)-6))))</f>
        <v>Manufacture of musical instruments</v>
      </c>
      <c r="D413" t="s">
        <v>975</v>
      </c>
      <c r="E413" t="s">
        <v>30</v>
      </c>
      <c r="F413" t="s">
        <v>976</v>
      </c>
    </row>
    <row r="414" spans="1:6" x14ac:dyDescent="0.35">
      <c r="A414">
        <v>4</v>
      </c>
      <c r="B414" t="s">
        <v>2264</v>
      </c>
      <c r="C414" t="str">
        <f>IF(A414=1,RIGHT(D414,LEN(D414)-2),IF(A414=2,RIGHT(D414,LEN(D414)-3),IF(A414=3,RIGHT(D414,LEN(D414)-5),RIGHT(D414,LEN(D414)-6))))</f>
        <v>Manufacture of musical instruments</v>
      </c>
      <c r="D414" t="s">
        <v>2265</v>
      </c>
      <c r="E414" t="s">
        <v>974</v>
      </c>
      <c r="F414" t="s">
        <v>2266</v>
      </c>
    </row>
    <row r="415" spans="1:6" x14ac:dyDescent="0.35">
      <c r="A415">
        <v>3</v>
      </c>
      <c r="B415" t="s">
        <v>977</v>
      </c>
      <c r="C415" t="str">
        <f>IF(A415=1,RIGHT(D415,LEN(D415)-2),IF(A415=2,RIGHT(D415,LEN(D415)-3),IF(A415=3,RIGHT(D415,LEN(D415)-5),RIGHT(D415,LEN(D415)-6))))</f>
        <v>Manufacture of sports goods</v>
      </c>
      <c r="D415" t="s">
        <v>978</v>
      </c>
      <c r="E415" t="s">
        <v>30</v>
      </c>
      <c r="F415" t="s">
        <v>979</v>
      </c>
    </row>
    <row r="416" spans="1:6" x14ac:dyDescent="0.35">
      <c r="A416">
        <v>4</v>
      </c>
      <c r="B416" t="s">
        <v>2267</v>
      </c>
      <c r="C416" t="str">
        <f>IF(A416=1,RIGHT(D416,LEN(D416)-2),IF(A416=2,RIGHT(D416,LEN(D416)-3),IF(A416=3,RIGHT(D416,LEN(D416)-5),RIGHT(D416,LEN(D416)-6))))</f>
        <v>Manufacture of sports goods</v>
      </c>
      <c r="D416" t="s">
        <v>2268</v>
      </c>
      <c r="E416" t="s">
        <v>977</v>
      </c>
      <c r="F416" t="s">
        <v>2269</v>
      </c>
    </row>
    <row r="417" spans="1:6" x14ac:dyDescent="0.35">
      <c r="A417">
        <v>3</v>
      </c>
      <c r="B417" t="s">
        <v>980</v>
      </c>
      <c r="C417" t="str">
        <f>IF(A417=1,RIGHT(D417,LEN(D417)-2),IF(A417=2,RIGHT(D417,LEN(D417)-3),IF(A417=3,RIGHT(D417,LEN(D417)-5),RIGHT(D417,LEN(D417)-6))))</f>
        <v>Manufacture of games and toys</v>
      </c>
      <c r="D417" t="s">
        <v>981</v>
      </c>
      <c r="E417" t="s">
        <v>30</v>
      </c>
      <c r="F417" t="s">
        <v>982</v>
      </c>
    </row>
    <row r="418" spans="1:6" x14ac:dyDescent="0.35">
      <c r="A418">
        <v>4</v>
      </c>
      <c r="B418" t="s">
        <v>2270</v>
      </c>
      <c r="C418" t="str">
        <f>IF(A418=1,RIGHT(D418,LEN(D418)-2),IF(A418=2,RIGHT(D418,LEN(D418)-3),IF(A418=3,RIGHT(D418,LEN(D418)-5),RIGHT(D418,LEN(D418)-6))))</f>
        <v>Manufacture of games and toys</v>
      </c>
      <c r="D418" t="s">
        <v>2271</v>
      </c>
      <c r="E418" t="s">
        <v>980</v>
      </c>
      <c r="F418" t="s">
        <v>2272</v>
      </c>
    </row>
    <row r="419" spans="1:6" x14ac:dyDescent="0.35">
      <c r="A419">
        <v>3</v>
      </c>
      <c r="B419" t="s">
        <v>983</v>
      </c>
      <c r="C419" t="str">
        <f>IF(A419=1,RIGHT(D419,LEN(D419)-2),IF(A419=2,RIGHT(D419,LEN(D419)-3),IF(A419=3,RIGHT(D419,LEN(D419)-5),RIGHT(D419,LEN(D419)-6))))</f>
        <v>Manufacture of medical and dental instruments and supplies</v>
      </c>
      <c r="D419" t="s">
        <v>984</v>
      </c>
      <c r="E419" t="s">
        <v>30</v>
      </c>
      <c r="F419" t="s">
        <v>985</v>
      </c>
    </row>
    <row r="420" spans="1:6" x14ac:dyDescent="0.35">
      <c r="A420">
        <v>4</v>
      </c>
      <c r="B420" t="s">
        <v>2273</v>
      </c>
      <c r="C420" t="str">
        <f>IF(A420=1,RIGHT(D420,LEN(D420)-2),IF(A420=2,RIGHT(D420,LEN(D420)-3),IF(A420=3,RIGHT(D420,LEN(D420)-5),RIGHT(D420,LEN(D420)-6))))</f>
        <v>Manufacture of medical and dental instruments and supplies</v>
      </c>
      <c r="D420" t="s">
        <v>2274</v>
      </c>
      <c r="E420" t="s">
        <v>983</v>
      </c>
      <c r="F420" t="s">
        <v>2275</v>
      </c>
    </row>
    <row r="421" spans="1:6" x14ac:dyDescent="0.35">
      <c r="A421">
        <v>3</v>
      </c>
      <c r="B421" t="s">
        <v>986</v>
      </c>
      <c r="C421" t="str">
        <f>IF(A421=1,RIGHT(D421,LEN(D421)-2),IF(A421=2,RIGHT(D421,LEN(D421)-3),IF(A421=3,RIGHT(D421,LEN(D421)-5),RIGHT(D421,LEN(D421)-6))))</f>
        <v>Manufacturing n.e.c.</v>
      </c>
      <c r="D421" t="s">
        <v>987</v>
      </c>
      <c r="E421" t="s">
        <v>30</v>
      </c>
      <c r="F421" t="s">
        <v>988</v>
      </c>
    </row>
    <row r="422" spans="1:6" x14ac:dyDescent="0.35">
      <c r="A422">
        <v>4</v>
      </c>
      <c r="B422" t="s">
        <v>2276</v>
      </c>
      <c r="C422" t="str">
        <f>IF(A422=1,RIGHT(D422,LEN(D422)-2),IF(A422=2,RIGHT(D422,LEN(D422)-3),IF(A422=3,RIGHT(D422,LEN(D422)-5),RIGHT(D422,LEN(D422)-6))))</f>
        <v>Manufacture of brooms and brushes</v>
      </c>
      <c r="D422" t="s">
        <v>2277</v>
      </c>
      <c r="E422" t="s">
        <v>986</v>
      </c>
      <c r="F422" t="s">
        <v>2278</v>
      </c>
    </row>
    <row r="423" spans="1:6" x14ac:dyDescent="0.35">
      <c r="A423">
        <v>4</v>
      </c>
      <c r="B423" t="s">
        <v>2279</v>
      </c>
      <c r="C423" t="str">
        <f>IF(A423=1,RIGHT(D423,LEN(D423)-2),IF(A423=2,RIGHT(D423,LEN(D423)-3),IF(A423=3,RIGHT(D423,LEN(D423)-5),RIGHT(D423,LEN(D423)-6))))</f>
        <v>Other manufacturing n.e.c.</v>
      </c>
      <c r="D423" t="s">
        <v>2280</v>
      </c>
      <c r="E423" t="s">
        <v>986</v>
      </c>
      <c r="F423" t="s">
        <v>2281</v>
      </c>
    </row>
    <row r="424" spans="1:6" x14ac:dyDescent="0.35">
      <c r="A424">
        <v>2</v>
      </c>
      <c r="B424" t="s">
        <v>32</v>
      </c>
      <c r="C424" t="str">
        <f>IF(A424=1,RIGHT(D424,LEN(D424)-2),IF(A424=2,RIGHT(D424,LEN(D424)-3),IF(A424=3,RIGHT(D424,LEN(D424)-5),RIGHT(D424,LEN(D424)-6))))</f>
        <v>Repair and installation of machinery and equipment</v>
      </c>
      <c r="D424" t="s">
        <v>483</v>
      </c>
      <c r="E424" t="s">
        <v>347</v>
      </c>
      <c r="F424" t="s">
        <v>484</v>
      </c>
    </row>
    <row r="425" spans="1:6" x14ac:dyDescent="0.35">
      <c r="A425">
        <v>3</v>
      </c>
      <c r="B425" t="s">
        <v>989</v>
      </c>
      <c r="C425" t="str">
        <f>IF(A425=1,RIGHT(D425,LEN(D425)-2),IF(A425=2,RIGHT(D425,LEN(D425)-3),IF(A425=3,RIGHT(D425,LEN(D425)-5),RIGHT(D425,LEN(D425)-6))))</f>
        <v>Repair of fabricated metal products, machinery and equipment</v>
      </c>
      <c r="D425" t="s">
        <v>990</v>
      </c>
      <c r="E425" t="s">
        <v>32</v>
      </c>
      <c r="F425" t="s">
        <v>991</v>
      </c>
    </row>
    <row r="426" spans="1:6" x14ac:dyDescent="0.35">
      <c r="A426">
        <v>4</v>
      </c>
      <c r="B426" t="s">
        <v>2282</v>
      </c>
      <c r="C426" t="str">
        <f>IF(A426=1,RIGHT(D426,LEN(D426)-2),IF(A426=2,RIGHT(D426,LEN(D426)-3),IF(A426=3,RIGHT(D426,LEN(D426)-5),RIGHT(D426,LEN(D426)-6))))</f>
        <v>Repair of fabricated metal products</v>
      </c>
      <c r="D426" t="s">
        <v>2283</v>
      </c>
      <c r="E426" t="s">
        <v>989</v>
      </c>
      <c r="F426" t="s">
        <v>2284</v>
      </c>
    </row>
    <row r="427" spans="1:6" x14ac:dyDescent="0.35">
      <c r="A427">
        <v>4</v>
      </c>
      <c r="B427" t="s">
        <v>2285</v>
      </c>
      <c r="C427" t="str">
        <f>IF(A427=1,RIGHT(D427,LEN(D427)-2),IF(A427=2,RIGHT(D427,LEN(D427)-3),IF(A427=3,RIGHT(D427,LEN(D427)-5),RIGHT(D427,LEN(D427)-6))))</f>
        <v>Repair of machinery</v>
      </c>
      <c r="D427" t="s">
        <v>2286</v>
      </c>
      <c r="E427" t="s">
        <v>989</v>
      </c>
      <c r="F427" t="s">
        <v>2287</v>
      </c>
    </row>
    <row r="428" spans="1:6" x14ac:dyDescent="0.35">
      <c r="A428">
        <v>4</v>
      </c>
      <c r="B428" t="s">
        <v>2288</v>
      </c>
      <c r="C428" t="str">
        <f>IF(A428=1,RIGHT(D428,LEN(D428)-2),IF(A428=2,RIGHT(D428,LEN(D428)-3),IF(A428=3,RIGHT(D428,LEN(D428)-5),RIGHT(D428,LEN(D428)-6))))</f>
        <v>Repair of electronic and optical equipment</v>
      </c>
      <c r="D428" t="s">
        <v>2289</v>
      </c>
      <c r="E428" t="s">
        <v>989</v>
      </c>
      <c r="F428" t="s">
        <v>2290</v>
      </c>
    </row>
    <row r="429" spans="1:6" x14ac:dyDescent="0.35">
      <c r="A429">
        <v>4</v>
      </c>
      <c r="B429" t="s">
        <v>2291</v>
      </c>
      <c r="C429" t="str">
        <f>IF(A429=1,RIGHT(D429,LEN(D429)-2),IF(A429=2,RIGHT(D429,LEN(D429)-3),IF(A429=3,RIGHT(D429,LEN(D429)-5),RIGHT(D429,LEN(D429)-6))))</f>
        <v>Repair of electrical equipment</v>
      </c>
      <c r="D429" t="s">
        <v>2292</v>
      </c>
      <c r="E429" t="s">
        <v>989</v>
      </c>
      <c r="F429" t="s">
        <v>2293</v>
      </c>
    </row>
    <row r="430" spans="1:6" x14ac:dyDescent="0.35">
      <c r="A430">
        <v>4</v>
      </c>
      <c r="B430" t="s">
        <v>2294</v>
      </c>
      <c r="C430" t="str">
        <f>IF(A430=1,RIGHT(D430,LEN(D430)-2),IF(A430=2,RIGHT(D430,LEN(D430)-3),IF(A430=3,RIGHT(D430,LEN(D430)-5),RIGHT(D430,LEN(D430)-6))))</f>
        <v>Repair and maintenance of ships and boats</v>
      </c>
      <c r="D430" t="s">
        <v>2295</v>
      </c>
      <c r="E430" t="s">
        <v>989</v>
      </c>
      <c r="F430" t="s">
        <v>2296</v>
      </c>
    </row>
    <row r="431" spans="1:6" x14ac:dyDescent="0.35">
      <c r="A431">
        <v>4</v>
      </c>
      <c r="B431" t="s">
        <v>2297</v>
      </c>
      <c r="C431" t="str">
        <f>IF(A431=1,RIGHT(D431,LEN(D431)-2),IF(A431=2,RIGHT(D431,LEN(D431)-3),IF(A431=3,RIGHT(D431,LEN(D431)-5),RIGHT(D431,LEN(D431)-6))))</f>
        <v>Repair and maintenance of aircraft and spacecraft</v>
      </c>
      <c r="D431" t="s">
        <v>2298</v>
      </c>
      <c r="E431" t="s">
        <v>989</v>
      </c>
      <c r="F431" t="s">
        <v>2299</v>
      </c>
    </row>
    <row r="432" spans="1:6" x14ac:dyDescent="0.35">
      <c r="A432">
        <v>4</v>
      </c>
      <c r="B432" t="s">
        <v>2300</v>
      </c>
      <c r="C432" t="str">
        <f>IF(A432=1,RIGHT(D432,LEN(D432)-2),IF(A432=2,RIGHT(D432,LEN(D432)-3),IF(A432=3,RIGHT(D432,LEN(D432)-5),RIGHT(D432,LEN(D432)-6))))</f>
        <v>Repair and maintenance of other transport equipment</v>
      </c>
      <c r="D432" t="s">
        <v>2301</v>
      </c>
      <c r="E432" t="s">
        <v>989</v>
      </c>
      <c r="F432" t="s">
        <v>2302</v>
      </c>
    </row>
    <row r="433" spans="1:6" x14ac:dyDescent="0.35">
      <c r="A433">
        <v>4</v>
      </c>
      <c r="B433" t="s">
        <v>2303</v>
      </c>
      <c r="C433" t="str">
        <f>IF(A433=1,RIGHT(D433,LEN(D433)-2),IF(A433=2,RIGHT(D433,LEN(D433)-3),IF(A433=3,RIGHT(D433,LEN(D433)-5),RIGHT(D433,LEN(D433)-6))))</f>
        <v>Repair of other equipment</v>
      </c>
      <c r="D433" t="s">
        <v>2304</v>
      </c>
      <c r="E433" t="s">
        <v>989</v>
      </c>
      <c r="F433" t="s">
        <v>2305</v>
      </c>
    </row>
    <row r="434" spans="1:6" x14ac:dyDescent="0.35">
      <c r="A434">
        <v>3</v>
      </c>
      <c r="B434" t="s">
        <v>992</v>
      </c>
      <c r="C434" t="str">
        <f>IF(A434=1,RIGHT(D434,LEN(D434)-2),IF(A434=2,RIGHT(D434,LEN(D434)-3),IF(A434=3,RIGHT(D434,LEN(D434)-5),RIGHT(D434,LEN(D434)-6))))</f>
        <v>Installation of industrial machinery and equipment</v>
      </c>
      <c r="D434" t="s">
        <v>993</v>
      </c>
      <c r="E434" t="s">
        <v>32</v>
      </c>
      <c r="F434" t="s">
        <v>994</v>
      </c>
    </row>
    <row r="435" spans="1:6" x14ac:dyDescent="0.35">
      <c r="A435">
        <v>4</v>
      </c>
      <c r="B435" t="s">
        <v>2306</v>
      </c>
      <c r="C435" t="str">
        <f>IF(A435=1,RIGHT(D435,LEN(D435)-2),IF(A435=2,RIGHT(D435,LEN(D435)-3),IF(A435=3,RIGHT(D435,LEN(D435)-5),RIGHT(D435,LEN(D435)-6))))</f>
        <v>Installation of industrial machinery and equipment</v>
      </c>
      <c r="D435" t="s">
        <v>2307</v>
      </c>
      <c r="E435" t="s">
        <v>992</v>
      </c>
      <c r="F435" t="s">
        <v>2308</v>
      </c>
    </row>
    <row r="436" spans="1:6" x14ac:dyDescent="0.35">
      <c r="A436">
        <v>2</v>
      </c>
      <c r="B436" t="s">
        <v>36</v>
      </c>
      <c r="C436" t="str">
        <f>IF(A436=1,RIGHT(D436,LEN(D436)-2),IF(A436=2,RIGHT(D436,LEN(D436)-3),IF(A436=3,RIGHT(D436,LEN(D436)-5),RIGHT(D436,LEN(D436)-6))))</f>
        <v>Electricity, gas, steam and air conditioning supply</v>
      </c>
      <c r="D436" t="s">
        <v>485</v>
      </c>
      <c r="E436" t="s">
        <v>350</v>
      </c>
      <c r="F436" t="s">
        <v>486</v>
      </c>
    </row>
    <row r="437" spans="1:6" x14ac:dyDescent="0.35">
      <c r="A437">
        <v>3</v>
      </c>
      <c r="B437" t="s">
        <v>995</v>
      </c>
      <c r="C437" t="str">
        <f>IF(A437=1,RIGHT(D437,LEN(D437)-2),IF(A437=2,RIGHT(D437,LEN(D437)-3),IF(A437=3,RIGHT(D437,LEN(D437)-5),RIGHT(D437,LEN(D437)-6))))</f>
        <v>Electric power generation, transmission and distribution</v>
      </c>
      <c r="D437" t="s">
        <v>996</v>
      </c>
      <c r="E437" t="s">
        <v>36</v>
      </c>
      <c r="F437" t="s">
        <v>997</v>
      </c>
    </row>
    <row r="438" spans="1:6" x14ac:dyDescent="0.35">
      <c r="A438">
        <v>4</v>
      </c>
      <c r="B438" t="s">
        <v>2309</v>
      </c>
      <c r="C438" t="str">
        <f>IF(A438=1,RIGHT(D438,LEN(D438)-2),IF(A438=2,RIGHT(D438,LEN(D438)-3),IF(A438=3,RIGHT(D438,LEN(D438)-5),RIGHT(D438,LEN(D438)-6))))</f>
        <v>Production of electricity</v>
      </c>
      <c r="D438" t="s">
        <v>2310</v>
      </c>
      <c r="E438" t="s">
        <v>995</v>
      </c>
      <c r="F438" t="s">
        <v>2311</v>
      </c>
    </row>
    <row r="439" spans="1:6" x14ac:dyDescent="0.35">
      <c r="A439">
        <v>4</v>
      </c>
      <c r="B439" t="s">
        <v>2312</v>
      </c>
      <c r="C439" t="str">
        <f>IF(A439=1,RIGHT(D439,LEN(D439)-2),IF(A439=2,RIGHT(D439,LEN(D439)-3),IF(A439=3,RIGHT(D439,LEN(D439)-5),RIGHT(D439,LEN(D439)-6))))</f>
        <v>Transmission of electricity</v>
      </c>
      <c r="D439" t="s">
        <v>2313</v>
      </c>
      <c r="E439" t="s">
        <v>995</v>
      </c>
      <c r="F439" t="s">
        <v>2314</v>
      </c>
    </row>
    <row r="440" spans="1:6" x14ac:dyDescent="0.35">
      <c r="A440">
        <v>4</v>
      </c>
      <c r="B440" t="s">
        <v>2315</v>
      </c>
      <c r="C440" t="str">
        <f>IF(A440=1,RIGHT(D440,LEN(D440)-2),IF(A440=2,RIGHT(D440,LEN(D440)-3),IF(A440=3,RIGHT(D440,LEN(D440)-5),RIGHT(D440,LEN(D440)-6))))</f>
        <v>Distribution of electricity</v>
      </c>
      <c r="D440" t="s">
        <v>2316</v>
      </c>
      <c r="E440" t="s">
        <v>995</v>
      </c>
      <c r="F440" t="s">
        <v>2317</v>
      </c>
    </row>
    <row r="441" spans="1:6" x14ac:dyDescent="0.35">
      <c r="A441">
        <v>4</v>
      </c>
      <c r="B441" t="s">
        <v>2318</v>
      </c>
      <c r="C441" t="str">
        <f>IF(A441=1,RIGHT(D441,LEN(D441)-2),IF(A441=2,RIGHT(D441,LEN(D441)-3),IF(A441=3,RIGHT(D441,LEN(D441)-5),RIGHT(D441,LEN(D441)-6))))</f>
        <v>Trade of electricity</v>
      </c>
      <c r="D441" t="s">
        <v>2319</v>
      </c>
      <c r="E441" t="s">
        <v>995</v>
      </c>
      <c r="F441" t="s">
        <v>2320</v>
      </c>
    </row>
    <row r="442" spans="1:6" x14ac:dyDescent="0.35">
      <c r="A442">
        <v>3</v>
      </c>
      <c r="B442" t="s">
        <v>998</v>
      </c>
      <c r="C442" t="str">
        <f>IF(A442=1,RIGHT(D442,LEN(D442)-2),IF(A442=2,RIGHT(D442,LEN(D442)-3),IF(A442=3,RIGHT(D442,LEN(D442)-5),RIGHT(D442,LEN(D442)-6))))</f>
        <v>Manufacture of gas; distribution of gaseous fuels through mains</v>
      </c>
      <c r="D442" t="s">
        <v>999</v>
      </c>
      <c r="E442" t="s">
        <v>36</v>
      </c>
      <c r="F442" t="s">
        <v>1000</v>
      </c>
    </row>
    <row r="443" spans="1:6" x14ac:dyDescent="0.35">
      <c r="A443">
        <v>4</v>
      </c>
      <c r="B443" t="s">
        <v>2321</v>
      </c>
      <c r="C443" t="str">
        <f>IF(A443=1,RIGHT(D443,LEN(D443)-2),IF(A443=2,RIGHT(D443,LEN(D443)-3),IF(A443=3,RIGHT(D443,LEN(D443)-5),RIGHT(D443,LEN(D443)-6))))</f>
        <v>Manufacture of gas</v>
      </c>
      <c r="D443" t="s">
        <v>2322</v>
      </c>
      <c r="E443" t="s">
        <v>998</v>
      </c>
      <c r="F443" t="s">
        <v>2323</v>
      </c>
    </row>
    <row r="444" spans="1:6" x14ac:dyDescent="0.35">
      <c r="A444">
        <v>4</v>
      </c>
      <c r="B444" t="s">
        <v>2324</v>
      </c>
      <c r="C444" t="str">
        <f>IF(A444=1,RIGHT(D444,LEN(D444)-2),IF(A444=2,RIGHT(D444,LEN(D444)-3),IF(A444=3,RIGHT(D444,LEN(D444)-5),RIGHT(D444,LEN(D444)-6))))</f>
        <v>Distribution of gaseous fuels through mains</v>
      </c>
      <c r="D444" t="s">
        <v>2325</v>
      </c>
      <c r="E444" t="s">
        <v>998</v>
      </c>
      <c r="F444" t="s">
        <v>2326</v>
      </c>
    </row>
    <row r="445" spans="1:6" x14ac:dyDescent="0.35">
      <c r="A445">
        <v>4</v>
      </c>
      <c r="B445" t="s">
        <v>2327</v>
      </c>
      <c r="C445" t="str">
        <f>IF(A445=1,RIGHT(D445,LEN(D445)-2),IF(A445=2,RIGHT(D445,LEN(D445)-3),IF(A445=3,RIGHT(D445,LEN(D445)-5),RIGHT(D445,LEN(D445)-6))))</f>
        <v>Trade of gas through mains</v>
      </c>
      <c r="D445" t="s">
        <v>2328</v>
      </c>
      <c r="E445" t="s">
        <v>998</v>
      </c>
      <c r="F445" t="s">
        <v>2329</v>
      </c>
    </row>
    <row r="446" spans="1:6" x14ac:dyDescent="0.35">
      <c r="A446">
        <v>3</v>
      </c>
      <c r="B446" t="s">
        <v>1001</v>
      </c>
      <c r="C446" t="str">
        <f>IF(A446=1,RIGHT(D446,LEN(D446)-2),IF(A446=2,RIGHT(D446,LEN(D446)-3),IF(A446=3,RIGHT(D446,LEN(D446)-5),RIGHT(D446,LEN(D446)-6))))</f>
        <v>Steam and air conditioning supply</v>
      </c>
      <c r="D446" t="s">
        <v>1002</v>
      </c>
      <c r="E446" t="s">
        <v>36</v>
      </c>
      <c r="F446" t="s">
        <v>1003</v>
      </c>
    </row>
    <row r="447" spans="1:6" x14ac:dyDescent="0.35">
      <c r="A447">
        <v>4</v>
      </c>
      <c r="B447" t="s">
        <v>2330</v>
      </c>
      <c r="C447" t="str">
        <f>IF(A447=1,RIGHT(D447,LEN(D447)-2),IF(A447=2,RIGHT(D447,LEN(D447)-3),IF(A447=3,RIGHT(D447,LEN(D447)-5),RIGHT(D447,LEN(D447)-6))))</f>
        <v>Steam and air conditioning supply</v>
      </c>
      <c r="D447" t="s">
        <v>2331</v>
      </c>
      <c r="E447" t="s">
        <v>1001</v>
      </c>
      <c r="F447" t="s">
        <v>2332</v>
      </c>
    </row>
    <row r="448" spans="1:6" x14ac:dyDescent="0.35">
      <c r="A448">
        <v>2</v>
      </c>
      <c r="B448" t="s">
        <v>38</v>
      </c>
      <c r="C448" t="str">
        <f>IF(A448=1,RIGHT(D448,LEN(D448)-2),IF(A448=2,RIGHT(D448,LEN(D448)-3),IF(A448=3,RIGHT(D448,LEN(D448)-5),RIGHT(D448,LEN(D448)-6))))</f>
        <v>Water collection, treatment and supply</v>
      </c>
      <c r="D448" t="s">
        <v>487</v>
      </c>
      <c r="E448" t="s">
        <v>353</v>
      </c>
      <c r="F448" t="s">
        <v>488</v>
      </c>
    </row>
    <row r="449" spans="1:6" x14ac:dyDescent="0.35">
      <c r="A449">
        <v>3</v>
      </c>
      <c r="B449" t="s">
        <v>1004</v>
      </c>
      <c r="C449" t="str">
        <f>IF(A449=1,RIGHT(D449,LEN(D449)-2),IF(A449=2,RIGHT(D449,LEN(D449)-3),IF(A449=3,RIGHT(D449,LEN(D449)-5),RIGHT(D449,LEN(D449)-6))))</f>
        <v>Water collection, treatment and supply</v>
      </c>
      <c r="D449" t="s">
        <v>1005</v>
      </c>
      <c r="E449" t="s">
        <v>38</v>
      </c>
      <c r="F449" t="s">
        <v>1006</v>
      </c>
    </row>
    <row r="450" spans="1:6" x14ac:dyDescent="0.35">
      <c r="A450">
        <v>4</v>
      </c>
      <c r="B450" t="s">
        <v>2333</v>
      </c>
      <c r="C450" t="str">
        <f>IF(A450=1,RIGHT(D450,LEN(D450)-2),IF(A450=2,RIGHT(D450,LEN(D450)-3),IF(A450=3,RIGHT(D450,LEN(D450)-5),RIGHT(D450,LEN(D450)-6))))</f>
        <v>Water collection, treatment and supply</v>
      </c>
      <c r="D450" t="s">
        <v>2334</v>
      </c>
      <c r="E450" t="s">
        <v>1004</v>
      </c>
      <c r="F450" t="s">
        <v>2335</v>
      </c>
    </row>
    <row r="451" spans="1:6" x14ac:dyDescent="0.35">
      <c r="A451">
        <v>2</v>
      </c>
      <c r="B451" t="s">
        <v>40</v>
      </c>
      <c r="C451" t="str">
        <f>IF(A451=1,RIGHT(D451,LEN(D451)-2),IF(A451=2,RIGHT(D451,LEN(D451)-3),IF(A451=3,RIGHT(D451,LEN(D451)-5),RIGHT(D451,LEN(D451)-6))))</f>
        <v>Sewerage</v>
      </c>
      <c r="D451" t="s">
        <v>489</v>
      </c>
      <c r="E451" t="s">
        <v>353</v>
      </c>
      <c r="F451" t="s">
        <v>490</v>
      </c>
    </row>
    <row r="452" spans="1:6" x14ac:dyDescent="0.35">
      <c r="A452">
        <v>3</v>
      </c>
      <c r="B452" t="s">
        <v>1007</v>
      </c>
      <c r="C452" t="str">
        <f>IF(A452=1,RIGHT(D452,LEN(D452)-2),IF(A452=2,RIGHT(D452,LEN(D452)-3),IF(A452=3,RIGHT(D452,LEN(D452)-5),RIGHT(D452,LEN(D452)-6))))</f>
        <v>Sewerage</v>
      </c>
      <c r="D452" t="s">
        <v>1008</v>
      </c>
      <c r="E452" t="s">
        <v>40</v>
      </c>
      <c r="F452" t="s">
        <v>1009</v>
      </c>
    </row>
    <row r="453" spans="1:6" x14ac:dyDescent="0.35">
      <c r="A453">
        <v>4</v>
      </c>
      <c r="B453" t="s">
        <v>2336</v>
      </c>
      <c r="C453" t="str">
        <f>IF(A453=1,RIGHT(D453,LEN(D453)-2),IF(A453=2,RIGHT(D453,LEN(D453)-3),IF(A453=3,RIGHT(D453,LEN(D453)-5),RIGHT(D453,LEN(D453)-6))))</f>
        <v>Sewerage</v>
      </c>
      <c r="D453" t="s">
        <v>2337</v>
      </c>
      <c r="E453" t="s">
        <v>1007</v>
      </c>
      <c r="F453" t="s">
        <v>2338</v>
      </c>
    </row>
    <row r="454" spans="1:6" x14ac:dyDescent="0.35">
      <c r="A454">
        <v>2</v>
      </c>
      <c r="B454" t="s">
        <v>42</v>
      </c>
      <c r="C454" t="str">
        <f>IF(A454=1,RIGHT(D454,LEN(D454)-2),IF(A454=2,RIGHT(D454,LEN(D454)-3),IF(A454=3,RIGHT(D454,LEN(D454)-5),RIGHT(D454,LEN(D454)-6))))</f>
        <v>Waste collection, treatment and disposal activities; materials recovery</v>
      </c>
      <c r="D454" t="s">
        <v>491</v>
      </c>
      <c r="E454" t="s">
        <v>353</v>
      </c>
      <c r="F454" t="s">
        <v>492</v>
      </c>
    </row>
    <row r="455" spans="1:6" x14ac:dyDescent="0.35">
      <c r="A455">
        <v>3</v>
      </c>
      <c r="B455" t="s">
        <v>1010</v>
      </c>
      <c r="C455" t="str">
        <f>IF(A455=1,RIGHT(D455,LEN(D455)-2),IF(A455=2,RIGHT(D455,LEN(D455)-3),IF(A455=3,RIGHT(D455,LEN(D455)-5),RIGHT(D455,LEN(D455)-6))))</f>
        <v>Waste collection</v>
      </c>
      <c r="D455" t="s">
        <v>1011</v>
      </c>
      <c r="E455" t="s">
        <v>42</v>
      </c>
      <c r="F455" t="s">
        <v>1012</v>
      </c>
    </row>
    <row r="456" spans="1:6" x14ac:dyDescent="0.35">
      <c r="A456">
        <v>4</v>
      </c>
      <c r="B456" t="s">
        <v>2339</v>
      </c>
      <c r="C456" t="str">
        <f>IF(A456=1,RIGHT(D456,LEN(D456)-2),IF(A456=2,RIGHT(D456,LEN(D456)-3),IF(A456=3,RIGHT(D456,LEN(D456)-5),RIGHT(D456,LEN(D456)-6))))</f>
        <v>Collection of non-hazardous waste</v>
      </c>
      <c r="D456" t="s">
        <v>2340</v>
      </c>
      <c r="E456" t="s">
        <v>1010</v>
      </c>
      <c r="F456" t="s">
        <v>2341</v>
      </c>
    </row>
    <row r="457" spans="1:6" x14ac:dyDescent="0.35">
      <c r="A457">
        <v>4</v>
      </c>
      <c r="B457" t="s">
        <v>2342</v>
      </c>
      <c r="C457" t="str">
        <f>IF(A457=1,RIGHT(D457,LEN(D457)-2),IF(A457=2,RIGHT(D457,LEN(D457)-3),IF(A457=3,RIGHT(D457,LEN(D457)-5),RIGHT(D457,LEN(D457)-6))))</f>
        <v>Collection of hazardous waste</v>
      </c>
      <c r="D457" t="s">
        <v>2343</v>
      </c>
      <c r="E457" t="s">
        <v>1010</v>
      </c>
      <c r="F457" t="s">
        <v>2344</v>
      </c>
    </row>
    <row r="458" spans="1:6" x14ac:dyDescent="0.35">
      <c r="A458">
        <v>3</v>
      </c>
      <c r="B458" t="s">
        <v>1013</v>
      </c>
      <c r="C458" t="str">
        <f>IF(A458=1,RIGHT(D458,LEN(D458)-2),IF(A458=2,RIGHT(D458,LEN(D458)-3),IF(A458=3,RIGHT(D458,LEN(D458)-5),RIGHT(D458,LEN(D458)-6))))</f>
        <v>Waste treatment and disposal</v>
      </c>
      <c r="D458" t="s">
        <v>1014</v>
      </c>
      <c r="E458" t="s">
        <v>42</v>
      </c>
      <c r="F458" t="s">
        <v>1015</v>
      </c>
    </row>
    <row r="459" spans="1:6" x14ac:dyDescent="0.35">
      <c r="A459">
        <v>4</v>
      </c>
      <c r="B459" t="s">
        <v>2345</v>
      </c>
      <c r="C459" t="str">
        <f>IF(A459=1,RIGHT(D459,LEN(D459)-2),IF(A459=2,RIGHT(D459,LEN(D459)-3),IF(A459=3,RIGHT(D459,LEN(D459)-5),RIGHT(D459,LEN(D459)-6))))</f>
        <v>Treatment and disposal of non-hazardous waste</v>
      </c>
      <c r="D459" t="s">
        <v>2346</v>
      </c>
      <c r="E459" t="s">
        <v>1013</v>
      </c>
      <c r="F459" t="s">
        <v>2347</v>
      </c>
    </row>
    <row r="460" spans="1:6" x14ac:dyDescent="0.35">
      <c r="A460">
        <v>4</v>
      </c>
      <c r="B460" t="s">
        <v>2348</v>
      </c>
      <c r="C460" t="str">
        <f>IF(A460=1,RIGHT(D460,LEN(D460)-2),IF(A460=2,RIGHT(D460,LEN(D460)-3),IF(A460=3,RIGHT(D460,LEN(D460)-5),RIGHT(D460,LEN(D460)-6))))</f>
        <v>Treatment and disposal of hazardous waste</v>
      </c>
      <c r="D460" t="s">
        <v>2349</v>
      </c>
      <c r="E460" t="s">
        <v>1013</v>
      </c>
      <c r="F460" t="s">
        <v>2350</v>
      </c>
    </row>
    <row r="461" spans="1:6" x14ac:dyDescent="0.35">
      <c r="A461">
        <v>3</v>
      </c>
      <c r="B461" t="s">
        <v>1016</v>
      </c>
      <c r="C461" t="str">
        <f>IF(A461=1,RIGHT(D461,LEN(D461)-2),IF(A461=2,RIGHT(D461,LEN(D461)-3),IF(A461=3,RIGHT(D461,LEN(D461)-5),RIGHT(D461,LEN(D461)-6))))</f>
        <v>Materials recovery</v>
      </c>
      <c r="D461" t="s">
        <v>1017</v>
      </c>
      <c r="E461" t="s">
        <v>42</v>
      </c>
      <c r="F461" t="s">
        <v>1018</v>
      </c>
    </row>
    <row r="462" spans="1:6" x14ac:dyDescent="0.35">
      <c r="A462">
        <v>4</v>
      </c>
      <c r="B462" t="s">
        <v>2351</v>
      </c>
      <c r="C462" t="str">
        <f>IF(A462=1,RIGHT(D462,LEN(D462)-2),IF(A462=2,RIGHT(D462,LEN(D462)-3),IF(A462=3,RIGHT(D462,LEN(D462)-5),RIGHT(D462,LEN(D462)-6))))</f>
        <v>Dismantling of wrecks</v>
      </c>
      <c r="D462" t="s">
        <v>2352</v>
      </c>
      <c r="E462" t="s">
        <v>1016</v>
      </c>
      <c r="F462" t="s">
        <v>2353</v>
      </c>
    </row>
    <row r="463" spans="1:6" x14ac:dyDescent="0.35">
      <c r="A463">
        <v>4</v>
      </c>
      <c r="B463" t="s">
        <v>2354</v>
      </c>
      <c r="C463" t="str">
        <f>IF(A463=1,RIGHT(D463,LEN(D463)-2),IF(A463=2,RIGHT(D463,LEN(D463)-3),IF(A463=3,RIGHT(D463,LEN(D463)-5),RIGHT(D463,LEN(D463)-6))))</f>
        <v>Recovery of sorted materials</v>
      </c>
      <c r="D463" t="s">
        <v>2355</v>
      </c>
      <c r="E463" t="s">
        <v>1016</v>
      </c>
      <c r="F463" t="s">
        <v>2356</v>
      </c>
    </row>
    <row r="464" spans="1:6" x14ac:dyDescent="0.35">
      <c r="A464">
        <v>2</v>
      </c>
      <c r="B464" t="s">
        <v>44</v>
      </c>
      <c r="C464" t="str">
        <f>IF(A464=1,RIGHT(D464,LEN(D464)-2),IF(A464=2,RIGHT(D464,LEN(D464)-3),IF(A464=3,RIGHT(D464,LEN(D464)-5),RIGHT(D464,LEN(D464)-6))))</f>
        <v>Remediation activities and other waste management services</v>
      </c>
      <c r="D464" t="s">
        <v>493</v>
      </c>
      <c r="E464" t="s">
        <v>353</v>
      </c>
      <c r="F464" t="s">
        <v>494</v>
      </c>
    </row>
    <row r="465" spans="1:6" x14ac:dyDescent="0.35">
      <c r="A465">
        <v>3</v>
      </c>
      <c r="B465" t="s">
        <v>1019</v>
      </c>
      <c r="C465" t="str">
        <f>IF(A465=1,RIGHT(D465,LEN(D465)-2),IF(A465=2,RIGHT(D465,LEN(D465)-3),IF(A465=3,RIGHT(D465,LEN(D465)-5),RIGHT(D465,LEN(D465)-6))))</f>
        <v>Remediation activities and other waste management services</v>
      </c>
      <c r="D465" t="s">
        <v>1020</v>
      </c>
      <c r="E465" t="s">
        <v>44</v>
      </c>
      <c r="F465" t="s">
        <v>1021</v>
      </c>
    </row>
    <row r="466" spans="1:6" x14ac:dyDescent="0.35">
      <c r="A466">
        <v>4</v>
      </c>
      <c r="B466" t="s">
        <v>2357</v>
      </c>
      <c r="C466" t="str">
        <f>IF(A466=1,RIGHT(D466,LEN(D466)-2),IF(A466=2,RIGHT(D466,LEN(D466)-3),IF(A466=3,RIGHT(D466,LEN(D466)-5),RIGHT(D466,LEN(D466)-6))))</f>
        <v>Remediation activities and other waste management services</v>
      </c>
      <c r="D466" t="s">
        <v>2358</v>
      </c>
      <c r="E466" t="s">
        <v>1019</v>
      </c>
      <c r="F466" t="s">
        <v>2359</v>
      </c>
    </row>
    <row r="467" spans="1:6" x14ac:dyDescent="0.35">
      <c r="A467">
        <v>2</v>
      </c>
      <c r="B467" t="s">
        <v>48</v>
      </c>
      <c r="C467" t="str">
        <f>IF(A467=1,RIGHT(D467,LEN(D467)-2),IF(A467=2,RIGHT(D467,LEN(D467)-3),IF(A467=3,RIGHT(D467,LEN(D467)-5),RIGHT(D467,LEN(D467)-6))))</f>
        <v>Construction of buildings</v>
      </c>
      <c r="D467" t="s">
        <v>495</v>
      </c>
      <c r="E467" t="s">
        <v>356</v>
      </c>
      <c r="F467" t="s">
        <v>496</v>
      </c>
    </row>
    <row r="468" spans="1:6" x14ac:dyDescent="0.35">
      <c r="A468">
        <v>3</v>
      </c>
      <c r="B468" t="s">
        <v>1022</v>
      </c>
      <c r="C468" t="str">
        <f>IF(A468=1,RIGHT(D468,LEN(D468)-2),IF(A468=2,RIGHT(D468,LEN(D468)-3),IF(A468=3,RIGHT(D468,LEN(D468)-5),RIGHT(D468,LEN(D468)-6))))</f>
        <v>Development of building projects</v>
      </c>
      <c r="D468" t="s">
        <v>1023</v>
      </c>
      <c r="E468" t="s">
        <v>48</v>
      </c>
      <c r="F468" t="s">
        <v>1024</v>
      </c>
    </row>
    <row r="469" spans="1:6" x14ac:dyDescent="0.35">
      <c r="A469">
        <v>4</v>
      </c>
      <c r="B469" t="s">
        <v>2360</v>
      </c>
      <c r="C469" t="str">
        <f>IF(A469=1,RIGHT(D469,LEN(D469)-2),IF(A469=2,RIGHT(D469,LEN(D469)-3),IF(A469=3,RIGHT(D469,LEN(D469)-5),RIGHT(D469,LEN(D469)-6))))</f>
        <v>Development of building projects</v>
      </c>
      <c r="D469" t="s">
        <v>2361</v>
      </c>
      <c r="E469" t="s">
        <v>1022</v>
      </c>
      <c r="F469" t="s">
        <v>2362</v>
      </c>
    </row>
    <row r="470" spans="1:6" x14ac:dyDescent="0.35">
      <c r="A470">
        <v>3</v>
      </c>
      <c r="B470" t="s">
        <v>1025</v>
      </c>
      <c r="C470" t="str">
        <f>IF(A470=1,RIGHT(D470,LEN(D470)-2),IF(A470=2,RIGHT(D470,LEN(D470)-3),IF(A470=3,RIGHT(D470,LEN(D470)-5),RIGHT(D470,LEN(D470)-6))))</f>
        <v>Construction of residential and non-residential buildings</v>
      </c>
      <c r="D470" t="s">
        <v>1026</v>
      </c>
      <c r="E470" t="s">
        <v>48</v>
      </c>
      <c r="F470" t="s">
        <v>1027</v>
      </c>
    </row>
    <row r="471" spans="1:6" x14ac:dyDescent="0.35">
      <c r="A471">
        <v>4</v>
      </c>
      <c r="B471" t="s">
        <v>2363</v>
      </c>
      <c r="C471" t="str">
        <f>IF(A471=1,RIGHT(D471,LEN(D471)-2),IF(A471=2,RIGHT(D471,LEN(D471)-3),IF(A471=3,RIGHT(D471,LEN(D471)-5),RIGHT(D471,LEN(D471)-6))))</f>
        <v>Construction of residential and non-residential buildings</v>
      </c>
      <c r="D471" t="s">
        <v>2364</v>
      </c>
      <c r="E471" t="s">
        <v>1025</v>
      </c>
      <c r="F471" t="s">
        <v>2365</v>
      </c>
    </row>
    <row r="472" spans="1:6" x14ac:dyDescent="0.35">
      <c r="A472">
        <v>2</v>
      </c>
      <c r="B472" t="s">
        <v>50</v>
      </c>
      <c r="C472" t="str">
        <f>IF(A472=1,RIGHT(D472,LEN(D472)-2),IF(A472=2,RIGHT(D472,LEN(D472)-3),IF(A472=3,RIGHT(D472,LEN(D472)-5),RIGHT(D472,LEN(D472)-6))))</f>
        <v>Civil engineering</v>
      </c>
      <c r="D472" t="s">
        <v>497</v>
      </c>
      <c r="E472" t="s">
        <v>356</v>
      </c>
      <c r="F472" t="s">
        <v>498</v>
      </c>
    </row>
    <row r="473" spans="1:6" x14ac:dyDescent="0.35">
      <c r="A473">
        <v>3</v>
      </c>
      <c r="B473" t="s">
        <v>1028</v>
      </c>
      <c r="C473" t="str">
        <f>IF(A473=1,RIGHT(D473,LEN(D473)-2),IF(A473=2,RIGHT(D473,LEN(D473)-3),IF(A473=3,RIGHT(D473,LEN(D473)-5),RIGHT(D473,LEN(D473)-6))))</f>
        <v>Construction of roads and railways</v>
      </c>
      <c r="D473" t="s">
        <v>1029</v>
      </c>
      <c r="E473" t="s">
        <v>50</v>
      </c>
      <c r="F473" t="s">
        <v>1030</v>
      </c>
    </row>
    <row r="474" spans="1:6" x14ac:dyDescent="0.35">
      <c r="A474">
        <v>4</v>
      </c>
      <c r="B474" t="s">
        <v>2366</v>
      </c>
      <c r="C474" t="str">
        <f>IF(A474=1,RIGHT(D474,LEN(D474)-2),IF(A474=2,RIGHT(D474,LEN(D474)-3),IF(A474=3,RIGHT(D474,LEN(D474)-5),RIGHT(D474,LEN(D474)-6))))</f>
        <v>Construction of roads and motorways</v>
      </c>
      <c r="D474" t="s">
        <v>2367</v>
      </c>
      <c r="E474" t="s">
        <v>1028</v>
      </c>
      <c r="F474" t="s">
        <v>2368</v>
      </c>
    </row>
    <row r="475" spans="1:6" x14ac:dyDescent="0.35">
      <c r="A475">
        <v>4</v>
      </c>
      <c r="B475" t="s">
        <v>2369</v>
      </c>
      <c r="C475" t="str">
        <f>IF(A475=1,RIGHT(D475,LEN(D475)-2),IF(A475=2,RIGHT(D475,LEN(D475)-3),IF(A475=3,RIGHT(D475,LEN(D475)-5),RIGHT(D475,LEN(D475)-6))))</f>
        <v>Construction of railways and underground railways</v>
      </c>
      <c r="D475" t="s">
        <v>2370</v>
      </c>
      <c r="E475" t="s">
        <v>1028</v>
      </c>
      <c r="F475" t="s">
        <v>2371</v>
      </c>
    </row>
    <row r="476" spans="1:6" x14ac:dyDescent="0.35">
      <c r="A476">
        <v>4</v>
      </c>
      <c r="B476" t="s">
        <v>2372</v>
      </c>
      <c r="C476" t="str">
        <f>IF(A476=1,RIGHT(D476,LEN(D476)-2),IF(A476=2,RIGHT(D476,LEN(D476)-3),IF(A476=3,RIGHT(D476,LEN(D476)-5),RIGHT(D476,LEN(D476)-6))))</f>
        <v>Construction of bridges and tunnels</v>
      </c>
      <c r="D476" t="s">
        <v>2373</v>
      </c>
      <c r="E476" t="s">
        <v>1028</v>
      </c>
      <c r="F476" t="s">
        <v>2374</v>
      </c>
    </row>
    <row r="477" spans="1:6" x14ac:dyDescent="0.35">
      <c r="A477">
        <v>3</v>
      </c>
      <c r="B477" t="s">
        <v>1031</v>
      </c>
      <c r="C477" t="str">
        <f>IF(A477=1,RIGHT(D477,LEN(D477)-2),IF(A477=2,RIGHT(D477,LEN(D477)-3),IF(A477=3,RIGHT(D477,LEN(D477)-5),RIGHT(D477,LEN(D477)-6))))</f>
        <v>Construction of utility projects</v>
      </c>
      <c r="D477" t="s">
        <v>1032</v>
      </c>
      <c r="E477" t="s">
        <v>50</v>
      </c>
      <c r="F477" t="s">
        <v>1033</v>
      </c>
    </row>
    <row r="478" spans="1:6" x14ac:dyDescent="0.35">
      <c r="A478">
        <v>4</v>
      </c>
      <c r="B478" t="s">
        <v>2375</v>
      </c>
      <c r="C478" t="str">
        <f>IF(A478=1,RIGHT(D478,LEN(D478)-2),IF(A478=2,RIGHT(D478,LEN(D478)-3),IF(A478=3,RIGHT(D478,LEN(D478)-5),RIGHT(D478,LEN(D478)-6))))</f>
        <v>Construction of utility projects for fluids</v>
      </c>
      <c r="D478" t="s">
        <v>2376</v>
      </c>
      <c r="E478" t="s">
        <v>1031</v>
      </c>
      <c r="F478" t="s">
        <v>2377</v>
      </c>
    </row>
    <row r="479" spans="1:6" x14ac:dyDescent="0.35">
      <c r="A479">
        <v>4</v>
      </c>
      <c r="B479" t="s">
        <v>2378</v>
      </c>
      <c r="C479" t="str">
        <f>IF(A479=1,RIGHT(D479,LEN(D479)-2),IF(A479=2,RIGHT(D479,LEN(D479)-3),IF(A479=3,RIGHT(D479,LEN(D479)-5),RIGHT(D479,LEN(D479)-6))))</f>
        <v>Construction of utility projects for electricity and telecommunications</v>
      </c>
      <c r="D479" t="s">
        <v>2379</v>
      </c>
      <c r="E479" t="s">
        <v>1031</v>
      </c>
      <c r="F479" t="s">
        <v>2380</v>
      </c>
    </row>
    <row r="480" spans="1:6" x14ac:dyDescent="0.35">
      <c r="A480">
        <v>3</v>
      </c>
      <c r="B480" t="s">
        <v>1034</v>
      </c>
      <c r="C480" t="str">
        <f>IF(A480=1,RIGHT(D480,LEN(D480)-2),IF(A480=2,RIGHT(D480,LEN(D480)-3),IF(A480=3,RIGHT(D480,LEN(D480)-5),RIGHT(D480,LEN(D480)-6))))</f>
        <v>Construction of other civil engineering projects</v>
      </c>
      <c r="D480" t="s">
        <v>1035</v>
      </c>
      <c r="E480" t="s">
        <v>50</v>
      </c>
      <c r="F480" t="s">
        <v>1036</v>
      </c>
    </row>
    <row r="481" spans="1:6" x14ac:dyDescent="0.35">
      <c r="A481">
        <v>4</v>
      </c>
      <c r="B481" t="s">
        <v>2381</v>
      </c>
      <c r="C481" t="str">
        <f>IF(A481=1,RIGHT(D481,LEN(D481)-2),IF(A481=2,RIGHT(D481,LEN(D481)-3),IF(A481=3,RIGHT(D481,LEN(D481)-5),RIGHT(D481,LEN(D481)-6))))</f>
        <v>Construction of water projects</v>
      </c>
      <c r="D481" t="s">
        <v>2382</v>
      </c>
      <c r="E481" t="s">
        <v>1034</v>
      </c>
      <c r="F481" t="s">
        <v>2383</v>
      </c>
    </row>
    <row r="482" spans="1:6" x14ac:dyDescent="0.35">
      <c r="A482">
        <v>4</v>
      </c>
      <c r="B482" t="s">
        <v>2384</v>
      </c>
      <c r="C482" t="str">
        <f>IF(A482=1,RIGHT(D482,LEN(D482)-2),IF(A482=2,RIGHT(D482,LEN(D482)-3),IF(A482=3,RIGHT(D482,LEN(D482)-5),RIGHT(D482,LEN(D482)-6))))</f>
        <v>Construction of other civil engineering projects n.e.c.</v>
      </c>
      <c r="D482" t="s">
        <v>2385</v>
      </c>
      <c r="E482" t="s">
        <v>1034</v>
      </c>
      <c r="F482" t="s">
        <v>2386</v>
      </c>
    </row>
    <row r="483" spans="1:6" x14ac:dyDescent="0.35">
      <c r="A483">
        <v>2</v>
      </c>
      <c r="B483" t="s">
        <v>52</v>
      </c>
      <c r="C483" t="str">
        <f>IF(A483=1,RIGHT(D483,LEN(D483)-2),IF(A483=2,RIGHT(D483,LEN(D483)-3),IF(A483=3,RIGHT(D483,LEN(D483)-5),RIGHT(D483,LEN(D483)-6))))</f>
        <v>Specialised construction activities</v>
      </c>
      <c r="D483" t="s">
        <v>499</v>
      </c>
      <c r="E483" t="s">
        <v>356</v>
      </c>
      <c r="F483" t="s">
        <v>500</v>
      </c>
    </row>
    <row r="484" spans="1:6" x14ac:dyDescent="0.35">
      <c r="A484">
        <v>3</v>
      </c>
      <c r="B484" t="s">
        <v>1037</v>
      </c>
      <c r="C484" t="str">
        <f>IF(A484=1,RIGHT(D484,LEN(D484)-2),IF(A484=2,RIGHT(D484,LEN(D484)-3),IF(A484=3,RIGHT(D484,LEN(D484)-5),RIGHT(D484,LEN(D484)-6))))</f>
        <v>Demolition and site preparation</v>
      </c>
      <c r="D484" t="s">
        <v>1038</v>
      </c>
      <c r="E484" t="s">
        <v>52</v>
      </c>
      <c r="F484" t="s">
        <v>1039</v>
      </c>
    </row>
    <row r="485" spans="1:6" x14ac:dyDescent="0.35">
      <c r="A485">
        <v>4</v>
      </c>
      <c r="B485" t="s">
        <v>2387</v>
      </c>
      <c r="C485" t="str">
        <f>IF(A485=1,RIGHT(D485,LEN(D485)-2),IF(A485=2,RIGHT(D485,LEN(D485)-3),IF(A485=3,RIGHT(D485,LEN(D485)-5),RIGHT(D485,LEN(D485)-6))))</f>
        <v>Demolition</v>
      </c>
      <c r="D485" t="s">
        <v>2388</v>
      </c>
      <c r="E485" t="s">
        <v>1037</v>
      </c>
      <c r="F485" t="s">
        <v>2389</v>
      </c>
    </row>
    <row r="486" spans="1:6" x14ac:dyDescent="0.35">
      <c r="A486">
        <v>4</v>
      </c>
      <c r="B486" t="s">
        <v>2390</v>
      </c>
      <c r="C486" t="str">
        <f>IF(A486=1,RIGHT(D486,LEN(D486)-2),IF(A486=2,RIGHT(D486,LEN(D486)-3),IF(A486=3,RIGHT(D486,LEN(D486)-5),RIGHT(D486,LEN(D486)-6))))</f>
        <v>Site preparation</v>
      </c>
      <c r="D486" t="s">
        <v>2391</v>
      </c>
      <c r="E486" t="s">
        <v>1037</v>
      </c>
      <c r="F486" t="s">
        <v>2392</v>
      </c>
    </row>
    <row r="487" spans="1:6" x14ac:dyDescent="0.35">
      <c r="A487">
        <v>4</v>
      </c>
      <c r="B487" t="s">
        <v>2393</v>
      </c>
      <c r="C487" t="str">
        <f>IF(A487=1,RIGHT(D487,LEN(D487)-2),IF(A487=2,RIGHT(D487,LEN(D487)-3),IF(A487=3,RIGHT(D487,LEN(D487)-5),RIGHT(D487,LEN(D487)-6))))</f>
        <v>Test drilling and boring</v>
      </c>
      <c r="D487" t="s">
        <v>2394</v>
      </c>
      <c r="E487" t="s">
        <v>1037</v>
      </c>
      <c r="F487" t="s">
        <v>2395</v>
      </c>
    </row>
    <row r="488" spans="1:6" x14ac:dyDescent="0.35">
      <c r="A488">
        <v>3</v>
      </c>
      <c r="B488" t="s">
        <v>1040</v>
      </c>
      <c r="C488" t="str">
        <f>IF(A488=1,RIGHT(D488,LEN(D488)-2),IF(A488=2,RIGHT(D488,LEN(D488)-3),IF(A488=3,RIGHT(D488,LEN(D488)-5),RIGHT(D488,LEN(D488)-6))))</f>
        <v>Electrical, plumbing and other construction installation activities</v>
      </c>
      <c r="D488" t="s">
        <v>1041</v>
      </c>
      <c r="E488" t="s">
        <v>52</v>
      </c>
      <c r="F488" t="s">
        <v>1042</v>
      </c>
    </row>
    <row r="489" spans="1:6" x14ac:dyDescent="0.35">
      <c r="A489">
        <v>4</v>
      </c>
      <c r="B489" t="s">
        <v>2396</v>
      </c>
      <c r="C489" t="str">
        <f>IF(A489=1,RIGHT(D489,LEN(D489)-2),IF(A489=2,RIGHT(D489,LEN(D489)-3),IF(A489=3,RIGHT(D489,LEN(D489)-5),RIGHT(D489,LEN(D489)-6))))</f>
        <v>Electrical installation</v>
      </c>
      <c r="D489" t="s">
        <v>2397</v>
      </c>
      <c r="E489" t="s">
        <v>1040</v>
      </c>
      <c r="F489" t="s">
        <v>2398</v>
      </c>
    </row>
    <row r="490" spans="1:6" x14ac:dyDescent="0.35">
      <c r="A490">
        <v>4</v>
      </c>
      <c r="B490" t="s">
        <v>2399</v>
      </c>
      <c r="C490" t="str">
        <f>IF(A490=1,RIGHT(D490,LEN(D490)-2),IF(A490=2,RIGHT(D490,LEN(D490)-3),IF(A490=3,RIGHT(D490,LEN(D490)-5),RIGHT(D490,LEN(D490)-6))))</f>
        <v>Plumbing, heat and air-conditioning installation</v>
      </c>
      <c r="D490" t="s">
        <v>2400</v>
      </c>
      <c r="E490" t="s">
        <v>1040</v>
      </c>
      <c r="F490" t="s">
        <v>2401</v>
      </c>
    </row>
    <row r="491" spans="1:6" x14ac:dyDescent="0.35">
      <c r="A491">
        <v>4</v>
      </c>
      <c r="B491" t="s">
        <v>2402</v>
      </c>
      <c r="C491" t="str">
        <f>IF(A491=1,RIGHT(D491,LEN(D491)-2),IF(A491=2,RIGHT(D491,LEN(D491)-3),IF(A491=3,RIGHT(D491,LEN(D491)-5),RIGHT(D491,LEN(D491)-6))))</f>
        <v>Other construction installation</v>
      </c>
      <c r="D491" t="s">
        <v>2403</v>
      </c>
      <c r="E491" t="s">
        <v>1040</v>
      </c>
      <c r="F491" t="s">
        <v>2404</v>
      </c>
    </row>
    <row r="492" spans="1:6" x14ac:dyDescent="0.35">
      <c r="A492">
        <v>3</v>
      </c>
      <c r="B492" t="s">
        <v>1043</v>
      </c>
      <c r="C492" t="str">
        <f>IF(A492=1,RIGHT(D492,LEN(D492)-2),IF(A492=2,RIGHT(D492,LEN(D492)-3),IF(A492=3,RIGHT(D492,LEN(D492)-5),RIGHT(D492,LEN(D492)-6))))</f>
        <v>Building completion and finishing</v>
      </c>
      <c r="D492" t="s">
        <v>1044</v>
      </c>
      <c r="E492" t="s">
        <v>52</v>
      </c>
      <c r="F492" t="s">
        <v>1045</v>
      </c>
    </row>
    <row r="493" spans="1:6" x14ac:dyDescent="0.35">
      <c r="A493">
        <v>4</v>
      </c>
      <c r="B493" t="s">
        <v>2405</v>
      </c>
      <c r="C493" t="str">
        <f>IF(A493=1,RIGHT(D493,LEN(D493)-2),IF(A493=2,RIGHT(D493,LEN(D493)-3),IF(A493=3,RIGHT(D493,LEN(D493)-5),RIGHT(D493,LEN(D493)-6))))</f>
        <v>Plastering</v>
      </c>
      <c r="D493" t="s">
        <v>2406</v>
      </c>
      <c r="E493" t="s">
        <v>1043</v>
      </c>
      <c r="F493" t="s">
        <v>2407</v>
      </c>
    </row>
    <row r="494" spans="1:6" x14ac:dyDescent="0.35">
      <c r="A494">
        <v>4</v>
      </c>
      <c r="B494" t="s">
        <v>2408</v>
      </c>
      <c r="C494" t="str">
        <f>IF(A494=1,RIGHT(D494,LEN(D494)-2),IF(A494=2,RIGHT(D494,LEN(D494)-3),IF(A494=3,RIGHT(D494,LEN(D494)-5),RIGHT(D494,LEN(D494)-6))))</f>
        <v>Joinery installation</v>
      </c>
      <c r="D494" t="s">
        <v>2409</v>
      </c>
      <c r="E494" t="s">
        <v>1043</v>
      </c>
      <c r="F494" t="s">
        <v>2410</v>
      </c>
    </row>
    <row r="495" spans="1:6" x14ac:dyDescent="0.35">
      <c r="A495">
        <v>4</v>
      </c>
      <c r="B495" t="s">
        <v>2411</v>
      </c>
      <c r="C495" t="str">
        <f>IF(A495=1,RIGHT(D495,LEN(D495)-2),IF(A495=2,RIGHT(D495,LEN(D495)-3),IF(A495=3,RIGHT(D495,LEN(D495)-5),RIGHT(D495,LEN(D495)-6))))</f>
        <v>Floor and wall covering</v>
      </c>
      <c r="D495" t="s">
        <v>2412</v>
      </c>
      <c r="E495" t="s">
        <v>1043</v>
      </c>
      <c r="F495" t="s">
        <v>2413</v>
      </c>
    </row>
    <row r="496" spans="1:6" x14ac:dyDescent="0.35">
      <c r="A496">
        <v>4</v>
      </c>
      <c r="B496" t="s">
        <v>2414</v>
      </c>
      <c r="C496" t="str">
        <f>IF(A496=1,RIGHT(D496,LEN(D496)-2),IF(A496=2,RIGHT(D496,LEN(D496)-3),IF(A496=3,RIGHT(D496,LEN(D496)-5),RIGHT(D496,LEN(D496)-6))))</f>
        <v>Painting and glazing</v>
      </c>
      <c r="D496" t="s">
        <v>2415</v>
      </c>
      <c r="E496" t="s">
        <v>1043</v>
      </c>
      <c r="F496" t="s">
        <v>2416</v>
      </c>
    </row>
    <row r="497" spans="1:6" x14ac:dyDescent="0.35">
      <c r="A497">
        <v>4</v>
      </c>
      <c r="B497" t="s">
        <v>2417</v>
      </c>
      <c r="C497" t="str">
        <f>IF(A497=1,RIGHT(D497,LEN(D497)-2),IF(A497=2,RIGHT(D497,LEN(D497)-3),IF(A497=3,RIGHT(D497,LEN(D497)-5),RIGHT(D497,LEN(D497)-6))))</f>
        <v>Other building completion and finishing</v>
      </c>
      <c r="D497" t="s">
        <v>2418</v>
      </c>
      <c r="E497" t="s">
        <v>1043</v>
      </c>
      <c r="F497" t="s">
        <v>2419</v>
      </c>
    </row>
    <row r="498" spans="1:6" x14ac:dyDescent="0.35">
      <c r="A498">
        <v>3</v>
      </c>
      <c r="B498" t="s">
        <v>1046</v>
      </c>
      <c r="C498" t="str">
        <f>IF(A498=1,RIGHT(D498,LEN(D498)-2),IF(A498=2,RIGHT(D498,LEN(D498)-3),IF(A498=3,RIGHT(D498,LEN(D498)-5),RIGHT(D498,LEN(D498)-6))))</f>
        <v>Other specialised construction activities</v>
      </c>
      <c r="D498" t="s">
        <v>1047</v>
      </c>
      <c r="E498" t="s">
        <v>52</v>
      </c>
      <c r="F498" t="s">
        <v>1048</v>
      </c>
    </row>
    <row r="499" spans="1:6" x14ac:dyDescent="0.35">
      <c r="A499">
        <v>4</v>
      </c>
      <c r="B499" t="s">
        <v>2420</v>
      </c>
      <c r="C499" t="str">
        <f>IF(A499=1,RIGHT(D499,LEN(D499)-2),IF(A499=2,RIGHT(D499,LEN(D499)-3),IF(A499=3,RIGHT(D499,LEN(D499)-5),RIGHT(D499,LEN(D499)-6))))</f>
        <v>Roofing activities</v>
      </c>
      <c r="D499" t="s">
        <v>2421</v>
      </c>
      <c r="E499" t="s">
        <v>1046</v>
      </c>
      <c r="F499" t="s">
        <v>2422</v>
      </c>
    </row>
    <row r="500" spans="1:6" x14ac:dyDescent="0.35">
      <c r="A500">
        <v>4</v>
      </c>
      <c r="B500" t="s">
        <v>2423</v>
      </c>
      <c r="C500" t="str">
        <f>IF(A500=1,RIGHT(D500,LEN(D500)-2),IF(A500=2,RIGHT(D500,LEN(D500)-3),IF(A500=3,RIGHT(D500,LEN(D500)-5),RIGHT(D500,LEN(D500)-6))))</f>
        <v>Other specialised construction activities n.e.c.</v>
      </c>
      <c r="D500" t="s">
        <v>2424</v>
      </c>
      <c r="E500" t="s">
        <v>1046</v>
      </c>
      <c r="F500" t="s">
        <v>2425</v>
      </c>
    </row>
    <row r="501" spans="1:6" x14ac:dyDescent="0.35">
      <c r="A501">
        <v>2</v>
      </c>
      <c r="B501" t="s">
        <v>56</v>
      </c>
      <c r="C501" t="str">
        <f>IF(A501=1,RIGHT(D501,LEN(D501)-2),IF(A501=2,RIGHT(D501,LEN(D501)-3),IF(A501=3,RIGHT(D501,LEN(D501)-5),RIGHT(D501,LEN(D501)-6))))</f>
        <v>Wholesale and retail trade and repair of motor vehicles and motorcycles</v>
      </c>
      <c r="D501" t="s">
        <v>501</v>
      </c>
      <c r="E501" t="s">
        <v>359</v>
      </c>
      <c r="F501" t="s">
        <v>502</v>
      </c>
    </row>
    <row r="502" spans="1:6" x14ac:dyDescent="0.35">
      <c r="A502">
        <v>3</v>
      </c>
      <c r="B502" t="s">
        <v>1049</v>
      </c>
      <c r="C502" t="str">
        <f>IF(A502=1,RIGHT(D502,LEN(D502)-2),IF(A502=2,RIGHT(D502,LEN(D502)-3),IF(A502=3,RIGHT(D502,LEN(D502)-5),RIGHT(D502,LEN(D502)-6))))</f>
        <v>Sale of motor vehicles</v>
      </c>
      <c r="D502" t="s">
        <v>1050</v>
      </c>
      <c r="E502" t="s">
        <v>56</v>
      </c>
      <c r="F502" t="s">
        <v>1051</v>
      </c>
    </row>
    <row r="503" spans="1:6" x14ac:dyDescent="0.35">
      <c r="A503">
        <v>4</v>
      </c>
      <c r="B503" t="s">
        <v>2426</v>
      </c>
      <c r="C503" t="str">
        <f>IF(A503=1,RIGHT(D503,LEN(D503)-2),IF(A503=2,RIGHT(D503,LEN(D503)-3),IF(A503=3,RIGHT(D503,LEN(D503)-5),RIGHT(D503,LEN(D503)-6))))</f>
        <v>Sale of cars and light motor vehicles</v>
      </c>
      <c r="D503" t="s">
        <v>2427</v>
      </c>
      <c r="E503" t="s">
        <v>1049</v>
      </c>
      <c r="F503" t="s">
        <v>2428</v>
      </c>
    </row>
    <row r="504" spans="1:6" x14ac:dyDescent="0.35">
      <c r="A504">
        <v>4</v>
      </c>
      <c r="B504" t="s">
        <v>2429</v>
      </c>
      <c r="C504" t="str">
        <f>IF(A504=1,RIGHT(D504,LEN(D504)-2),IF(A504=2,RIGHT(D504,LEN(D504)-3),IF(A504=3,RIGHT(D504,LEN(D504)-5),RIGHT(D504,LEN(D504)-6))))</f>
        <v>Sale of other motor vehicles</v>
      </c>
      <c r="D504" t="s">
        <v>2430</v>
      </c>
      <c r="E504" t="s">
        <v>1049</v>
      </c>
      <c r="F504" t="s">
        <v>2431</v>
      </c>
    </row>
    <row r="505" spans="1:6" x14ac:dyDescent="0.35">
      <c r="A505">
        <v>3</v>
      </c>
      <c r="B505" t="s">
        <v>1052</v>
      </c>
      <c r="C505" t="str">
        <f>IF(A505=1,RIGHT(D505,LEN(D505)-2),IF(A505=2,RIGHT(D505,LEN(D505)-3),IF(A505=3,RIGHT(D505,LEN(D505)-5),RIGHT(D505,LEN(D505)-6))))</f>
        <v>Maintenance and repair of motor vehicles</v>
      </c>
      <c r="D505" t="s">
        <v>1053</v>
      </c>
      <c r="E505" t="s">
        <v>56</v>
      </c>
      <c r="F505" t="s">
        <v>1054</v>
      </c>
    </row>
    <row r="506" spans="1:6" x14ac:dyDescent="0.35">
      <c r="A506">
        <v>4</v>
      </c>
      <c r="B506" t="s">
        <v>2432</v>
      </c>
      <c r="C506" t="str">
        <f>IF(A506=1,RIGHT(D506,LEN(D506)-2),IF(A506=2,RIGHT(D506,LEN(D506)-3),IF(A506=3,RIGHT(D506,LEN(D506)-5),RIGHT(D506,LEN(D506)-6))))</f>
        <v>Maintenance and repair of motor vehicles</v>
      </c>
      <c r="D506" t="s">
        <v>2433</v>
      </c>
      <c r="E506" t="s">
        <v>1052</v>
      </c>
      <c r="F506" t="s">
        <v>2434</v>
      </c>
    </row>
    <row r="507" spans="1:6" x14ac:dyDescent="0.35">
      <c r="A507">
        <v>3</v>
      </c>
      <c r="B507" t="s">
        <v>1055</v>
      </c>
      <c r="C507" t="str">
        <f>IF(A507=1,RIGHT(D507,LEN(D507)-2),IF(A507=2,RIGHT(D507,LEN(D507)-3),IF(A507=3,RIGHT(D507,LEN(D507)-5),RIGHT(D507,LEN(D507)-6))))</f>
        <v>Sale of motor vehicle parts and accessories</v>
      </c>
      <c r="D507" t="s">
        <v>1056</v>
      </c>
      <c r="E507" t="s">
        <v>56</v>
      </c>
      <c r="F507" t="s">
        <v>1057</v>
      </c>
    </row>
    <row r="508" spans="1:6" x14ac:dyDescent="0.35">
      <c r="A508">
        <v>4</v>
      </c>
      <c r="B508" t="s">
        <v>2435</v>
      </c>
      <c r="C508" t="str">
        <f>IF(A508=1,RIGHT(D508,LEN(D508)-2),IF(A508=2,RIGHT(D508,LEN(D508)-3),IF(A508=3,RIGHT(D508,LEN(D508)-5),RIGHT(D508,LEN(D508)-6))))</f>
        <v>Wholesale trade of motor vehicle parts and accessories</v>
      </c>
      <c r="D508" t="s">
        <v>2436</v>
      </c>
      <c r="E508" t="s">
        <v>1055</v>
      </c>
      <c r="F508" t="s">
        <v>2437</v>
      </c>
    </row>
    <row r="509" spans="1:6" x14ac:dyDescent="0.35">
      <c r="A509">
        <v>4</v>
      </c>
      <c r="B509" t="s">
        <v>2438</v>
      </c>
      <c r="C509" t="str">
        <f>IF(A509=1,RIGHT(D509,LEN(D509)-2),IF(A509=2,RIGHT(D509,LEN(D509)-3),IF(A509=3,RIGHT(D509,LEN(D509)-5),RIGHT(D509,LEN(D509)-6))))</f>
        <v>Retail trade of motor vehicle parts and accessories</v>
      </c>
      <c r="D509" t="s">
        <v>2439</v>
      </c>
      <c r="E509" t="s">
        <v>1055</v>
      </c>
      <c r="F509" t="s">
        <v>2440</v>
      </c>
    </row>
    <row r="510" spans="1:6" x14ac:dyDescent="0.35">
      <c r="A510">
        <v>3</v>
      </c>
      <c r="B510" t="s">
        <v>1058</v>
      </c>
      <c r="C510" t="str">
        <f>IF(A510=1,RIGHT(D510,LEN(D510)-2),IF(A510=2,RIGHT(D510,LEN(D510)-3),IF(A510=3,RIGHT(D510,LEN(D510)-5),RIGHT(D510,LEN(D510)-6))))</f>
        <v>Sale, maintenance and repair of motorcycles and related parts and accessories</v>
      </c>
      <c r="D510" t="s">
        <v>1059</v>
      </c>
      <c r="E510" t="s">
        <v>56</v>
      </c>
      <c r="F510" t="s">
        <v>1060</v>
      </c>
    </row>
    <row r="511" spans="1:6" x14ac:dyDescent="0.35">
      <c r="A511">
        <v>4</v>
      </c>
      <c r="B511" t="s">
        <v>2441</v>
      </c>
      <c r="C511" t="str">
        <f>IF(A511=1,RIGHT(D511,LEN(D511)-2),IF(A511=2,RIGHT(D511,LEN(D511)-3),IF(A511=3,RIGHT(D511,LEN(D511)-5),RIGHT(D511,LEN(D511)-6))))</f>
        <v>Sale, maintenance and repair of motorcycles and related parts and accessories</v>
      </c>
      <c r="D511" t="s">
        <v>2442</v>
      </c>
      <c r="E511" t="s">
        <v>1058</v>
      </c>
      <c r="F511" t="s">
        <v>2443</v>
      </c>
    </row>
    <row r="512" spans="1:6" x14ac:dyDescent="0.35">
      <c r="A512">
        <v>2</v>
      </c>
      <c r="B512" t="s">
        <v>503</v>
      </c>
      <c r="C512" t="str">
        <f>IF(A512=1,RIGHT(D512,LEN(D512)-2),IF(A512=2,RIGHT(D512,LEN(D512)-3),IF(A512=3,RIGHT(D512,LEN(D512)-5),RIGHT(D512,LEN(D512)-6))))</f>
        <v>Wholesale trade, except of motor vehicles and motorcycles</v>
      </c>
      <c r="D512" t="s">
        <v>504</v>
      </c>
      <c r="E512" t="s">
        <v>359</v>
      </c>
      <c r="F512" t="s">
        <v>505</v>
      </c>
    </row>
    <row r="513" spans="1:6" x14ac:dyDescent="0.35">
      <c r="A513">
        <v>3</v>
      </c>
      <c r="B513" t="s">
        <v>1061</v>
      </c>
      <c r="C513" t="str">
        <f>IF(A513=1,RIGHT(D513,LEN(D513)-2),IF(A513=2,RIGHT(D513,LEN(D513)-3),IF(A513=3,RIGHT(D513,LEN(D513)-5),RIGHT(D513,LEN(D513)-6))))</f>
        <v>Wholesale on a fee or contract basis</v>
      </c>
      <c r="D513" t="s">
        <v>1062</v>
      </c>
      <c r="E513" t="s">
        <v>503</v>
      </c>
      <c r="F513" t="s">
        <v>1063</v>
      </c>
    </row>
    <row r="514" spans="1:6" x14ac:dyDescent="0.35">
      <c r="A514">
        <v>4</v>
      </c>
      <c r="B514" t="s">
        <v>2444</v>
      </c>
      <c r="C514" t="str">
        <f>IF(A514=1,RIGHT(D514,LEN(D514)-2),IF(A514=2,RIGHT(D514,LEN(D514)-3),IF(A514=3,RIGHT(D514,LEN(D514)-5),RIGHT(D514,LEN(D514)-6))))</f>
        <v>Agents involved in the sale of agricultural raw materials, live animals, textile raw materials and semi-finished goods</v>
      </c>
      <c r="D514" t="s">
        <v>2445</v>
      </c>
      <c r="E514" t="s">
        <v>1061</v>
      </c>
      <c r="F514" t="s">
        <v>2446</v>
      </c>
    </row>
    <row r="515" spans="1:6" x14ac:dyDescent="0.35">
      <c r="A515">
        <v>4</v>
      </c>
      <c r="B515" t="s">
        <v>2447</v>
      </c>
      <c r="C515" t="str">
        <f>IF(A515=1,RIGHT(D515,LEN(D515)-2),IF(A515=2,RIGHT(D515,LEN(D515)-3),IF(A515=3,RIGHT(D515,LEN(D515)-5),RIGHT(D515,LEN(D515)-6))))</f>
        <v>Agents involved in the sale of fuels, ores, metals and industrial chemicals</v>
      </c>
      <c r="D515" t="s">
        <v>2448</v>
      </c>
      <c r="E515" t="s">
        <v>1061</v>
      </c>
      <c r="F515" t="s">
        <v>2449</v>
      </c>
    </row>
    <row r="516" spans="1:6" x14ac:dyDescent="0.35">
      <c r="A516">
        <v>4</v>
      </c>
      <c r="B516" t="s">
        <v>2450</v>
      </c>
      <c r="C516" t="str">
        <f>IF(A516=1,RIGHT(D516,LEN(D516)-2),IF(A516=2,RIGHT(D516,LEN(D516)-3),IF(A516=3,RIGHT(D516,LEN(D516)-5),RIGHT(D516,LEN(D516)-6))))</f>
        <v>Agents involved in the sale of timber and building materials</v>
      </c>
      <c r="D516" t="s">
        <v>2451</v>
      </c>
      <c r="E516" t="s">
        <v>1061</v>
      </c>
      <c r="F516" t="s">
        <v>2452</v>
      </c>
    </row>
    <row r="517" spans="1:6" x14ac:dyDescent="0.35">
      <c r="A517">
        <v>4</v>
      </c>
      <c r="B517" t="s">
        <v>2453</v>
      </c>
      <c r="C517" t="str">
        <f>IF(A517=1,RIGHT(D517,LEN(D517)-2),IF(A517=2,RIGHT(D517,LEN(D517)-3),IF(A517=3,RIGHT(D517,LEN(D517)-5),RIGHT(D517,LEN(D517)-6))))</f>
        <v>Agents involved in the sale of machinery, industrial equipment, ships and aircraft</v>
      </c>
      <c r="D517" t="s">
        <v>2454</v>
      </c>
      <c r="E517" t="s">
        <v>1061</v>
      </c>
      <c r="F517" t="s">
        <v>2455</v>
      </c>
    </row>
    <row r="518" spans="1:6" x14ac:dyDescent="0.35">
      <c r="A518">
        <v>4</v>
      </c>
      <c r="B518" t="s">
        <v>2456</v>
      </c>
      <c r="C518" t="str">
        <f>IF(A518=1,RIGHT(D518,LEN(D518)-2),IF(A518=2,RIGHT(D518,LEN(D518)-3),IF(A518=3,RIGHT(D518,LEN(D518)-5),RIGHT(D518,LEN(D518)-6))))</f>
        <v>Agents involved in the sale of furniture, household goods, hardware and ironmongery</v>
      </c>
      <c r="D518" t="s">
        <v>2457</v>
      </c>
      <c r="E518" t="s">
        <v>1061</v>
      </c>
      <c r="F518" t="s">
        <v>2458</v>
      </c>
    </row>
    <row r="519" spans="1:6" x14ac:dyDescent="0.35">
      <c r="A519">
        <v>4</v>
      </c>
      <c r="B519" t="s">
        <v>2459</v>
      </c>
      <c r="C519" t="str">
        <f>IF(A519=1,RIGHT(D519,LEN(D519)-2),IF(A519=2,RIGHT(D519,LEN(D519)-3),IF(A519=3,RIGHT(D519,LEN(D519)-5),RIGHT(D519,LEN(D519)-6))))</f>
        <v>Agents involved in the sale of textiles, clothing, fur, footwear and leather goods</v>
      </c>
      <c r="D519" t="s">
        <v>2460</v>
      </c>
      <c r="E519" t="s">
        <v>1061</v>
      </c>
      <c r="F519" t="s">
        <v>2461</v>
      </c>
    </row>
    <row r="520" spans="1:6" x14ac:dyDescent="0.35">
      <c r="A520">
        <v>4</v>
      </c>
      <c r="B520" t="s">
        <v>2462</v>
      </c>
      <c r="C520" t="str">
        <f>IF(A520=1,RIGHT(D520,LEN(D520)-2),IF(A520=2,RIGHT(D520,LEN(D520)-3),IF(A520=3,RIGHT(D520,LEN(D520)-5),RIGHT(D520,LEN(D520)-6))))</f>
        <v>Agents involved in the sale of food, beverages and tobacco</v>
      </c>
      <c r="D520" t="s">
        <v>2463</v>
      </c>
      <c r="E520" t="s">
        <v>1061</v>
      </c>
      <c r="F520" t="s">
        <v>2464</v>
      </c>
    </row>
    <row r="521" spans="1:6" x14ac:dyDescent="0.35">
      <c r="A521">
        <v>4</v>
      </c>
      <c r="B521" t="s">
        <v>2465</v>
      </c>
      <c r="C521" t="str">
        <f>IF(A521=1,RIGHT(D521,LEN(D521)-2),IF(A521=2,RIGHT(D521,LEN(D521)-3),IF(A521=3,RIGHT(D521,LEN(D521)-5),RIGHT(D521,LEN(D521)-6))))</f>
        <v>Agents specialised in the sale of other particular products</v>
      </c>
      <c r="D521" t="s">
        <v>2466</v>
      </c>
      <c r="E521" t="s">
        <v>1061</v>
      </c>
      <c r="F521" t="s">
        <v>2467</v>
      </c>
    </row>
    <row r="522" spans="1:6" x14ac:dyDescent="0.35">
      <c r="A522">
        <v>4</v>
      </c>
      <c r="B522" t="s">
        <v>2468</v>
      </c>
      <c r="C522" t="str">
        <f>IF(A522=1,RIGHT(D522,LEN(D522)-2),IF(A522=2,RIGHT(D522,LEN(D522)-3),IF(A522=3,RIGHT(D522,LEN(D522)-5),RIGHT(D522,LEN(D522)-6))))</f>
        <v>Agents involved in the sale of a variety of goods</v>
      </c>
      <c r="D522" t="s">
        <v>2469</v>
      </c>
      <c r="E522" t="s">
        <v>1061</v>
      </c>
      <c r="F522" t="s">
        <v>2470</v>
      </c>
    </row>
    <row r="523" spans="1:6" x14ac:dyDescent="0.35">
      <c r="A523">
        <v>3</v>
      </c>
      <c r="B523" t="s">
        <v>1064</v>
      </c>
      <c r="C523" t="str">
        <f>IF(A523=1,RIGHT(D523,LEN(D523)-2),IF(A523=2,RIGHT(D523,LEN(D523)-3),IF(A523=3,RIGHT(D523,LEN(D523)-5),RIGHT(D523,LEN(D523)-6))))</f>
        <v>Wholesale of agricultural raw materials and live animals</v>
      </c>
      <c r="D523" t="s">
        <v>1065</v>
      </c>
      <c r="E523" t="s">
        <v>503</v>
      </c>
      <c r="F523" t="s">
        <v>1066</v>
      </c>
    </row>
    <row r="524" spans="1:6" x14ac:dyDescent="0.35">
      <c r="A524">
        <v>4</v>
      </c>
      <c r="B524" t="s">
        <v>2471</v>
      </c>
      <c r="C524" t="str">
        <f>IF(A524=1,RIGHT(D524,LEN(D524)-2),IF(A524=2,RIGHT(D524,LEN(D524)-3),IF(A524=3,RIGHT(D524,LEN(D524)-5),RIGHT(D524,LEN(D524)-6))))</f>
        <v>Wholesale of grain, unmanufactured tobacco, seeds and animal feeds</v>
      </c>
      <c r="D524" t="s">
        <v>2472</v>
      </c>
      <c r="E524" t="s">
        <v>1064</v>
      </c>
      <c r="F524" t="s">
        <v>2473</v>
      </c>
    </row>
    <row r="525" spans="1:6" x14ac:dyDescent="0.35">
      <c r="A525">
        <v>4</v>
      </c>
      <c r="B525" t="s">
        <v>2474</v>
      </c>
      <c r="C525" t="str">
        <f>IF(A525=1,RIGHT(D525,LEN(D525)-2),IF(A525=2,RIGHT(D525,LEN(D525)-3),IF(A525=3,RIGHT(D525,LEN(D525)-5),RIGHT(D525,LEN(D525)-6))))</f>
        <v>Wholesale of flowers and plants</v>
      </c>
      <c r="D525" t="s">
        <v>2475</v>
      </c>
      <c r="E525" t="s">
        <v>1064</v>
      </c>
      <c r="F525" t="s">
        <v>2476</v>
      </c>
    </row>
    <row r="526" spans="1:6" x14ac:dyDescent="0.35">
      <c r="A526">
        <v>4</v>
      </c>
      <c r="B526" t="s">
        <v>2477</v>
      </c>
      <c r="C526" t="str">
        <f>IF(A526=1,RIGHT(D526,LEN(D526)-2),IF(A526=2,RIGHT(D526,LEN(D526)-3),IF(A526=3,RIGHT(D526,LEN(D526)-5),RIGHT(D526,LEN(D526)-6))))</f>
        <v>Wholesale of live animals</v>
      </c>
      <c r="D526" t="s">
        <v>2478</v>
      </c>
      <c r="E526" t="s">
        <v>1064</v>
      </c>
      <c r="F526" t="s">
        <v>2479</v>
      </c>
    </row>
    <row r="527" spans="1:6" x14ac:dyDescent="0.35">
      <c r="A527">
        <v>4</v>
      </c>
      <c r="B527" t="s">
        <v>2480</v>
      </c>
      <c r="C527" t="str">
        <f>IF(A527=1,RIGHT(D527,LEN(D527)-2),IF(A527=2,RIGHT(D527,LEN(D527)-3),IF(A527=3,RIGHT(D527,LEN(D527)-5),RIGHT(D527,LEN(D527)-6))))</f>
        <v>Wholesale of hides, skins and leather</v>
      </c>
      <c r="D527" t="s">
        <v>2481</v>
      </c>
      <c r="E527" t="s">
        <v>1064</v>
      </c>
      <c r="F527" t="s">
        <v>2482</v>
      </c>
    </row>
    <row r="528" spans="1:6" x14ac:dyDescent="0.35">
      <c r="A528">
        <v>3</v>
      </c>
      <c r="B528" t="s">
        <v>1067</v>
      </c>
      <c r="C528" t="str">
        <f>IF(A528=1,RIGHT(D528,LEN(D528)-2),IF(A528=2,RIGHT(D528,LEN(D528)-3),IF(A528=3,RIGHT(D528,LEN(D528)-5),RIGHT(D528,LEN(D528)-6))))</f>
        <v>Wholesale of food, beverages and tobacco</v>
      </c>
      <c r="D528" t="s">
        <v>1068</v>
      </c>
      <c r="E528" t="s">
        <v>503</v>
      </c>
      <c r="F528" t="s">
        <v>1069</v>
      </c>
    </row>
    <row r="529" spans="1:6" x14ac:dyDescent="0.35">
      <c r="A529">
        <v>4</v>
      </c>
      <c r="B529" t="s">
        <v>2483</v>
      </c>
      <c r="C529" t="str">
        <f>IF(A529=1,RIGHT(D529,LEN(D529)-2),IF(A529=2,RIGHT(D529,LEN(D529)-3),IF(A529=3,RIGHT(D529,LEN(D529)-5),RIGHT(D529,LEN(D529)-6))))</f>
        <v>Wholesale of fruit and vegetables</v>
      </c>
      <c r="D529" t="s">
        <v>2484</v>
      </c>
      <c r="E529" t="s">
        <v>1067</v>
      </c>
      <c r="F529" t="s">
        <v>2485</v>
      </c>
    </row>
    <row r="530" spans="1:6" x14ac:dyDescent="0.35">
      <c r="A530">
        <v>4</v>
      </c>
      <c r="B530" t="s">
        <v>2486</v>
      </c>
      <c r="C530" t="str">
        <f>IF(A530=1,RIGHT(D530,LEN(D530)-2),IF(A530=2,RIGHT(D530,LEN(D530)-3),IF(A530=3,RIGHT(D530,LEN(D530)-5),RIGHT(D530,LEN(D530)-6))))</f>
        <v>Wholesale of meat and meat products</v>
      </c>
      <c r="D530" t="s">
        <v>2487</v>
      </c>
      <c r="E530" t="s">
        <v>1067</v>
      </c>
      <c r="F530" t="s">
        <v>2488</v>
      </c>
    </row>
    <row r="531" spans="1:6" x14ac:dyDescent="0.35">
      <c r="A531">
        <v>4</v>
      </c>
      <c r="B531" t="s">
        <v>2489</v>
      </c>
      <c r="C531" t="str">
        <f>IF(A531=1,RIGHT(D531,LEN(D531)-2),IF(A531=2,RIGHT(D531,LEN(D531)-3),IF(A531=3,RIGHT(D531,LEN(D531)-5),RIGHT(D531,LEN(D531)-6))))</f>
        <v>Wholesale of dairy products, eggs and edible oils and fats</v>
      </c>
      <c r="D531" t="s">
        <v>2490</v>
      </c>
      <c r="E531" t="s">
        <v>1067</v>
      </c>
      <c r="F531" t="s">
        <v>2491</v>
      </c>
    </row>
    <row r="532" spans="1:6" x14ac:dyDescent="0.35">
      <c r="A532">
        <v>4</v>
      </c>
      <c r="B532" t="s">
        <v>2492</v>
      </c>
      <c r="C532" t="str">
        <f>IF(A532=1,RIGHT(D532,LEN(D532)-2),IF(A532=2,RIGHT(D532,LEN(D532)-3),IF(A532=3,RIGHT(D532,LEN(D532)-5),RIGHT(D532,LEN(D532)-6))))</f>
        <v>Wholesale of beverages</v>
      </c>
      <c r="D532" t="s">
        <v>2493</v>
      </c>
      <c r="E532" t="s">
        <v>1067</v>
      </c>
      <c r="F532" t="s">
        <v>2494</v>
      </c>
    </row>
    <row r="533" spans="1:6" x14ac:dyDescent="0.35">
      <c r="A533">
        <v>4</v>
      </c>
      <c r="B533" t="s">
        <v>2495</v>
      </c>
      <c r="C533" t="str">
        <f>IF(A533=1,RIGHT(D533,LEN(D533)-2),IF(A533=2,RIGHT(D533,LEN(D533)-3),IF(A533=3,RIGHT(D533,LEN(D533)-5),RIGHT(D533,LEN(D533)-6))))</f>
        <v>Wholesale of tobacco products</v>
      </c>
      <c r="D533" t="s">
        <v>2496</v>
      </c>
      <c r="E533" t="s">
        <v>1067</v>
      </c>
      <c r="F533" t="s">
        <v>2497</v>
      </c>
    </row>
    <row r="534" spans="1:6" x14ac:dyDescent="0.35">
      <c r="A534">
        <v>4</v>
      </c>
      <c r="B534" t="s">
        <v>2498</v>
      </c>
      <c r="C534" t="str">
        <f>IF(A534=1,RIGHT(D534,LEN(D534)-2),IF(A534=2,RIGHT(D534,LEN(D534)-3),IF(A534=3,RIGHT(D534,LEN(D534)-5),RIGHT(D534,LEN(D534)-6))))</f>
        <v>Wholesale of sugar and chocolate and sugar confectionery</v>
      </c>
      <c r="D534" t="s">
        <v>2499</v>
      </c>
      <c r="E534" t="s">
        <v>1067</v>
      </c>
      <c r="F534" t="s">
        <v>2500</v>
      </c>
    </row>
    <row r="535" spans="1:6" x14ac:dyDescent="0.35">
      <c r="A535">
        <v>4</v>
      </c>
      <c r="B535" t="s">
        <v>2501</v>
      </c>
      <c r="C535" t="str">
        <f>IF(A535=1,RIGHT(D535,LEN(D535)-2),IF(A535=2,RIGHT(D535,LEN(D535)-3),IF(A535=3,RIGHT(D535,LEN(D535)-5),RIGHT(D535,LEN(D535)-6))))</f>
        <v>Wholesale of coffee, tea, cocoa and spices</v>
      </c>
      <c r="D535" t="s">
        <v>2502</v>
      </c>
      <c r="E535" t="s">
        <v>1067</v>
      </c>
      <c r="F535" t="s">
        <v>2503</v>
      </c>
    </row>
    <row r="536" spans="1:6" x14ac:dyDescent="0.35">
      <c r="A536">
        <v>4</v>
      </c>
      <c r="B536" t="s">
        <v>2504</v>
      </c>
      <c r="C536" t="str">
        <f>IF(A536=1,RIGHT(D536,LEN(D536)-2),IF(A536=2,RIGHT(D536,LEN(D536)-3),IF(A536=3,RIGHT(D536,LEN(D536)-5),RIGHT(D536,LEN(D536)-6))))</f>
        <v>Wholesale of other food, including fish, crustaceans and molluscs</v>
      </c>
      <c r="D536" t="s">
        <v>2505</v>
      </c>
      <c r="E536" t="s">
        <v>1067</v>
      </c>
      <c r="F536" t="s">
        <v>2506</v>
      </c>
    </row>
    <row r="537" spans="1:6" x14ac:dyDescent="0.35">
      <c r="A537">
        <v>4</v>
      </c>
      <c r="B537" t="s">
        <v>2507</v>
      </c>
      <c r="C537" t="str">
        <f>IF(A537=1,RIGHT(D537,LEN(D537)-2),IF(A537=2,RIGHT(D537,LEN(D537)-3),IF(A537=3,RIGHT(D537,LEN(D537)-5),RIGHT(D537,LEN(D537)-6))))</f>
        <v>Non-specialised wholesale of food, beverages and tobacco</v>
      </c>
      <c r="D537" t="s">
        <v>2508</v>
      </c>
      <c r="E537" t="s">
        <v>1067</v>
      </c>
      <c r="F537" t="s">
        <v>2509</v>
      </c>
    </row>
    <row r="538" spans="1:6" x14ac:dyDescent="0.35">
      <c r="A538">
        <v>3</v>
      </c>
      <c r="B538" t="s">
        <v>1070</v>
      </c>
      <c r="C538" t="str">
        <f>IF(A538=1,RIGHT(D538,LEN(D538)-2),IF(A538=2,RIGHT(D538,LEN(D538)-3),IF(A538=3,RIGHT(D538,LEN(D538)-5),RIGHT(D538,LEN(D538)-6))))</f>
        <v>Wholesale of household goods</v>
      </c>
      <c r="D538" t="s">
        <v>1071</v>
      </c>
      <c r="E538" t="s">
        <v>503</v>
      </c>
      <c r="F538" t="s">
        <v>1072</v>
      </c>
    </row>
    <row r="539" spans="1:6" x14ac:dyDescent="0.35">
      <c r="A539">
        <v>4</v>
      </c>
      <c r="B539" t="s">
        <v>2510</v>
      </c>
      <c r="C539" t="str">
        <f>IF(A539=1,RIGHT(D539,LEN(D539)-2),IF(A539=2,RIGHT(D539,LEN(D539)-3),IF(A539=3,RIGHT(D539,LEN(D539)-5),RIGHT(D539,LEN(D539)-6))))</f>
        <v>Wholesale of textiles</v>
      </c>
      <c r="D539" t="s">
        <v>2511</v>
      </c>
      <c r="E539" t="s">
        <v>1070</v>
      </c>
      <c r="F539" t="s">
        <v>2512</v>
      </c>
    </row>
    <row r="540" spans="1:6" x14ac:dyDescent="0.35">
      <c r="A540">
        <v>4</v>
      </c>
      <c r="B540" t="s">
        <v>2513</v>
      </c>
      <c r="C540" t="str">
        <f>IF(A540=1,RIGHT(D540,LEN(D540)-2),IF(A540=2,RIGHT(D540,LEN(D540)-3),IF(A540=3,RIGHT(D540,LEN(D540)-5),RIGHT(D540,LEN(D540)-6))))</f>
        <v>Wholesale of clothing and footwear</v>
      </c>
      <c r="D540" t="s">
        <v>2514</v>
      </c>
      <c r="E540" t="s">
        <v>1070</v>
      </c>
      <c r="F540" t="s">
        <v>2515</v>
      </c>
    </row>
    <row r="541" spans="1:6" x14ac:dyDescent="0.35">
      <c r="A541">
        <v>4</v>
      </c>
      <c r="B541" t="s">
        <v>2516</v>
      </c>
      <c r="C541" t="str">
        <f>IF(A541=1,RIGHT(D541,LEN(D541)-2),IF(A541=2,RIGHT(D541,LEN(D541)-3),IF(A541=3,RIGHT(D541,LEN(D541)-5),RIGHT(D541,LEN(D541)-6))))</f>
        <v>Wholesale of electrical household appliances</v>
      </c>
      <c r="D541" t="s">
        <v>2517</v>
      </c>
      <c r="E541" t="s">
        <v>1070</v>
      </c>
      <c r="F541" t="s">
        <v>2518</v>
      </c>
    </row>
    <row r="542" spans="1:6" x14ac:dyDescent="0.35">
      <c r="A542">
        <v>4</v>
      </c>
      <c r="B542" t="s">
        <v>2519</v>
      </c>
      <c r="C542" t="str">
        <f>IF(A542=1,RIGHT(D542,LEN(D542)-2),IF(A542=2,RIGHT(D542,LEN(D542)-3),IF(A542=3,RIGHT(D542,LEN(D542)-5),RIGHT(D542,LEN(D542)-6))))</f>
        <v>Wholesale of china and glassware and cleaning materials</v>
      </c>
      <c r="D542" t="s">
        <v>2520</v>
      </c>
      <c r="E542" t="s">
        <v>1070</v>
      </c>
      <c r="F542" t="s">
        <v>2521</v>
      </c>
    </row>
    <row r="543" spans="1:6" x14ac:dyDescent="0.35">
      <c r="A543">
        <v>4</v>
      </c>
      <c r="B543" t="s">
        <v>2522</v>
      </c>
      <c r="C543" t="str">
        <f>IF(A543=1,RIGHT(D543,LEN(D543)-2),IF(A543=2,RIGHT(D543,LEN(D543)-3),IF(A543=3,RIGHT(D543,LEN(D543)-5),RIGHT(D543,LEN(D543)-6))))</f>
        <v>Wholesale of perfume and cosmetics</v>
      </c>
      <c r="D543" t="s">
        <v>2523</v>
      </c>
      <c r="E543" t="s">
        <v>1070</v>
      </c>
      <c r="F543" t="s">
        <v>2524</v>
      </c>
    </row>
    <row r="544" spans="1:6" x14ac:dyDescent="0.35">
      <c r="A544">
        <v>4</v>
      </c>
      <c r="B544" t="s">
        <v>2525</v>
      </c>
      <c r="C544" t="str">
        <f>IF(A544=1,RIGHT(D544,LEN(D544)-2),IF(A544=2,RIGHT(D544,LEN(D544)-3),IF(A544=3,RIGHT(D544,LEN(D544)-5),RIGHT(D544,LEN(D544)-6))))</f>
        <v>Wholesale of pharmaceutical goods</v>
      </c>
      <c r="D544" t="s">
        <v>2526</v>
      </c>
      <c r="E544" t="s">
        <v>1070</v>
      </c>
      <c r="F544" t="s">
        <v>2527</v>
      </c>
    </row>
    <row r="545" spans="1:6" x14ac:dyDescent="0.35">
      <c r="A545">
        <v>4</v>
      </c>
      <c r="B545" t="s">
        <v>2528</v>
      </c>
      <c r="C545" t="str">
        <f>IF(A545=1,RIGHT(D545,LEN(D545)-2),IF(A545=2,RIGHT(D545,LEN(D545)-3),IF(A545=3,RIGHT(D545,LEN(D545)-5),RIGHT(D545,LEN(D545)-6))))</f>
        <v>Wholesale of furniture, carpets and lighting equipment</v>
      </c>
      <c r="D545" t="s">
        <v>2529</v>
      </c>
      <c r="E545" t="s">
        <v>1070</v>
      </c>
      <c r="F545" t="s">
        <v>2530</v>
      </c>
    </row>
    <row r="546" spans="1:6" x14ac:dyDescent="0.35">
      <c r="A546">
        <v>4</v>
      </c>
      <c r="B546" t="s">
        <v>2531</v>
      </c>
      <c r="C546" t="str">
        <f>IF(A546=1,RIGHT(D546,LEN(D546)-2),IF(A546=2,RIGHT(D546,LEN(D546)-3),IF(A546=3,RIGHT(D546,LEN(D546)-5),RIGHT(D546,LEN(D546)-6))))</f>
        <v>Wholesale of watches and jewellery</v>
      </c>
      <c r="D546" t="s">
        <v>2532</v>
      </c>
      <c r="E546" t="s">
        <v>1070</v>
      </c>
      <c r="F546" t="s">
        <v>2533</v>
      </c>
    </row>
    <row r="547" spans="1:6" x14ac:dyDescent="0.35">
      <c r="A547">
        <v>4</v>
      </c>
      <c r="B547" t="s">
        <v>2534</v>
      </c>
      <c r="C547" t="str">
        <f>IF(A547=1,RIGHT(D547,LEN(D547)-2),IF(A547=2,RIGHT(D547,LEN(D547)-3),IF(A547=3,RIGHT(D547,LEN(D547)-5),RIGHT(D547,LEN(D547)-6))))</f>
        <v>Wholesale of other household goods</v>
      </c>
      <c r="D547" t="s">
        <v>2535</v>
      </c>
      <c r="E547" t="s">
        <v>1070</v>
      </c>
      <c r="F547" t="s">
        <v>2536</v>
      </c>
    </row>
    <row r="548" spans="1:6" x14ac:dyDescent="0.35">
      <c r="A548">
        <v>3</v>
      </c>
      <c r="B548" t="s">
        <v>1073</v>
      </c>
      <c r="C548" t="str">
        <f>IF(A548=1,RIGHT(D548,LEN(D548)-2),IF(A548=2,RIGHT(D548,LEN(D548)-3),IF(A548=3,RIGHT(D548,LEN(D548)-5),RIGHT(D548,LEN(D548)-6))))</f>
        <v>Wholesale of information and communication equipment</v>
      </c>
      <c r="D548" t="s">
        <v>1074</v>
      </c>
      <c r="E548" t="s">
        <v>503</v>
      </c>
      <c r="F548" t="s">
        <v>1075</v>
      </c>
    </row>
    <row r="549" spans="1:6" x14ac:dyDescent="0.35">
      <c r="A549">
        <v>4</v>
      </c>
      <c r="B549" t="s">
        <v>2537</v>
      </c>
      <c r="C549" t="str">
        <f>IF(A549=1,RIGHT(D549,LEN(D549)-2),IF(A549=2,RIGHT(D549,LEN(D549)-3),IF(A549=3,RIGHT(D549,LEN(D549)-5),RIGHT(D549,LEN(D549)-6))))</f>
        <v>Wholesale of computers, computer peripheral equipment and software</v>
      </c>
      <c r="D549" t="s">
        <v>2538</v>
      </c>
      <c r="E549" t="s">
        <v>1073</v>
      </c>
      <c r="F549" t="s">
        <v>2539</v>
      </c>
    </row>
    <row r="550" spans="1:6" x14ac:dyDescent="0.35">
      <c r="A550">
        <v>4</v>
      </c>
      <c r="B550" t="s">
        <v>2540</v>
      </c>
      <c r="C550" t="str">
        <f>IF(A550=1,RIGHT(D550,LEN(D550)-2),IF(A550=2,RIGHT(D550,LEN(D550)-3),IF(A550=3,RIGHT(D550,LEN(D550)-5),RIGHT(D550,LEN(D550)-6))))</f>
        <v>Wholesale of electronic and telecommunications equipment and parts</v>
      </c>
      <c r="D550" t="s">
        <v>2541</v>
      </c>
      <c r="E550" t="s">
        <v>1073</v>
      </c>
      <c r="F550" t="s">
        <v>2542</v>
      </c>
    </row>
    <row r="551" spans="1:6" x14ac:dyDescent="0.35">
      <c r="A551">
        <v>3</v>
      </c>
      <c r="B551" t="s">
        <v>1076</v>
      </c>
      <c r="C551" t="str">
        <f>IF(A551=1,RIGHT(D551,LEN(D551)-2),IF(A551=2,RIGHT(D551,LEN(D551)-3),IF(A551=3,RIGHT(D551,LEN(D551)-5),RIGHT(D551,LEN(D551)-6))))</f>
        <v>Wholesale of other machinery, equipment and supplies</v>
      </c>
      <c r="D551" t="s">
        <v>1077</v>
      </c>
      <c r="E551" t="s">
        <v>503</v>
      </c>
      <c r="F551" t="s">
        <v>1078</v>
      </c>
    </row>
    <row r="552" spans="1:6" x14ac:dyDescent="0.35">
      <c r="A552">
        <v>4</v>
      </c>
      <c r="B552" t="s">
        <v>2543</v>
      </c>
      <c r="C552" t="str">
        <f>IF(A552=1,RIGHT(D552,LEN(D552)-2),IF(A552=2,RIGHT(D552,LEN(D552)-3),IF(A552=3,RIGHT(D552,LEN(D552)-5),RIGHT(D552,LEN(D552)-6))))</f>
        <v>Wholesale of agricultural machinery, equipment and supplies</v>
      </c>
      <c r="D552" t="s">
        <v>2544</v>
      </c>
      <c r="E552" t="s">
        <v>1076</v>
      </c>
      <c r="F552" t="s">
        <v>2545</v>
      </c>
    </row>
    <row r="553" spans="1:6" x14ac:dyDescent="0.35">
      <c r="A553">
        <v>4</v>
      </c>
      <c r="B553" t="s">
        <v>2546</v>
      </c>
      <c r="C553" t="str">
        <f>IF(A553=1,RIGHT(D553,LEN(D553)-2),IF(A553=2,RIGHT(D553,LEN(D553)-3),IF(A553=3,RIGHT(D553,LEN(D553)-5),RIGHT(D553,LEN(D553)-6))))</f>
        <v>Wholesale of machine tools</v>
      </c>
      <c r="D553" t="s">
        <v>2547</v>
      </c>
      <c r="E553" t="s">
        <v>1076</v>
      </c>
      <c r="F553" t="s">
        <v>2548</v>
      </c>
    </row>
    <row r="554" spans="1:6" x14ac:dyDescent="0.35">
      <c r="A554">
        <v>4</v>
      </c>
      <c r="B554" t="s">
        <v>2549</v>
      </c>
      <c r="C554" t="str">
        <f>IF(A554=1,RIGHT(D554,LEN(D554)-2),IF(A554=2,RIGHT(D554,LEN(D554)-3),IF(A554=3,RIGHT(D554,LEN(D554)-5),RIGHT(D554,LEN(D554)-6))))</f>
        <v>Wholesale of mining, construction and civil engineering machinery</v>
      </c>
      <c r="D554" t="s">
        <v>2550</v>
      </c>
      <c r="E554" t="s">
        <v>1076</v>
      </c>
      <c r="F554" t="s">
        <v>2551</v>
      </c>
    </row>
    <row r="555" spans="1:6" x14ac:dyDescent="0.35">
      <c r="A555">
        <v>4</v>
      </c>
      <c r="B555" t="s">
        <v>2552</v>
      </c>
      <c r="C555" t="str">
        <f>IF(A555=1,RIGHT(D555,LEN(D555)-2),IF(A555=2,RIGHT(D555,LEN(D555)-3),IF(A555=3,RIGHT(D555,LEN(D555)-5),RIGHT(D555,LEN(D555)-6))))</f>
        <v>Wholesale of machinery for the textile industry and of sewing and knitting machines</v>
      </c>
      <c r="D555" t="s">
        <v>2553</v>
      </c>
      <c r="E555" t="s">
        <v>1076</v>
      </c>
      <c r="F555" t="s">
        <v>2554</v>
      </c>
    </row>
    <row r="556" spans="1:6" x14ac:dyDescent="0.35">
      <c r="A556">
        <v>4</v>
      </c>
      <c r="B556" t="s">
        <v>2555</v>
      </c>
      <c r="C556" t="str">
        <f>IF(A556=1,RIGHT(D556,LEN(D556)-2),IF(A556=2,RIGHT(D556,LEN(D556)-3),IF(A556=3,RIGHT(D556,LEN(D556)-5),RIGHT(D556,LEN(D556)-6))))</f>
        <v>Wholesale of office furniture</v>
      </c>
      <c r="D556" t="s">
        <v>2556</v>
      </c>
      <c r="E556" t="s">
        <v>1076</v>
      </c>
      <c r="F556" t="s">
        <v>2557</v>
      </c>
    </row>
    <row r="557" spans="1:6" x14ac:dyDescent="0.35">
      <c r="A557">
        <v>4</v>
      </c>
      <c r="B557" t="s">
        <v>2558</v>
      </c>
      <c r="C557" t="str">
        <f>IF(A557=1,RIGHT(D557,LEN(D557)-2),IF(A557=2,RIGHT(D557,LEN(D557)-3),IF(A557=3,RIGHT(D557,LEN(D557)-5),RIGHT(D557,LEN(D557)-6))))</f>
        <v>Wholesale of other office machinery and equipment</v>
      </c>
      <c r="D557" t="s">
        <v>2559</v>
      </c>
      <c r="E557" t="s">
        <v>1076</v>
      </c>
      <c r="F557" t="s">
        <v>2560</v>
      </c>
    </row>
    <row r="558" spans="1:6" x14ac:dyDescent="0.35">
      <c r="A558">
        <v>4</v>
      </c>
      <c r="B558" t="s">
        <v>2561</v>
      </c>
      <c r="C558" t="str">
        <f>IF(A558=1,RIGHT(D558,LEN(D558)-2),IF(A558=2,RIGHT(D558,LEN(D558)-3),IF(A558=3,RIGHT(D558,LEN(D558)-5),RIGHT(D558,LEN(D558)-6))))</f>
        <v>Wholesale of other machinery and equipment</v>
      </c>
      <c r="D558" t="s">
        <v>2562</v>
      </c>
      <c r="E558" t="s">
        <v>1076</v>
      </c>
      <c r="F558" t="s">
        <v>2563</v>
      </c>
    </row>
    <row r="559" spans="1:6" x14ac:dyDescent="0.35">
      <c r="A559">
        <v>3</v>
      </c>
      <c r="B559" t="s">
        <v>1079</v>
      </c>
      <c r="C559" t="str">
        <f>IF(A559=1,RIGHT(D559,LEN(D559)-2),IF(A559=2,RIGHT(D559,LEN(D559)-3),IF(A559=3,RIGHT(D559,LEN(D559)-5),RIGHT(D559,LEN(D559)-6))))</f>
        <v>Other specialised wholesale</v>
      </c>
      <c r="D559" t="s">
        <v>1080</v>
      </c>
      <c r="E559" t="s">
        <v>503</v>
      </c>
      <c r="F559" t="s">
        <v>1081</v>
      </c>
    </row>
    <row r="560" spans="1:6" x14ac:dyDescent="0.35">
      <c r="A560">
        <v>4</v>
      </c>
      <c r="B560" t="s">
        <v>2564</v>
      </c>
      <c r="C560" t="str">
        <f>IF(A560=1,RIGHT(D560,LEN(D560)-2),IF(A560=2,RIGHT(D560,LEN(D560)-3),IF(A560=3,RIGHT(D560,LEN(D560)-5),RIGHT(D560,LEN(D560)-6))))</f>
        <v>Wholesale of solid, liquid and gaseous fuels and related products</v>
      </c>
      <c r="D560" t="s">
        <v>2565</v>
      </c>
      <c r="E560" t="s">
        <v>1079</v>
      </c>
      <c r="F560" t="s">
        <v>2566</v>
      </c>
    </row>
    <row r="561" spans="1:6" x14ac:dyDescent="0.35">
      <c r="A561">
        <v>4</v>
      </c>
      <c r="B561" t="s">
        <v>2567</v>
      </c>
      <c r="C561" t="str">
        <f>IF(A561=1,RIGHT(D561,LEN(D561)-2),IF(A561=2,RIGHT(D561,LEN(D561)-3),IF(A561=3,RIGHT(D561,LEN(D561)-5),RIGHT(D561,LEN(D561)-6))))</f>
        <v>Wholesale of metals and metal ores</v>
      </c>
      <c r="D561" t="s">
        <v>2568</v>
      </c>
      <c r="E561" t="s">
        <v>1079</v>
      </c>
      <c r="F561" t="s">
        <v>2569</v>
      </c>
    </row>
    <row r="562" spans="1:6" x14ac:dyDescent="0.35">
      <c r="A562">
        <v>4</v>
      </c>
      <c r="B562" t="s">
        <v>2570</v>
      </c>
      <c r="C562" t="str">
        <f>IF(A562=1,RIGHT(D562,LEN(D562)-2),IF(A562=2,RIGHT(D562,LEN(D562)-3),IF(A562=3,RIGHT(D562,LEN(D562)-5),RIGHT(D562,LEN(D562)-6))))</f>
        <v>Wholesale of wood, construction materials and sanitary equipment</v>
      </c>
      <c r="D562" t="s">
        <v>2571</v>
      </c>
      <c r="E562" t="s">
        <v>1079</v>
      </c>
      <c r="F562" t="s">
        <v>2572</v>
      </c>
    </row>
    <row r="563" spans="1:6" x14ac:dyDescent="0.35">
      <c r="A563">
        <v>4</v>
      </c>
      <c r="B563" t="s">
        <v>2573</v>
      </c>
      <c r="C563" t="str">
        <f>IF(A563=1,RIGHT(D563,LEN(D563)-2),IF(A563=2,RIGHT(D563,LEN(D563)-3),IF(A563=3,RIGHT(D563,LEN(D563)-5),RIGHT(D563,LEN(D563)-6))))</f>
        <v>Wholesale of hardware, plumbing and heating equipment and supplies</v>
      </c>
      <c r="D563" t="s">
        <v>2574</v>
      </c>
      <c r="E563" t="s">
        <v>1079</v>
      </c>
      <c r="F563" t="s">
        <v>2575</v>
      </c>
    </row>
    <row r="564" spans="1:6" x14ac:dyDescent="0.35">
      <c r="A564">
        <v>4</v>
      </c>
      <c r="B564" t="s">
        <v>2576</v>
      </c>
      <c r="C564" t="str">
        <f>IF(A564=1,RIGHT(D564,LEN(D564)-2),IF(A564=2,RIGHT(D564,LEN(D564)-3),IF(A564=3,RIGHT(D564,LEN(D564)-5),RIGHT(D564,LEN(D564)-6))))</f>
        <v>Wholesale of chemical products</v>
      </c>
      <c r="D564" t="s">
        <v>2577</v>
      </c>
      <c r="E564" t="s">
        <v>1079</v>
      </c>
      <c r="F564" t="s">
        <v>2578</v>
      </c>
    </row>
    <row r="565" spans="1:6" x14ac:dyDescent="0.35">
      <c r="A565">
        <v>4</v>
      </c>
      <c r="B565" t="s">
        <v>2579</v>
      </c>
      <c r="C565" t="str">
        <f>IF(A565=1,RIGHT(D565,LEN(D565)-2),IF(A565=2,RIGHT(D565,LEN(D565)-3),IF(A565=3,RIGHT(D565,LEN(D565)-5),RIGHT(D565,LEN(D565)-6))))</f>
        <v>Wholesale of other intermediate products</v>
      </c>
      <c r="D565" t="s">
        <v>2580</v>
      </c>
      <c r="E565" t="s">
        <v>1079</v>
      </c>
      <c r="F565" t="s">
        <v>2581</v>
      </c>
    </row>
    <row r="566" spans="1:6" x14ac:dyDescent="0.35">
      <c r="A566">
        <v>4</v>
      </c>
      <c r="B566" t="s">
        <v>2582</v>
      </c>
      <c r="C566" s="7" t="str">
        <f>IF(A566=1,RIGHT(D566,LEN(D566)-2),IF(A566=2,RIGHT(D566,LEN(D566)-3),IF(A566=3,RIGHT(D566,LEN(D566)-5),RIGHT(D566,LEN(D566)-6))))</f>
        <v>Wholesale of waste and scrap</v>
      </c>
      <c r="D566" t="s">
        <v>2583</v>
      </c>
      <c r="E566" t="s">
        <v>1079</v>
      </c>
      <c r="F566" t="s">
        <v>2584</v>
      </c>
    </row>
    <row r="567" spans="1:6" x14ac:dyDescent="0.35">
      <c r="A567">
        <v>3</v>
      </c>
      <c r="B567" t="s">
        <v>1082</v>
      </c>
      <c r="C567" t="str">
        <f>IF(A567=1,RIGHT(D567,LEN(D567)-2),IF(A567=2,RIGHT(D567,LEN(D567)-3),IF(A567=3,RIGHT(D567,LEN(D567)-5),RIGHT(D567,LEN(D567)-6))))</f>
        <v>Non-specialised wholesale trade</v>
      </c>
      <c r="D567" t="s">
        <v>1083</v>
      </c>
      <c r="E567" t="s">
        <v>503</v>
      </c>
      <c r="F567" t="s">
        <v>1084</v>
      </c>
    </row>
    <row r="568" spans="1:6" x14ac:dyDescent="0.35">
      <c r="A568">
        <v>4</v>
      </c>
      <c r="B568" t="s">
        <v>2585</v>
      </c>
      <c r="C568" t="str">
        <f>IF(A568=1,RIGHT(D568,LEN(D568)-2),IF(A568=2,RIGHT(D568,LEN(D568)-3),IF(A568=3,RIGHT(D568,LEN(D568)-5),RIGHT(D568,LEN(D568)-6))))</f>
        <v>Non-specialised wholesale trade</v>
      </c>
      <c r="D568" t="s">
        <v>2586</v>
      </c>
      <c r="E568" t="s">
        <v>1082</v>
      </c>
      <c r="F568" t="s">
        <v>2587</v>
      </c>
    </row>
    <row r="569" spans="1:6" x14ac:dyDescent="0.35">
      <c r="A569">
        <v>2</v>
      </c>
      <c r="B569" t="s">
        <v>506</v>
      </c>
      <c r="C569" t="str">
        <f>IF(A569=1,RIGHT(D569,LEN(D569)-2),IF(A569=2,RIGHT(D569,LEN(D569)-3),IF(A569=3,RIGHT(D569,LEN(D569)-5),RIGHT(D569,LEN(D569)-6))))</f>
        <v>Retail trade, except of motor vehicles and motorcycles</v>
      </c>
      <c r="D569" t="s">
        <v>507</v>
      </c>
      <c r="E569" t="s">
        <v>359</v>
      </c>
      <c r="F569" t="s">
        <v>508</v>
      </c>
    </row>
    <row r="570" spans="1:6" x14ac:dyDescent="0.35">
      <c r="A570">
        <v>3</v>
      </c>
      <c r="B570" t="s">
        <v>1085</v>
      </c>
      <c r="C570" t="str">
        <f>IF(A570=1,RIGHT(D570,LEN(D570)-2),IF(A570=2,RIGHT(D570,LEN(D570)-3),IF(A570=3,RIGHT(D570,LEN(D570)-5),RIGHT(D570,LEN(D570)-6))))</f>
        <v>Retail sale in non-specialised stores</v>
      </c>
      <c r="D570" t="s">
        <v>1086</v>
      </c>
      <c r="E570" t="s">
        <v>506</v>
      </c>
      <c r="F570" t="s">
        <v>1087</v>
      </c>
    </row>
    <row r="571" spans="1:6" x14ac:dyDescent="0.35">
      <c r="A571">
        <v>4</v>
      </c>
      <c r="B571" t="s">
        <v>2588</v>
      </c>
      <c r="C571" t="str">
        <f>IF(A571=1,RIGHT(D571,LEN(D571)-2),IF(A571=2,RIGHT(D571,LEN(D571)-3),IF(A571=3,RIGHT(D571,LEN(D571)-5),RIGHT(D571,LEN(D571)-6))))</f>
        <v>Retail sale in non-specialised stores with food, beverages or tobacco predominating</v>
      </c>
      <c r="D571" t="s">
        <v>2589</v>
      </c>
      <c r="E571" t="s">
        <v>1085</v>
      </c>
      <c r="F571" t="s">
        <v>2590</v>
      </c>
    </row>
    <row r="572" spans="1:6" x14ac:dyDescent="0.35">
      <c r="A572">
        <v>4</v>
      </c>
      <c r="B572" t="s">
        <v>2591</v>
      </c>
      <c r="C572" t="str">
        <f>IF(A572=1,RIGHT(D572,LEN(D572)-2),IF(A572=2,RIGHT(D572,LEN(D572)-3),IF(A572=3,RIGHT(D572,LEN(D572)-5),RIGHT(D572,LEN(D572)-6))))</f>
        <v>Other retail sale in non-specialised stores</v>
      </c>
      <c r="D572" t="s">
        <v>2592</v>
      </c>
      <c r="E572" t="s">
        <v>1085</v>
      </c>
      <c r="F572" t="s">
        <v>2593</v>
      </c>
    </row>
    <row r="573" spans="1:6" x14ac:dyDescent="0.35">
      <c r="A573">
        <v>3</v>
      </c>
      <c r="B573" t="s">
        <v>1088</v>
      </c>
      <c r="C573" t="str">
        <f>IF(A573=1,RIGHT(D573,LEN(D573)-2),IF(A573=2,RIGHT(D573,LEN(D573)-3),IF(A573=3,RIGHT(D573,LEN(D573)-5),RIGHT(D573,LEN(D573)-6))))</f>
        <v>Retail sale of food, beverages and tobacco in specialised stores</v>
      </c>
      <c r="D573" t="s">
        <v>1089</v>
      </c>
      <c r="E573" t="s">
        <v>506</v>
      </c>
      <c r="F573" t="s">
        <v>1090</v>
      </c>
    </row>
    <row r="574" spans="1:6" x14ac:dyDescent="0.35">
      <c r="A574">
        <v>4</v>
      </c>
      <c r="B574" t="s">
        <v>2594</v>
      </c>
      <c r="C574" t="str">
        <f>IF(A574=1,RIGHT(D574,LEN(D574)-2),IF(A574=2,RIGHT(D574,LEN(D574)-3),IF(A574=3,RIGHT(D574,LEN(D574)-5),RIGHT(D574,LEN(D574)-6))))</f>
        <v>Retail sale of fruit and vegetables in specialised stores</v>
      </c>
      <c r="D574" t="s">
        <v>2595</v>
      </c>
      <c r="E574" t="s">
        <v>1088</v>
      </c>
      <c r="F574" t="s">
        <v>2596</v>
      </c>
    </row>
    <row r="575" spans="1:6" x14ac:dyDescent="0.35">
      <c r="A575">
        <v>4</v>
      </c>
      <c r="B575" t="s">
        <v>2597</v>
      </c>
      <c r="C575" t="str">
        <f>IF(A575=1,RIGHT(D575,LEN(D575)-2),IF(A575=2,RIGHT(D575,LEN(D575)-3),IF(A575=3,RIGHT(D575,LEN(D575)-5),RIGHT(D575,LEN(D575)-6))))</f>
        <v>Retail sale of meat and meat products in specialised stores</v>
      </c>
      <c r="D575" t="s">
        <v>2598</v>
      </c>
      <c r="E575" t="s">
        <v>1088</v>
      </c>
      <c r="F575" t="s">
        <v>2599</v>
      </c>
    </row>
    <row r="576" spans="1:6" x14ac:dyDescent="0.35">
      <c r="A576">
        <v>4</v>
      </c>
      <c r="B576" t="s">
        <v>2600</v>
      </c>
      <c r="C576" t="str">
        <f>IF(A576=1,RIGHT(D576,LEN(D576)-2),IF(A576=2,RIGHT(D576,LEN(D576)-3),IF(A576=3,RIGHT(D576,LEN(D576)-5),RIGHT(D576,LEN(D576)-6))))</f>
        <v>Retail sale of fish, crustaceans and molluscs in specialised stores</v>
      </c>
      <c r="D576" t="s">
        <v>2601</v>
      </c>
      <c r="E576" t="s">
        <v>1088</v>
      </c>
      <c r="F576" t="s">
        <v>2602</v>
      </c>
    </row>
    <row r="577" spans="1:6" x14ac:dyDescent="0.35">
      <c r="A577">
        <v>4</v>
      </c>
      <c r="B577" t="s">
        <v>2603</v>
      </c>
      <c r="C577" t="str">
        <f>IF(A577=1,RIGHT(D577,LEN(D577)-2),IF(A577=2,RIGHT(D577,LEN(D577)-3),IF(A577=3,RIGHT(D577,LEN(D577)-5),RIGHT(D577,LEN(D577)-6))))</f>
        <v>Retail sale of bread, cakes, flour confectionery and sugar confectionery in specialised stores</v>
      </c>
      <c r="D577" t="s">
        <v>2604</v>
      </c>
      <c r="E577" t="s">
        <v>1088</v>
      </c>
      <c r="F577" t="s">
        <v>2605</v>
      </c>
    </row>
    <row r="578" spans="1:6" x14ac:dyDescent="0.35">
      <c r="A578">
        <v>4</v>
      </c>
      <c r="B578" t="s">
        <v>2606</v>
      </c>
      <c r="C578" t="str">
        <f>IF(A578=1,RIGHT(D578,LEN(D578)-2),IF(A578=2,RIGHT(D578,LEN(D578)-3),IF(A578=3,RIGHT(D578,LEN(D578)-5),RIGHT(D578,LEN(D578)-6))))</f>
        <v>Retail sale of beverages in specialised stores</v>
      </c>
      <c r="D578" t="s">
        <v>2607</v>
      </c>
      <c r="E578" t="s">
        <v>1088</v>
      </c>
      <c r="F578" t="s">
        <v>2608</v>
      </c>
    </row>
    <row r="579" spans="1:6" x14ac:dyDescent="0.35">
      <c r="A579">
        <v>4</v>
      </c>
      <c r="B579" t="s">
        <v>2609</v>
      </c>
      <c r="C579" t="str">
        <f>IF(A579=1,RIGHT(D579,LEN(D579)-2),IF(A579=2,RIGHT(D579,LEN(D579)-3),IF(A579=3,RIGHT(D579,LEN(D579)-5),RIGHT(D579,LEN(D579)-6))))</f>
        <v>Retail sale of tobacco products in specialised stores</v>
      </c>
      <c r="D579" t="s">
        <v>2610</v>
      </c>
      <c r="E579" t="s">
        <v>1088</v>
      </c>
      <c r="F579" t="s">
        <v>2611</v>
      </c>
    </row>
    <row r="580" spans="1:6" x14ac:dyDescent="0.35">
      <c r="A580">
        <v>4</v>
      </c>
      <c r="B580" t="s">
        <v>2612</v>
      </c>
      <c r="C580" t="str">
        <f>IF(A580=1,RIGHT(D580,LEN(D580)-2),IF(A580=2,RIGHT(D580,LEN(D580)-3),IF(A580=3,RIGHT(D580,LEN(D580)-5),RIGHT(D580,LEN(D580)-6))))</f>
        <v>Other retail sale of food in specialised stores</v>
      </c>
      <c r="D580" t="s">
        <v>2613</v>
      </c>
      <c r="E580" t="s">
        <v>1088</v>
      </c>
      <c r="F580" t="s">
        <v>2614</v>
      </c>
    </row>
    <row r="581" spans="1:6" x14ac:dyDescent="0.35">
      <c r="A581">
        <v>3</v>
      </c>
      <c r="B581" t="s">
        <v>1091</v>
      </c>
      <c r="C581" t="str">
        <f>IF(A581=1,RIGHT(D581,LEN(D581)-2),IF(A581=2,RIGHT(D581,LEN(D581)-3),IF(A581=3,RIGHT(D581,LEN(D581)-5),RIGHT(D581,LEN(D581)-6))))</f>
        <v>Retail sale of automotive fuel in specialised stores</v>
      </c>
      <c r="D581" t="s">
        <v>1092</v>
      </c>
      <c r="E581" t="s">
        <v>506</v>
      </c>
      <c r="F581" t="s">
        <v>1093</v>
      </c>
    </row>
    <row r="582" spans="1:6" x14ac:dyDescent="0.35">
      <c r="A582">
        <v>4</v>
      </c>
      <c r="B582" t="s">
        <v>2615</v>
      </c>
      <c r="C582" t="str">
        <f>IF(A582=1,RIGHT(D582,LEN(D582)-2),IF(A582=2,RIGHT(D582,LEN(D582)-3),IF(A582=3,RIGHT(D582,LEN(D582)-5),RIGHT(D582,LEN(D582)-6))))</f>
        <v>Retail sale of automotive fuel in specialised stores</v>
      </c>
      <c r="D582" t="s">
        <v>2616</v>
      </c>
      <c r="E582" t="s">
        <v>1091</v>
      </c>
      <c r="F582" t="s">
        <v>2617</v>
      </c>
    </row>
    <row r="583" spans="1:6" x14ac:dyDescent="0.35">
      <c r="A583">
        <v>3</v>
      </c>
      <c r="B583" t="s">
        <v>1094</v>
      </c>
      <c r="C583" t="str">
        <f>IF(A583=1,RIGHT(D583,LEN(D583)-2),IF(A583=2,RIGHT(D583,LEN(D583)-3),IF(A583=3,RIGHT(D583,LEN(D583)-5),RIGHT(D583,LEN(D583)-6))))</f>
        <v>Retail sale of information and communication equipment in specialised stores</v>
      </c>
      <c r="D583" t="s">
        <v>1095</v>
      </c>
      <c r="E583" t="s">
        <v>506</v>
      </c>
      <c r="F583" t="s">
        <v>1096</v>
      </c>
    </row>
    <row r="584" spans="1:6" x14ac:dyDescent="0.35">
      <c r="A584">
        <v>4</v>
      </c>
      <c r="B584" t="s">
        <v>2618</v>
      </c>
      <c r="C584" t="str">
        <f>IF(A584=1,RIGHT(D584,LEN(D584)-2),IF(A584=2,RIGHT(D584,LEN(D584)-3),IF(A584=3,RIGHT(D584,LEN(D584)-5),RIGHT(D584,LEN(D584)-6))))</f>
        <v>Retail sale of computers, peripheral units and software in specialised stores</v>
      </c>
      <c r="D584" t="s">
        <v>2619</v>
      </c>
      <c r="E584" t="s">
        <v>1094</v>
      </c>
      <c r="F584" t="s">
        <v>2620</v>
      </c>
    </row>
    <row r="585" spans="1:6" x14ac:dyDescent="0.35">
      <c r="A585">
        <v>4</v>
      </c>
      <c r="B585" t="s">
        <v>2621</v>
      </c>
      <c r="C585" t="str">
        <f>IF(A585=1,RIGHT(D585,LEN(D585)-2),IF(A585=2,RIGHT(D585,LEN(D585)-3),IF(A585=3,RIGHT(D585,LEN(D585)-5),RIGHT(D585,LEN(D585)-6))))</f>
        <v>Retail sale of telecommunications equipment in specialised stores</v>
      </c>
      <c r="D585" t="s">
        <v>2622</v>
      </c>
      <c r="E585" t="s">
        <v>1094</v>
      </c>
      <c r="F585" t="s">
        <v>2623</v>
      </c>
    </row>
    <row r="586" spans="1:6" x14ac:dyDescent="0.35">
      <c r="A586">
        <v>4</v>
      </c>
      <c r="B586" t="s">
        <v>2624</v>
      </c>
      <c r="C586" t="str">
        <f>IF(A586=1,RIGHT(D586,LEN(D586)-2),IF(A586=2,RIGHT(D586,LEN(D586)-3),IF(A586=3,RIGHT(D586,LEN(D586)-5),RIGHT(D586,LEN(D586)-6))))</f>
        <v>Retail sale of audio and video equipment in specialised stores</v>
      </c>
      <c r="D586" t="s">
        <v>2625</v>
      </c>
      <c r="E586" t="s">
        <v>1094</v>
      </c>
      <c r="F586" t="s">
        <v>2626</v>
      </c>
    </row>
    <row r="587" spans="1:6" x14ac:dyDescent="0.35">
      <c r="A587">
        <v>3</v>
      </c>
      <c r="B587" t="s">
        <v>1097</v>
      </c>
      <c r="C587" t="str">
        <f>IF(A587=1,RIGHT(D587,LEN(D587)-2),IF(A587=2,RIGHT(D587,LEN(D587)-3),IF(A587=3,RIGHT(D587,LEN(D587)-5),RIGHT(D587,LEN(D587)-6))))</f>
        <v>Retail sale of other household equipment in specialised stores</v>
      </c>
      <c r="D587" t="s">
        <v>1098</v>
      </c>
      <c r="E587" t="s">
        <v>506</v>
      </c>
      <c r="F587" t="s">
        <v>1099</v>
      </c>
    </row>
    <row r="588" spans="1:6" x14ac:dyDescent="0.35">
      <c r="A588">
        <v>4</v>
      </c>
      <c r="B588" t="s">
        <v>2627</v>
      </c>
      <c r="C588" t="str">
        <f>IF(A588=1,RIGHT(D588,LEN(D588)-2),IF(A588=2,RIGHT(D588,LEN(D588)-3),IF(A588=3,RIGHT(D588,LEN(D588)-5),RIGHT(D588,LEN(D588)-6))))</f>
        <v>Retail sale of textiles in specialised stores</v>
      </c>
      <c r="D588" t="s">
        <v>2628</v>
      </c>
      <c r="E588" t="s">
        <v>1097</v>
      </c>
      <c r="F588" t="s">
        <v>2629</v>
      </c>
    </row>
    <row r="589" spans="1:6" x14ac:dyDescent="0.35">
      <c r="A589">
        <v>4</v>
      </c>
      <c r="B589" t="s">
        <v>2630</v>
      </c>
      <c r="C589" t="str">
        <f>IF(A589=1,RIGHT(D589,LEN(D589)-2),IF(A589=2,RIGHT(D589,LEN(D589)-3),IF(A589=3,RIGHT(D589,LEN(D589)-5),RIGHT(D589,LEN(D589)-6))))</f>
        <v>Retail sale of hardware, paints and glass in specialised stores</v>
      </c>
      <c r="D589" t="s">
        <v>2631</v>
      </c>
      <c r="E589" t="s">
        <v>1097</v>
      </c>
      <c r="F589" t="s">
        <v>2632</v>
      </c>
    </row>
    <row r="590" spans="1:6" x14ac:dyDescent="0.35">
      <c r="A590">
        <v>4</v>
      </c>
      <c r="B590" t="s">
        <v>2633</v>
      </c>
      <c r="C590" t="str">
        <f>IF(A590=1,RIGHT(D590,LEN(D590)-2),IF(A590=2,RIGHT(D590,LEN(D590)-3),IF(A590=3,RIGHT(D590,LEN(D590)-5),RIGHT(D590,LEN(D590)-6))))</f>
        <v>Retail sale of carpets, rugs, wall and floor coverings in specialised stores</v>
      </c>
      <c r="D590" t="s">
        <v>2634</v>
      </c>
      <c r="E590" t="s">
        <v>1097</v>
      </c>
      <c r="F590" t="s">
        <v>2635</v>
      </c>
    </row>
    <row r="591" spans="1:6" x14ac:dyDescent="0.35">
      <c r="A591">
        <v>4</v>
      </c>
      <c r="B591" t="s">
        <v>2636</v>
      </c>
      <c r="C591" t="str">
        <f>IF(A591=1,RIGHT(D591,LEN(D591)-2),IF(A591=2,RIGHT(D591,LEN(D591)-3),IF(A591=3,RIGHT(D591,LEN(D591)-5),RIGHT(D591,LEN(D591)-6))))</f>
        <v>Retail sale of electrical household appliances in specialised stores</v>
      </c>
      <c r="D591" t="s">
        <v>2637</v>
      </c>
      <c r="E591" t="s">
        <v>1097</v>
      </c>
      <c r="F591" t="s">
        <v>2638</v>
      </c>
    </row>
    <row r="592" spans="1:6" x14ac:dyDescent="0.35">
      <c r="A592">
        <v>4</v>
      </c>
      <c r="B592" t="s">
        <v>2639</v>
      </c>
      <c r="C592" t="str">
        <f>IF(A592=1,RIGHT(D592,LEN(D592)-2),IF(A592=2,RIGHT(D592,LEN(D592)-3),IF(A592=3,RIGHT(D592,LEN(D592)-5),RIGHT(D592,LEN(D592)-6))))</f>
        <v>Retail sale of furniture, lighting equipment and other household articles in specialised stores</v>
      </c>
      <c r="D592" t="s">
        <v>2640</v>
      </c>
      <c r="E592" t="s">
        <v>1097</v>
      </c>
      <c r="F592" t="s">
        <v>2641</v>
      </c>
    </row>
    <row r="593" spans="1:6" x14ac:dyDescent="0.35">
      <c r="A593">
        <v>3</v>
      </c>
      <c r="B593" t="s">
        <v>1100</v>
      </c>
      <c r="C593" t="str">
        <f>IF(A593=1,RIGHT(D593,LEN(D593)-2),IF(A593=2,RIGHT(D593,LEN(D593)-3),IF(A593=3,RIGHT(D593,LEN(D593)-5),RIGHT(D593,LEN(D593)-6))))</f>
        <v>Retail sale of cultural and recreation goods in specialised stores</v>
      </c>
      <c r="D593" t="s">
        <v>1101</v>
      </c>
      <c r="E593" t="s">
        <v>506</v>
      </c>
      <c r="F593" t="s">
        <v>1102</v>
      </c>
    </row>
    <row r="594" spans="1:6" x14ac:dyDescent="0.35">
      <c r="A594">
        <v>4</v>
      </c>
      <c r="B594" t="s">
        <v>2642</v>
      </c>
      <c r="C594" t="str">
        <f>IF(A594=1,RIGHT(D594,LEN(D594)-2),IF(A594=2,RIGHT(D594,LEN(D594)-3),IF(A594=3,RIGHT(D594,LEN(D594)-5),RIGHT(D594,LEN(D594)-6))))</f>
        <v>Retail sale of books in specialised stores</v>
      </c>
      <c r="D594" t="s">
        <v>2643</v>
      </c>
      <c r="E594" t="s">
        <v>1100</v>
      </c>
      <c r="F594" t="s">
        <v>2644</v>
      </c>
    </row>
    <row r="595" spans="1:6" x14ac:dyDescent="0.35">
      <c r="A595">
        <v>4</v>
      </c>
      <c r="B595" t="s">
        <v>2645</v>
      </c>
      <c r="C595" t="str">
        <f>IF(A595=1,RIGHT(D595,LEN(D595)-2),IF(A595=2,RIGHT(D595,LEN(D595)-3),IF(A595=3,RIGHT(D595,LEN(D595)-5),RIGHT(D595,LEN(D595)-6))))</f>
        <v>Retail sale of newspapers and stationery in specialised stores</v>
      </c>
      <c r="D595" t="s">
        <v>2646</v>
      </c>
      <c r="E595" t="s">
        <v>1100</v>
      </c>
      <c r="F595" t="s">
        <v>2647</v>
      </c>
    </row>
    <row r="596" spans="1:6" x14ac:dyDescent="0.35">
      <c r="A596">
        <v>4</v>
      </c>
      <c r="B596" t="s">
        <v>2648</v>
      </c>
      <c r="C596" t="str">
        <f>IF(A596=1,RIGHT(D596,LEN(D596)-2),IF(A596=2,RIGHT(D596,LEN(D596)-3),IF(A596=3,RIGHT(D596,LEN(D596)-5),RIGHT(D596,LEN(D596)-6))))</f>
        <v>Retail sale of music and video recordings in specialised stores</v>
      </c>
      <c r="D596" t="s">
        <v>2649</v>
      </c>
      <c r="E596" t="s">
        <v>1100</v>
      </c>
      <c r="F596" t="s">
        <v>2650</v>
      </c>
    </row>
    <row r="597" spans="1:6" x14ac:dyDescent="0.35">
      <c r="A597">
        <v>4</v>
      </c>
      <c r="B597" t="s">
        <v>2651</v>
      </c>
      <c r="C597" t="str">
        <f>IF(A597=1,RIGHT(D597,LEN(D597)-2),IF(A597=2,RIGHT(D597,LEN(D597)-3),IF(A597=3,RIGHT(D597,LEN(D597)-5),RIGHT(D597,LEN(D597)-6))))</f>
        <v>Retail sale of sporting equipment in specialised stores</v>
      </c>
      <c r="D597" t="s">
        <v>2652</v>
      </c>
      <c r="E597" t="s">
        <v>1100</v>
      </c>
      <c r="F597" t="s">
        <v>2653</v>
      </c>
    </row>
    <row r="598" spans="1:6" x14ac:dyDescent="0.35">
      <c r="A598">
        <v>4</v>
      </c>
      <c r="B598" t="s">
        <v>2654</v>
      </c>
      <c r="C598" t="str">
        <f>IF(A598=1,RIGHT(D598,LEN(D598)-2),IF(A598=2,RIGHT(D598,LEN(D598)-3),IF(A598=3,RIGHT(D598,LEN(D598)-5),RIGHT(D598,LEN(D598)-6))))</f>
        <v>Retail sale of games and toys in specialised stores</v>
      </c>
      <c r="D598" t="s">
        <v>2655</v>
      </c>
      <c r="E598" t="s">
        <v>1100</v>
      </c>
      <c r="F598" t="s">
        <v>2656</v>
      </c>
    </row>
    <row r="599" spans="1:6" x14ac:dyDescent="0.35">
      <c r="A599">
        <v>3</v>
      </c>
      <c r="B599" t="s">
        <v>1103</v>
      </c>
      <c r="C599" t="str">
        <f>IF(A599=1,RIGHT(D599,LEN(D599)-2),IF(A599=2,RIGHT(D599,LEN(D599)-3),IF(A599=3,RIGHT(D599,LEN(D599)-5),RIGHT(D599,LEN(D599)-6))))</f>
        <v>Retail sale of other goods in specialised stores</v>
      </c>
      <c r="D599" t="s">
        <v>1104</v>
      </c>
      <c r="E599" t="s">
        <v>506</v>
      </c>
      <c r="F599" t="s">
        <v>1105</v>
      </c>
    </row>
    <row r="600" spans="1:6" x14ac:dyDescent="0.35">
      <c r="A600">
        <v>4</v>
      </c>
      <c r="B600" t="s">
        <v>2657</v>
      </c>
      <c r="C600" t="str">
        <f>IF(A600=1,RIGHT(D600,LEN(D600)-2),IF(A600=2,RIGHT(D600,LEN(D600)-3),IF(A600=3,RIGHT(D600,LEN(D600)-5),RIGHT(D600,LEN(D600)-6))))</f>
        <v>Retail sale of clothing in specialised stores</v>
      </c>
      <c r="D600" t="s">
        <v>2658</v>
      </c>
      <c r="E600" t="s">
        <v>1103</v>
      </c>
      <c r="F600" t="s">
        <v>2659</v>
      </c>
    </row>
    <row r="601" spans="1:6" x14ac:dyDescent="0.35">
      <c r="A601">
        <v>4</v>
      </c>
      <c r="B601" t="s">
        <v>2660</v>
      </c>
      <c r="C601" t="str">
        <f>IF(A601=1,RIGHT(D601,LEN(D601)-2),IF(A601=2,RIGHT(D601,LEN(D601)-3),IF(A601=3,RIGHT(D601,LEN(D601)-5),RIGHT(D601,LEN(D601)-6))))</f>
        <v>Retail sale of footwear and leather goods in specialised stores</v>
      </c>
      <c r="D601" t="s">
        <v>2661</v>
      </c>
      <c r="E601" t="s">
        <v>1103</v>
      </c>
      <c r="F601" t="s">
        <v>2662</v>
      </c>
    </row>
    <row r="602" spans="1:6" x14ac:dyDescent="0.35">
      <c r="A602">
        <v>4</v>
      </c>
      <c r="B602" t="s">
        <v>2663</v>
      </c>
      <c r="C602" t="str">
        <f>IF(A602=1,RIGHT(D602,LEN(D602)-2),IF(A602=2,RIGHT(D602,LEN(D602)-3),IF(A602=3,RIGHT(D602,LEN(D602)-5),RIGHT(D602,LEN(D602)-6))))</f>
        <v>Dispensing chemist in specialised stores</v>
      </c>
      <c r="D602" t="s">
        <v>2664</v>
      </c>
      <c r="E602" t="s">
        <v>1103</v>
      </c>
      <c r="F602" t="s">
        <v>2665</v>
      </c>
    </row>
    <row r="603" spans="1:6" x14ac:dyDescent="0.35">
      <c r="A603">
        <v>4</v>
      </c>
      <c r="B603" t="s">
        <v>2666</v>
      </c>
      <c r="C603" t="str">
        <f>IF(A603=1,RIGHT(D603,LEN(D603)-2),IF(A603=2,RIGHT(D603,LEN(D603)-3),IF(A603=3,RIGHT(D603,LEN(D603)-5),RIGHT(D603,LEN(D603)-6))))</f>
        <v>Retail sale of medical and orthopaedic goods in specialised stores</v>
      </c>
      <c r="D603" t="s">
        <v>2667</v>
      </c>
      <c r="E603" t="s">
        <v>1103</v>
      </c>
      <c r="F603" t="s">
        <v>2668</v>
      </c>
    </row>
    <row r="604" spans="1:6" x14ac:dyDescent="0.35">
      <c r="A604">
        <v>4</v>
      </c>
      <c r="B604" t="s">
        <v>2669</v>
      </c>
      <c r="C604" t="str">
        <f>IF(A604=1,RIGHT(D604,LEN(D604)-2),IF(A604=2,RIGHT(D604,LEN(D604)-3),IF(A604=3,RIGHT(D604,LEN(D604)-5),RIGHT(D604,LEN(D604)-6))))</f>
        <v>Retail sale of cosmetic and toilet articles in specialised stores</v>
      </c>
      <c r="D604" t="s">
        <v>2670</v>
      </c>
      <c r="E604" t="s">
        <v>1103</v>
      </c>
      <c r="F604" t="s">
        <v>2671</v>
      </c>
    </row>
    <row r="605" spans="1:6" x14ac:dyDescent="0.35">
      <c r="A605">
        <v>4</v>
      </c>
      <c r="B605" t="s">
        <v>2672</v>
      </c>
      <c r="C605" t="str">
        <f>IF(A605=1,RIGHT(D605,LEN(D605)-2),IF(A605=2,RIGHT(D605,LEN(D605)-3),IF(A605=3,RIGHT(D605,LEN(D605)-5),RIGHT(D605,LEN(D605)-6))))</f>
        <v>Retail sale of flowers, plants, seeds, fertilisers, pet animals and pet food in specialised stores</v>
      </c>
      <c r="D605" t="s">
        <v>2673</v>
      </c>
      <c r="E605" t="s">
        <v>1103</v>
      </c>
      <c r="F605" t="s">
        <v>2674</v>
      </c>
    </row>
    <row r="606" spans="1:6" x14ac:dyDescent="0.35">
      <c r="A606">
        <v>4</v>
      </c>
      <c r="B606" t="s">
        <v>2675</v>
      </c>
      <c r="C606" t="str">
        <f>IF(A606=1,RIGHT(D606,LEN(D606)-2),IF(A606=2,RIGHT(D606,LEN(D606)-3),IF(A606=3,RIGHT(D606,LEN(D606)-5),RIGHT(D606,LEN(D606)-6))))</f>
        <v>Retail sale of watches and jewellery in specialised stores</v>
      </c>
      <c r="D606" t="s">
        <v>2676</v>
      </c>
      <c r="E606" t="s">
        <v>1103</v>
      </c>
      <c r="F606" t="s">
        <v>2677</v>
      </c>
    </row>
    <row r="607" spans="1:6" x14ac:dyDescent="0.35">
      <c r="A607">
        <v>4</v>
      </c>
      <c r="B607" t="s">
        <v>2678</v>
      </c>
      <c r="C607" t="str">
        <f>IF(A607=1,RIGHT(D607,LEN(D607)-2),IF(A607=2,RIGHT(D607,LEN(D607)-3),IF(A607=3,RIGHT(D607,LEN(D607)-5),RIGHT(D607,LEN(D607)-6))))</f>
        <v>Other retail sale of new goods in specialised stores</v>
      </c>
      <c r="D607" t="s">
        <v>2679</v>
      </c>
      <c r="E607" t="s">
        <v>1103</v>
      </c>
      <c r="F607" t="s">
        <v>2680</v>
      </c>
    </row>
    <row r="608" spans="1:6" x14ac:dyDescent="0.35">
      <c r="A608">
        <v>4</v>
      </c>
      <c r="B608" t="s">
        <v>2681</v>
      </c>
      <c r="C608" t="str">
        <f>IF(A608=1,RIGHT(D608,LEN(D608)-2),IF(A608=2,RIGHT(D608,LEN(D608)-3),IF(A608=3,RIGHT(D608,LEN(D608)-5),RIGHT(D608,LEN(D608)-6))))</f>
        <v>Retail sale of second-hand goods in stores</v>
      </c>
      <c r="D608" t="s">
        <v>2682</v>
      </c>
      <c r="E608" t="s">
        <v>1103</v>
      </c>
      <c r="F608" t="s">
        <v>2683</v>
      </c>
    </row>
    <row r="609" spans="1:6" x14ac:dyDescent="0.35">
      <c r="A609">
        <v>3</v>
      </c>
      <c r="B609" t="s">
        <v>1106</v>
      </c>
      <c r="C609" t="str">
        <f>IF(A609=1,RIGHT(D609,LEN(D609)-2),IF(A609=2,RIGHT(D609,LEN(D609)-3),IF(A609=3,RIGHT(D609,LEN(D609)-5),RIGHT(D609,LEN(D609)-6))))</f>
        <v>Retail sale via stalls and markets</v>
      </c>
      <c r="D609" t="s">
        <v>1107</v>
      </c>
      <c r="E609" t="s">
        <v>506</v>
      </c>
      <c r="F609" t="s">
        <v>1108</v>
      </c>
    </row>
    <row r="610" spans="1:6" x14ac:dyDescent="0.35">
      <c r="A610">
        <v>4</v>
      </c>
      <c r="B610" t="s">
        <v>2684</v>
      </c>
      <c r="C610" t="str">
        <f>IF(A610=1,RIGHT(D610,LEN(D610)-2),IF(A610=2,RIGHT(D610,LEN(D610)-3),IF(A610=3,RIGHT(D610,LEN(D610)-5),RIGHT(D610,LEN(D610)-6))))</f>
        <v>Retail sale via stalls and markets of food, beverages and tobacco products</v>
      </c>
      <c r="D610" t="s">
        <v>2685</v>
      </c>
      <c r="E610" t="s">
        <v>1106</v>
      </c>
      <c r="F610" t="s">
        <v>2686</v>
      </c>
    </row>
    <row r="611" spans="1:6" x14ac:dyDescent="0.35">
      <c r="A611">
        <v>4</v>
      </c>
      <c r="B611" t="s">
        <v>2687</v>
      </c>
      <c r="C611" t="str">
        <f>IF(A611=1,RIGHT(D611,LEN(D611)-2),IF(A611=2,RIGHT(D611,LEN(D611)-3),IF(A611=3,RIGHT(D611,LEN(D611)-5),RIGHT(D611,LEN(D611)-6))))</f>
        <v>Retail sale via stalls and markets of textiles, clothing and footwear</v>
      </c>
      <c r="D611" t="s">
        <v>2688</v>
      </c>
      <c r="E611" t="s">
        <v>1106</v>
      </c>
      <c r="F611" t="s">
        <v>2689</v>
      </c>
    </row>
    <row r="612" spans="1:6" x14ac:dyDescent="0.35">
      <c r="A612">
        <v>4</v>
      </c>
      <c r="B612" t="s">
        <v>2690</v>
      </c>
      <c r="C612" t="str">
        <f>IF(A612=1,RIGHT(D612,LEN(D612)-2),IF(A612=2,RIGHT(D612,LEN(D612)-3),IF(A612=3,RIGHT(D612,LEN(D612)-5),RIGHT(D612,LEN(D612)-6))))</f>
        <v>Retail sale via stalls and markets of other goods</v>
      </c>
      <c r="D612" t="s">
        <v>2691</v>
      </c>
      <c r="E612" t="s">
        <v>1106</v>
      </c>
      <c r="F612" t="s">
        <v>2692</v>
      </c>
    </row>
    <row r="613" spans="1:6" x14ac:dyDescent="0.35">
      <c r="A613">
        <v>3</v>
      </c>
      <c r="B613" t="s">
        <v>1109</v>
      </c>
      <c r="C613" t="str">
        <f>IF(A613=1,RIGHT(D613,LEN(D613)-2),IF(A613=2,RIGHT(D613,LEN(D613)-3),IF(A613=3,RIGHT(D613,LEN(D613)-5),RIGHT(D613,LEN(D613)-6))))</f>
        <v>Retail trade not in stores, stalls or markets</v>
      </c>
      <c r="D613" t="s">
        <v>1110</v>
      </c>
      <c r="E613" t="s">
        <v>506</v>
      </c>
      <c r="F613" t="s">
        <v>1111</v>
      </c>
    </row>
    <row r="614" spans="1:6" x14ac:dyDescent="0.35">
      <c r="A614">
        <v>4</v>
      </c>
      <c r="B614" t="s">
        <v>2693</v>
      </c>
      <c r="C614" t="str">
        <f>IF(A614=1,RIGHT(D614,LEN(D614)-2),IF(A614=2,RIGHT(D614,LEN(D614)-3),IF(A614=3,RIGHT(D614,LEN(D614)-5),RIGHT(D614,LEN(D614)-6))))</f>
        <v>Retail sale via mail order houses or via Internet</v>
      </c>
      <c r="D614" t="s">
        <v>2694</v>
      </c>
      <c r="E614" t="s">
        <v>1109</v>
      </c>
      <c r="F614" t="s">
        <v>2695</v>
      </c>
    </row>
    <row r="615" spans="1:6" x14ac:dyDescent="0.35">
      <c r="A615">
        <v>4</v>
      </c>
      <c r="B615" t="s">
        <v>2696</v>
      </c>
      <c r="C615" t="str">
        <f>IF(A615=1,RIGHT(D615,LEN(D615)-2),IF(A615=2,RIGHT(D615,LEN(D615)-3),IF(A615=3,RIGHT(D615,LEN(D615)-5),RIGHT(D615,LEN(D615)-6))))</f>
        <v>Other retail sale not in stores, stalls or markets</v>
      </c>
      <c r="D615" t="s">
        <v>2697</v>
      </c>
      <c r="E615" t="s">
        <v>1109</v>
      </c>
      <c r="F615" t="s">
        <v>2698</v>
      </c>
    </row>
    <row r="616" spans="1:6" x14ac:dyDescent="0.35">
      <c r="A616">
        <v>2</v>
      </c>
      <c r="B616" t="s">
        <v>509</v>
      </c>
      <c r="C616" t="str">
        <f>IF(A616=1,RIGHT(D616,LEN(D616)-2),IF(A616=2,RIGHT(D616,LEN(D616)-3),IF(A616=3,RIGHT(D616,LEN(D616)-5),RIGHT(D616,LEN(D616)-6))))</f>
        <v>Land transport and transport via pipelines</v>
      </c>
      <c r="D616" t="s">
        <v>510</v>
      </c>
      <c r="E616" t="s">
        <v>362</v>
      </c>
      <c r="F616" t="s">
        <v>511</v>
      </c>
    </row>
    <row r="617" spans="1:6" x14ac:dyDescent="0.35">
      <c r="A617">
        <v>3</v>
      </c>
      <c r="B617" t="s">
        <v>1112</v>
      </c>
      <c r="C617" t="str">
        <f>IF(A617=1,RIGHT(D617,LEN(D617)-2),IF(A617=2,RIGHT(D617,LEN(D617)-3),IF(A617=3,RIGHT(D617,LEN(D617)-5),RIGHT(D617,LEN(D617)-6))))</f>
        <v>Passenger rail transport, interurban</v>
      </c>
      <c r="D617" t="s">
        <v>1113</v>
      </c>
      <c r="E617" t="s">
        <v>509</v>
      </c>
      <c r="F617" t="s">
        <v>1114</v>
      </c>
    </row>
    <row r="618" spans="1:6" x14ac:dyDescent="0.35">
      <c r="A618">
        <v>4</v>
      </c>
      <c r="B618" t="s">
        <v>2699</v>
      </c>
      <c r="C618" t="str">
        <f>IF(A618=1,RIGHT(D618,LEN(D618)-2),IF(A618=2,RIGHT(D618,LEN(D618)-3),IF(A618=3,RIGHT(D618,LEN(D618)-5),RIGHT(D618,LEN(D618)-6))))</f>
        <v>Passenger rail transport, interurban</v>
      </c>
      <c r="D618" t="s">
        <v>2700</v>
      </c>
      <c r="E618" t="s">
        <v>1112</v>
      </c>
      <c r="F618" t="s">
        <v>2701</v>
      </c>
    </row>
    <row r="619" spans="1:6" x14ac:dyDescent="0.35">
      <c r="A619">
        <v>3</v>
      </c>
      <c r="B619" t="s">
        <v>1115</v>
      </c>
      <c r="C619" t="str">
        <f>IF(A619=1,RIGHT(D619,LEN(D619)-2),IF(A619=2,RIGHT(D619,LEN(D619)-3),IF(A619=3,RIGHT(D619,LEN(D619)-5),RIGHT(D619,LEN(D619)-6))))</f>
        <v>Freight rail transport</v>
      </c>
      <c r="D619" t="s">
        <v>1116</v>
      </c>
      <c r="E619" t="s">
        <v>509</v>
      </c>
      <c r="F619" t="s">
        <v>1117</v>
      </c>
    </row>
    <row r="620" spans="1:6" x14ac:dyDescent="0.35">
      <c r="A620">
        <v>4</v>
      </c>
      <c r="B620" t="s">
        <v>2702</v>
      </c>
      <c r="C620" t="str">
        <f>IF(A620=1,RIGHT(D620,LEN(D620)-2),IF(A620=2,RIGHT(D620,LEN(D620)-3),IF(A620=3,RIGHT(D620,LEN(D620)-5),RIGHT(D620,LEN(D620)-6))))</f>
        <v>Freight rail transport</v>
      </c>
      <c r="D620" t="s">
        <v>2703</v>
      </c>
      <c r="E620" t="s">
        <v>1115</v>
      </c>
      <c r="F620" t="s">
        <v>2704</v>
      </c>
    </row>
    <row r="621" spans="1:6" x14ac:dyDescent="0.35">
      <c r="A621">
        <v>3</v>
      </c>
      <c r="B621" t="s">
        <v>1118</v>
      </c>
      <c r="C621" t="str">
        <f>IF(A621=1,RIGHT(D621,LEN(D621)-2),IF(A621=2,RIGHT(D621,LEN(D621)-3),IF(A621=3,RIGHT(D621,LEN(D621)-5),RIGHT(D621,LEN(D621)-6))))</f>
        <v>Other passenger land transport</v>
      </c>
      <c r="D621" t="s">
        <v>1119</v>
      </c>
      <c r="E621" t="s">
        <v>509</v>
      </c>
      <c r="F621" t="s">
        <v>1120</v>
      </c>
    </row>
    <row r="622" spans="1:6" x14ac:dyDescent="0.35">
      <c r="A622">
        <v>4</v>
      </c>
      <c r="B622" t="s">
        <v>2705</v>
      </c>
      <c r="C622" t="str">
        <f>IF(A622=1,RIGHT(D622,LEN(D622)-2),IF(A622=2,RIGHT(D622,LEN(D622)-3),IF(A622=3,RIGHT(D622,LEN(D622)-5),RIGHT(D622,LEN(D622)-6))))</f>
        <v>Urban and suburban passenger land transport</v>
      </c>
      <c r="D622" t="s">
        <v>2706</v>
      </c>
      <c r="E622" t="s">
        <v>1118</v>
      </c>
      <c r="F622" t="s">
        <v>2707</v>
      </c>
    </row>
    <row r="623" spans="1:6" x14ac:dyDescent="0.35">
      <c r="A623">
        <v>4</v>
      </c>
      <c r="B623" t="s">
        <v>2708</v>
      </c>
      <c r="C623" t="str">
        <f>IF(A623=1,RIGHT(D623,LEN(D623)-2),IF(A623=2,RIGHT(D623,LEN(D623)-3),IF(A623=3,RIGHT(D623,LEN(D623)-5),RIGHT(D623,LEN(D623)-6))))</f>
        <v>Taxi operation</v>
      </c>
      <c r="D623" t="s">
        <v>2709</v>
      </c>
      <c r="E623" t="s">
        <v>1118</v>
      </c>
      <c r="F623" t="s">
        <v>2710</v>
      </c>
    </row>
    <row r="624" spans="1:6" x14ac:dyDescent="0.35">
      <c r="A624">
        <v>4</v>
      </c>
      <c r="B624" t="s">
        <v>2711</v>
      </c>
      <c r="C624" t="str">
        <f>IF(A624=1,RIGHT(D624,LEN(D624)-2),IF(A624=2,RIGHT(D624,LEN(D624)-3),IF(A624=3,RIGHT(D624,LEN(D624)-5),RIGHT(D624,LEN(D624)-6))))</f>
        <v>Other passenger land transport n.e.c.</v>
      </c>
      <c r="D624" t="s">
        <v>2712</v>
      </c>
      <c r="E624" t="s">
        <v>1118</v>
      </c>
      <c r="F624" t="s">
        <v>2713</v>
      </c>
    </row>
    <row r="625" spans="1:6" x14ac:dyDescent="0.35">
      <c r="A625">
        <v>3</v>
      </c>
      <c r="B625" t="s">
        <v>1121</v>
      </c>
      <c r="C625" t="str">
        <f>IF(A625=1,RIGHT(D625,LEN(D625)-2),IF(A625=2,RIGHT(D625,LEN(D625)-3),IF(A625=3,RIGHT(D625,LEN(D625)-5),RIGHT(D625,LEN(D625)-6))))</f>
        <v>Freight transport by road and removal services</v>
      </c>
      <c r="D625" t="s">
        <v>1122</v>
      </c>
      <c r="E625" t="s">
        <v>509</v>
      </c>
      <c r="F625" t="s">
        <v>1123</v>
      </c>
    </row>
    <row r="626" spans="1:6" x14ac:dyDescent="0.35">
      <c r="A626">
        <v>4</v>
      </c>
      <c r="B626" t="s">
        <v>2714</v>
      </c>
      <c r="C626" t="str">
        <f>IF(A626=1,RIGHT(D626,LEN(D626)-2),IF(A626=2,RIGHT(D626,LEN(D626)-3),IF(A626=3,RIGHT(D626,LEN(D626)-5),RIGHT(D626,LEN(D626)-6))))</f>
        <v>Freight transport by road</v>
      </c>
      <c r="D626" t="s">
        <v>2715</v>
      </c>
      <c r="E626" t="s">
        <v>1121</v>
      </c>
      <c r="F626" t="s">
        <v>2716</v>
      </c>
    </row>
    <row r="627" spans="1:6" x14ac:dyDescent="0.35">
      <c r="A627">
        <v>4</v>
      </c>
      <c r="B627" t="s">
        <v>2717</v>
      </c>
      <c r="C627" t="str">
        <f>IF(A627=1,RIGHT(D627,LEN(D627)-2),IF(A627=2,RIGHT(D627,LEN(D627)-3),IF(A627=3,RIGHT(D627,LEN(D627)-5),RIGHT(D627,LEN(D627)-6))))</f>
        <v>Removal services</v>
      </c>
      <c r="D627" t="s">
        <v>2718</v>
      </c>
      <c r="E627" t="s">
        <v>1121</v>
      </c>
      <c r="F627" t="s">
        <v>2719</v>
      </c>
    </row>
    <row r="628" spans="1:6" x14ac:dyDescent="0.35">
      <c r="A628">
        <v>3</v>
      </c>
      <c r="B628" t="s">
        <v>1124</v>
      </c>
      <c r="C628" t="str">
        <f>IF(A628=1,RIGHT(D628,LEN(D628)-2),IF(A628=2,RIGHT(D628,LEN(D628)-3),IF(A628=3,RIGHT(D628,LEN(D628)-5),RIGHT(D628,LEN(D628)-6))))</f>
        <v>Transport via pipeline</v>
      </c>
      <c r="D628" t="s">
        <v>1125</v>
      </c>
      <c r="E628" t="s">
        <v>509</v>
      </c>
      <c r="F628" t="s">
        <v>1126</v>
      </c>
    </row>
    <row r="629" spans="1:6" x14ac:dyDescent="0.35">
      <c r="A629">
        <v>4</v>
      </c>
      <c r="B629" t="s">
        <v>2720</v>
      </c>
      <c r="C629" t="str">
        <f>IF(A629=1,RIGHT(D629,LEN(D629)-2),IF(A629=2,RIGHT(D629,LEN(D629)-3),IF(A629=3,RIGHT(D629,LEN(D629)-5),RIGHT(D629,LEN(D629)-6))))</f>
        <v>Transport via pipeline</v>
      </c>
      <c r="D629" t="s">
        <v>2721</v>
      </c>
      <c r="E629" t="s">
        <v>1124</v>
      </c>
      <c r="F629" t="s">
        <v>2722</v>
      </c>
    </row>
    <row r="630" spans="1:6" x14ac:dyDescent="0.35">
      <c r="A630">
        <v>2</v>
      </c>
      <c r="B630" t="s">
        <v>58</v>
      </c>
      <c r="C630" t="str">
        <f>IF(A630=1,RIGHT(D630,LEN(D630)-2),IF(A630=2,RIGHT(D630,LEN(D630)-3),IF(A630=3,RIGHT(D630,LEN(D630)-5),RIGHT(D630,LEN(D630)-6))))</f>
        <v>Water transport</v>
      </c>
      <c r="D630" t="s">
        <v>512</v>
      </c>
      <c r="E630" t="s">
        <v>362</v>
      </c>
      <c r="F630" t="s">
        <v>513</v>
      </c>
    </row>
    <row r="631" spans="1:6" x14ac:dyDescent="0.35">
      <c r="A631">
        <v>3</v>
      </c>
      <c r="B631" t="s">
        <v>1127</v>
      </c>
      <c r="C631" t="str">
        <f>IF(A631=1,RIGHT(D631,LEN(D631)-2),IF(A631=2,RIGHT(D631,LEN(D631)-3),IF(A631=3,RIGHT(D631,LEN(D631)-5),RIGHT(D631,LEN(D631)-6))))</f>
        <v>Sea and coastal passenger water transport</v>
      </c>
      <c r="D631" t="s">
        <v>1128</v>
      </c>
      <c r="E631" t="s">
        <v>58</v>
      </c>
      <c r="F631" t="s">
        <v>1129</v>
      </c>
    </row>
    <row r="632" spans="1:6" x14ac:dyDescent="0.35">
      <c r="A632">
        <v>4</v>
      </c>
      <c r="B632" t="s">
        <v>2723</v>
      </c>
      <c r="C632" t="str">
        <f>IF(A632=1,RIGHT(D632,LEN(D632)-2),IF(A632=2,RIGHT(D632,LEN(D632)-3),IF(A632=3,RIGHT(D632,LEN(D632)-5),RIGHT(D632,LEN(D632)-6))))</f>
        <v>Sea and coastal passenger water transport</v>
      </c>
      <c r="D632" t="s">
        <v>2724</v>
      </c>
      <c r="E632" t="s">
        <v>1127</v>
      </c>
      <c r="F632" t="s">
        <v>2725</v>
      </c>
    </row>
    <row r="633" spans="1:6" x14ac:dyDescent="0.35">
      <c r="A633">
        <v>3</v>
      </c>
      <c r="B633" t="s">
        <v>1130</v>
      </c>
      <c r="C633" t="str">
        <f>IF(A633=1,RIGHT(D633,LEN(D633)-2),IF(A633=2,RIGHT(D633,LEN(D633)-3),IF(A633=3,RIGHT(D633,LEN(D633)-5),RIGHT(D633,LEN(D633)-6))))</f>
        <v>Sea and coastal freight water transport</v>
      </c>
      <c r="D633" t="s">
        <v>1131</v>
      </c>
      <c r="E633" t="s">
        <v>58</v>
      </c>
      <c r="F633" t="s">
        <v>1132</v>
      </c>
    </row>
    <row r="634" spans="1:6" x14ac:dyDescent="0.35">
      <c r="A634">
        <v>4</v>
      </c>
      <c r="B634" t="s">
        <v>2726</v>
      </c>
      <c r="C634" t="str">
        <f>IF(A634=1,RIGHT(D634,LEN(D634)-2),IF(A634=2,RIGHT(D634,LEN(D634)-3),IF(A634=3,RIGHT(D634,LEN(D634)-5),RIGHT(D634,LEN(D634)-6))))</f>
        <v>Sea and coastal freight water transport</v>
      </c>
      <c r="D634" t="s">
        <v>2727</v>
      </c>
      <c r="E634" t="s">
        <v>1130</v>
      </c>
      <c r="F634" t="s">
        <v>2728</v>
      </c>
    </row>
    <row r="635" spans="1:6" x14ac:dyDescent="0.35">
      <c r="A635">
        <v>3</v>
      </c>
      <c r="B635" t="s">
        <v>1133</v>
      </c>
      <c r="C635" t="str">
        <f>IF(A635=1,RIGHT(D635,LEN(D635)-2),IF(A635=2,RIGHT(D635,LEN(D635)-3),IF(A635=3,RIGHT(D635,LEN(D635)-5),RIGHT(D635,LEN(D635)-6))))</f>
        <v>Inland passenger water transport</v>
      </c>
      <c r="D635" t="s">
        <v>1134</v>
      </c>
      <c r="E635" t="s">
        <v>58</v>
      </c>
      <c r="F635" t="s">
        <v>1135</v>
      </c>
    </row>
    <row r="636" spans="1:6" x14ac:dyDescent="0.35">
      <c r="A636">
        <v>4</v>
      </c>
      <c r="B636" t="s">
        <v>2729</v>
      </c>
      <c r="C636" t="str">
        <f>IF(A636=1,RIGHT(D636,LEN(D636)-2),IF(A636=2,RIGHT(D636,LEN(D636)-3),IF(A636=3,RIGHT(D636,LEN(D636)-5),RIGHT(D636,LEN(D636)-6))))</f>
        <v>Inland passenger water transport</v>
      </c>
      <c r="D636" t="s">
        <v>2730</v>
      </c>
      <c r="E636" t="s">
        <v>1133</v>
      </c>
      <c r="F636" t="s">
        <v>2731</v>
      </c>
    </row>
    <row r="637" spans="1:6" x14ac:dyDescent="0.35">
      <c r="A637">
        <v>3</v>
      </c>
      <c r="B637" t="s">
        <v>1136</v>
      </c>
      <c r="C637" t="str">
        <f>IF(A637=1,RIGHT(D637,LEN(D637)-2),IF(A637=2,RIGHT(D637,LEN(D637)-3),IF(A637=3,RIGHT(D637,LEN(D637)-5),RIGHT(D637,LEN(D637)-6))))</f>
        <v>Inland freight water transport</v>
      </c>
      <c r="D637" t="s">
        <v>1137</v>
      </c>
      <c r="E637" t="s">
        <v>58</v>
      </c>
      <c r="F637" t="s">
        <v>1138</v>
      </c>
    </row>
    <row r="638" spans="1:6" x14ac:dyDescent="0.35">
      <c r="A638">
        <v>4</v>
      </c>
      <c r="B638" t="s">
        <v>2732</v>
      </c>
      <c r="C638" t="str">
        <f>IF(A638=1,RIGHT(D638,LEN(D638)-2),IF(A638=2,RIGHT(D638,LEN(D638)-3),IF(A638=3,RIGHT(D638,LEN(D638)-5),RIGHT(D638,LEN(D638)-6))))</f>
        <v>Inland freight water transport</v>
      </c>
      <c r="D638" t="s">
        <v>2733</v>
      </c>
      <c r="E638" t="s">
        <v>1136</v>
      </c>
      <c r="F638" t="s">
        <v>2734</v>
      </c>
    </row>
    <row r="639" spans="1:6" x14ac:dyDescent="0.35">
      <c r="A639">
        <v>2</v>
      </c>
      <c r="B639" t="s">
        <v>514</v>
      </c>
      <c r="C639" t="str">
        <f>IF(A639=1,RIGHT(D639,LEN(D639)-2),IF(A639=2,RIGHT(D639,LEN(D639)-3),IF(A639=3,RIGHT(D639,LEN(D639)-5),RIGHT(D639,LEN(D639)-6))))</f>
        <v>Air transport</v>
      </c>
      <c r="D639" t="s">
        <v>515</v>
      </c>
      <c r="E639" t="s">
        <v>362</v>
      </c>
      <c r="F639" t="s">
        <v>516</v>
      </c>
    </row>
    <row r="640" spans="1:6" x14ac:dyDescent="0.35">
      <c r="A640">
        <v>3</v>
      </c>
      <c r="B640" t="s">
        <v>1139</v>
      </c>
      <c r="C640" t="str">
        <f>IF(A640=1,RIGHT(D640,LEN(D640)-2),IF(A640=2,RIGHT(D640,LEN(D640)-3),IF(A640=3,RIGHT(D640,LEN(D640)-5),RIGHT(D640,LEN(D640)-6))))</f>
        <v>Passenger air transport</v>
      </c>
      <c r="D640" t="s">
        <v>1140</v>
      </c>
      <c r="E640" t="s">
        <v>514</v>
      </c>
      <c r="F640" t="s">
        <v>1141</v>
      </c>
    </row>
    <row r="641" spans="1:6" x14ac:dyDescent="0.35">
      <c r="A641">
        <v>4</v>
      </c>
      <c r="B641" t="s">
        <v>2735</v>
      </c>
      <c r="C641" t="str">
        <f>IF(A641=1,RIGHT(D641,LEN(D641)-2),IF(A641=2,RIGHT(D641,LEN(D641)-3),IF(A641=3,RIGHT(D641,LEN(D641)-5),RIGHT(D641,LEN(D641)-6))))</f>
        <v>Passenger air transport</v>
      </c>
      <c r="D641" t="s">
        <v>2736</v>
      </c>
      <c r="E641" t="s">
        <v>1139</v>
      </c>
      <c r="F641" t="s">
        <v>2737</v>
      </c>
    </row>
    <row r="642" spans="1:6" x14ac:dyDescent="0.35">
      <c r="A642">
        <v>3</v>
      </c>
      <c r="B642" t="s">
        <v>1142</v>
      </c>
      <c r="C642" t="str">
        <f>IF(A642=1,RIGHT(D642,LEN(D642)-2),IF(A642=2,RIGHT(D642,LEN(D642)-3),IF(A642=3,RIGHT(D642,LEN(D642)-5),RIGHT(D642,LEN(D642)-6))))</f>
        <v>Freight air transport and space transport</v>
      </c>
      <c r="D642" t="s">
        <v>1143</v>
      </c>
      <c r="E642" t="s">
        <v>514</v>
      </c>
      <c r="F642" t="s">
        <v>1144</v>
      </c>
    </row>
    <row r="643" spans="1:6" x14ac:dyDescent="0.35">
      <c r="A643">
        <v>4</v>
      </c>
      <c r="B643" t="s">
        <v>2738</v>
      </c>
      <c r="C643" t="str">
        <f>IF(A643=1,RIGHT(D643,LEN(D643)-2),IF(A643=2,RIGHT(D643,LEN(D643)-3),IF(A643=3,RIGHT(D643,LEN(D643)-5),RIGHT(D643,LEN(D643)-6))))</f>
        <v>Freight air transport</v>
      </c>
      <c r="D643" t="s">
        <v>2739</v>
      </c>
      <c r="E643" t="s">
        <v>1142</v>
      </c>
      <c r="F643" t="s">
        <v>2740</v>
      </c>
    </row>
    <row r="644" spans="1:6" x14ac:dyDescent="0.35">
      <c r="A644">
        <v>4</v>
      </c>
      <c r="B644" t="s">
        <v>2741</v>
      </c>
      <c r="C644" t="str">
        <f>IF(A644=1,RIGHT(D644,LEN(D644)-2),IF(A644=2,RIGHT(D644,LEN(D644)-3),IF(A644=3,RIGHT(D644,LEN(D644)-5),RIGHT(D644,LEN(D644)-6))))</f>
        <v>Space transport</v>
      </c>
      <c r="D644" t="s">
        <v>2742</v>
      </c>
      <c r="E644" t="s">
        <v>1142</v>
      </c>
      <c r="F644" t="s">
        <v>2743</v>
      </c>
    </row>
    <row r="645" spans="1:6" x14ac:dyDescent="0.35">
      <c r="A645">
        <v>2</v>
      </c>
      <c r="B645" t="s">
        <v>517</v>
      </c>
      <c r="C645" t="str">
        <f>IF(A645=1,RIGHT(D645,LEN(D645)-2),IF(A645=2,RIGHT(D645,LEN(D645)-3),IF(A645=3,RIGHT(D645,LEN(D645)-5),RIGHT(D645,LEN(D645)-6))))</f>
        <v>Warehousing and support activities for transportation</v>
      </c>
      <c r="D645" t="s">
        <v>518</v>
      </c>
      <c r="E645" t="s">
        <v>362</v>
      </c>
      <c r="F645" t="s">
        <v>519</v>
      </c>
    </row>
    <row r="646" spans="1:6" x14ac:dyDescent="0.35">
      <c r="A646">
        <v>3</v>
      </c>
      <c r="B646" t="s">
        <v>1145</v>
      </c>
      <c r="C646" t="str">
        <f>IF(A646=1,RIGHT(D646,LEN(D646)-2),IF(A646=2,RIGHT(D646,LEN(D646)-3),IF(A646=3,RIGHT(D646,LEN(D646)-5),RIGHT(D646,LEN(D646)-6))))</f>
        <v>Warehousing and storage</v>
      </c>
      <c r="D646" t="s">
        <v>1146</v>
      </c>
      <c r="E646" t="s">
        <v>517</v>
      </c>
      <c r="F646" t="s">
        <v>1147</v>
      </c>
    </row>
    <row r="647" spans="1:6" x14ac:dyDescent="0.35">
      <c r="A647">
        <v>4</v>
      </c>
      <c r="B647" t="s">
        <v>2744</v>
      </c>
      <c r="C647" t="str">
        <f>IF(A647=1,RIGHT(D647,LEN(D647)-2),IF(A647=2,RIGHT(D647,LEN(D647)-3),IF(A647=3,RIGHT(D647,LEN(D647)-5),RIGHT(D647,LEN(D647)-6))))</f>
        <v>Warehousing and storage</v>
      </c>
      <c r="D647" t="s">
        <v>2745</v>
      </c>
      <c r="E647" t="s">
        <v>1145</v>
      </c>
      <c r="F647" t="s">
        <v>2746</v>
      </c>
    </row>
    <row r="648" spans="1:6" x14ac:dyDescent="0.35">
      <c r="A648">
        <v>3</v>
      </c>
      <c r="B648" t="s">
        <v>1148</v>
      </c>
      <c r="C648" t="str">
        <f>IF(A648=1,RIGHT(D648,LEN(D648)-2),IF(A648=2,RIGHT(D648,LEN(D648)-3),IF(A648=3,RIGHT(D648,LEN(D648)-5),RIGHT(D648,LEN(D648)-6))))</f>
        <v>Support activities for transportation</v>
      </c>
      <c r="D648" t="s">
        <v>1149</v>
      </c>
      <c r="E648" t="s">
        <v>517</v>
      </c>
      <c r="F648" t="s">
        <v>1150</v>
      </c>
    </row>
    <row r="649" spans="1:6" x14ac:dyDescent="0.35">
      <c r="A649">
        <v>4</v>
      </c>
      <c r="B649" t="s">
        <v>2747</v>
      </c>
      <c r="C649" t="str">
        <f>IF(A649=1,RIGHT(D649,LEN(D649)-2),IF(A649=2,RIGHT(D649,LEN(D649)-3),IF(A649=3,RIGHT(D649,LEN(D649)-5),RIGHT(D649,LEN(D649)-6))))</f>
        <v>Service activities incidental to land transportation</v>
      </c>
      <c r="D649" t="s">
        <v>2748</v>
      </c>
      <c r="E649" t="s">
        <v>1148</v>
      </c>
      <c r="F649" t="s">
        <v>2749</v>
      </c>
    </row>
    <row r="650" spans="1:6" x14ac:dyDescent="0.35">
      <c r="A650">
        <v>4</v>
      </c>
      <c r="B650" t="s">
        <v>2750</v>
      </c>
      <c r="C650" t="str">
        <f>IF(A650=1,RIGHT(D650,LEN(D650)-2),IF(A650=2,RIGHT(D650,LEN(D650)-3),IF(A650=3,RIGHT(D650,LEN(D650)-5),RIGHT(D650,LEN(D650)-6))))</f>
        <v>Service activities incidental to water transportation</v>
      </c>
      <c r="D650" t="s">
        <v>2751</v>
      </c>
      <c r="E650" t="s">
        <v>1148</v>
      </c>
      <c r="F650" t="s">
        <v>2752</v>
      </c>
    </row>
    <row r="651" spans="1:6" x14ac:dyDescent="0.35">
      <c r="A651">
        <v>4</v>
      </c>
      <c r="B651" t="s">
        <v>2753</v>
      </c>
      <c r="C651" t="str">
        <f>IF(A651=1,RIGHT(D651,LEN(D651)-2),IF(A651=2,RIGHT(D651,LEN(D651)-3),IF(A651=3,RIGHT(D651,LEN(D651)-5),RIGHT(D651,LEN(D651)-6))))</f>
        <v>Service activities incidental to air transportation</v>
      </c>
      <c r="D651" t="s">
        <v>2754</v>
      </c>
      <c r="E651" t="s">
        <v>1148</v>
      </c>
      <c r="F651" t="s">
        <v>2755</v>
      </c>
    </row>
    <row r="652" spans="1:6" x14ac:dyDescent="0.35">
      <c r="A652">
        <v>4</v>
      </c>
      <c r="B652" t="s">
        <v>2756</v>
      </c>
      <c r="C652" t="str">
        <f>IF(A652=1,RIGHT(D652,LEN(D652)-2),IF(A652=2,RIGHT(D652,LEN(D652)-3),IF(A652=3,RIGHT(D652,LEN(D652)-5),RIGHT(D652,LEN(D652)-6))))</f>
        <v>Cargo handling</v>
      </c>
      <c r="D652" t="s">
        <v>2757</v>
      </c>
      <c r="E652" t="s">
        <v>1148</v>
      </c>
      <c r="F652" t="s">
        <v>2758</v>
      </c>
    </row>
    <row r="653" spans="1:6" x14ac:dyDescent="0.35">
      <c r="A653">
        <v>4</v>
      </c>
      <c r="B653" t="s">
        <v>2759</v>
      </c>
      <c r="C653" t="str">
        <f>IF(A653=1,RIGHT(D653,LEN(D653)-2),IF(A653=2,RIGHT(D653,LEN(D653)-3),IF(A653=3,RIGHT(D653,LEN(D653)-5),RIGHT(D653,LEN(D653)-6))))</f>
        <v>Other transportation support activities</v>
      </c>
      <c r="D653" t="s">
        <v>2760</v>
      </c>
      <c r="E653" t="s">
        <v>1148</v>
      </c>
      <c r="F653" t="s">
        <v>2761</v>
      </c>
    </row>
    <row r="654" spans="1:6" x14ac:dyDescent="0.35">
      <c r="A654">
        <v>2</v>
      </c>
      <c r="B654" t="s">
        <v>520</v>
      </c>
      <c r="C654" t="str">
        <f>IF(A654=1,RIGHT(D654,LEN(D654)-2),IF(A654=2,RIGHT(D654,LEN(D654)-3),IF(A654=3,RIGHT(D654,LEN(D654)-5),RIGHT(D654,LEN(D654)-6))))</f>
        <v>Postal and courier activities</v>
      </c>
      <c r="D654" t="s">
        <v>521</v>
      </c>
      <c r="E654" t="s">
        <v>362</v>
      </c>
      <c r="F654" t="s">
        <v>522</v>
      </c>
    </row>
    <row r="655" spans="1:6" x14ac:dyDescent="0.35">
      <c r="A655">
        <v>3</v>
      </c>
      <c r="B655" t="s">
        <v>1151</v>
      </c>
      <c r="C655" t="str">
        <f>IF(A655=1,RIGHT(D655,LEN(D655)-2),IF(A655=2,RIGHT(D655,LEN(D655)-3),IF(A655=3,RIGHT(D655,LEN(D655)-5),RIGHT(D655,LEN(D655)-6))))</f>
        <v>Postal activities under universal service obligation</v>
      </c>
      <c r="D655" t="s">
        <v>1152</v>
      </c>
      <c r="E655" t="s">
        <v>520</v>
      </c>
      <c r="F655" t="s">
        <v>1153</v>
      </c>
    </row>
    <row r="656" spans="1:6" x14ac:dyDescent="0.35">
      <c r="A656">
        <v>4</v>
      </c>
      <c r="B656" t="s">
        <v>2762</v>
      </c>
      <c r="C656" t="str">
        <f>IF(A656=1,RIGHT(D656,LEN(D656)-2),IF(A656=2,RIGHT(D656,LEN(D656)-3),IF(A656=3,RIGHT(D656,LEN(D656)-5),RIGHT(D656,LEN(D656)-6))))</f>
        <v>Postal activities under universal service obligation</v>
      </c>
      <c r="D656" t="s">
        <v>2763</v>
      </c>
      <c r="E656" t="s">
        <v>1151</v>
      </c>
      <c r="F656" t="s">
        <v>2764</v>
      </c>
    </row>
    <row r="657" spans="1:6" x14ac:dyDescent="0.35">
      <c r="A657">
        <v>3</v>
      </c>
      <c r="B657" t="s">
        <v>1154</v>
      </c>
      <c r="C657" t="str">
        <f>IF(A657=1,RIGHT(D657,LEN(D657)-2),IF(A657=2,RIGHT(D657,LEN(D657)-3),IF(A657=3,RIGHT(D657,LEN(D657)-5),RIGHT(D657,LEN(D657)-6))))</f>
        <v>Other postal and courier activities</v>
      </c>
      <c r="D657" t="s">
        <v>1155</v>
      </c>
      <c r="E657" t="s">
        <v>520</v>
      </c>
      <c r="F657" t="s">
        <v>1156</v>
      </c>
    </row>
    <row r="658" spans="1:6" x14ac:dyDescent="0.35">
      <c r="A658">
        <v>4</v>
      </c>
      <c r="B658" t="s">
        <v>2765</v>
      </c>
      <c r="C658" t="str">
        <f>IF(A658=1,RIGHT(D658,LEN(D658)-2),IF(A658=2,RIGHT(D658,LEN(D658)-3),IF(A658=3,RIGHT(D658,LEN(D658)-5),RIGHT(D658,LEN(D658)-6))))</f>
        <v>Other postal and courier activities</v>
      </c>
      <c r="D658" t="s">
        <v>2766</v>
      </c>
      <c r="E658" t="s">
        <v>1154</v>
      </c>
      <c r="F658" t="s">
        <v>2767</v>
      </c>
    </row>
    <row r="659" spans="1:6" x14ac:dyDescent="0.35">
      <c r="A659">
        <v>2</v>
      </c>
      <c r="B659" t="s">
        <v>523</v>
      </c>
      <c r="C659" t="str">
        <f>IF(A659=1,RIGHT(D659,LEN(D659)-2),IF(A659=2,RIGHT(D659,LEN(D659)-3),IF(A659=3,RIGHT(D659,LEN(D659)-5),RIGHT(D659,LEN(D659)-6))))</f>
        <v>Accommodation</v>
      </c>
      <c r="D659" t="s">
        <v>524</v>
      </c>
      <c r="E659" t="s">
        <v>365</v>
      </c>
      <c r="F659" t="s">
        <v>525</v>
      </c>
    </row>
    <row r="660" spans="1:6" x14ac:dyDescent="0.35">
      <c r="A660">
        <v>3</v>
      </c>
      <c r="B660" t="s">
        <v>1157</v>
      </c>
      <c r="C660" t="str">
        <f>IF(A660=1,RIGHT(D660,LEN(D660)-2),IF(A660=2,RIGHT(D660,LEN(D660)-3),IF(A660=3,RIGHT(D660,LEN(D660)-5),RIGHT(D660,LEN(D660)-6))))</f>
        <v>Hotels and similar accommodation</v>
      </c>
      <c r="D660" t="s">
        <v>1158</v>
      </c>
      <c r="E660" t="s">
        <v>523</v>
      </c>
      <c r="F660" t="s">
        <v>1159</v>
      </c>
    </row>
    <row r="661" spans="1:6" x14ac:dyDescent="0.35">
      <c r="A661">
        <v>4</v>
      </c>
      <c r="B661" t="s">
        <v>2768</v>
      </c>
      <c r="C661" t="str">
        <f>IF(A661=1,RIGHT(D661,LEN(D661)-2),IF(A661=2,RIGHT(D661,LEN(D661)-3),IF(A661=3,RIGHT(D661,LEN(D661)-5),RIGHT(D661,LEN(D661)-6))))</f>
        <v>Hotels and similar accommodation</v>
      </c>
      <c r="D661" t="s">
        <v>2769</v>
      </c>
      <c r="E661" t="s">
        <v>1157</v>
      </c>
      <c r="F661" t="s">
        <v>2770</v>
      </c>
    </row>
    <row r="662" spans="1:6" x14ac:dyDescent="0.35">
      <c r="A662">
        <v>3</v>
      </c>
      <c r="B662" t="s">
        <v>1160</v>
      </c>
      <c r="C662" t="str">
        <f>IF(A662=1,RIGHT(D662,LEN(D662)-2),IF(A662=2,RIGHT(D662,LEN(D662)-3),IF(A662=3,RIGHT(D662,LEN(D662)-5),RIGHT(D662,LEN(D662)-6))))</f>
        <v>Holiday and other short-stay accommodation</v>
      </c>
      <c r="D662" t="s">
        <v>1161</v>
      </c>
      <c r="E662" t="s">
        <v>523</v>
      </c>
      <c r="F662" t="s">
        <v>1162</v>
      </c>
    </row>
    <row r="663" spans="1:6" x14ac:dyDescent="0.35">
      <c r="A663">
        <v>4</v>
      </c>
      <c r="B663" t="s">
        <v>2771</v>
      </c>
      <c r="C663" t="str">
        <f>IF(A663=1,RIGHT(D663,LEN(D663)-2),IF(A663=2,RIGHT(D663,LEN(D663)-3),IF(A663=3,RIGHT(D663,LEN(D663)-5),RIGHT(D663,LEN(D663)-6))))</f>
        <v>Holiday and other short-stay accommodation</v>
      </c>
      <c r="D663" t="s">
        <v>2772</v>
      </c>
      <c r="E663" t="s">
        <v>1160</v>
      </c>
      <c r="F663" t="s">
        <v>2773</v>
      </c>
    </row>
    <row r="664" spans="1:6" x14ac:dyDescent="0.35">
      <c r="A664">
        <v>3</v>
      </c>
      <c r="B664" t="s">
        <v>1163</v>
      </c>
      <c r="C664" t="str">
        <f>IF(A664=1,RIGHT(D664,LEN(D664)-2),IF(A664=2,RIGHT(D664,LEN(D664)-3),IF(A664=3,RIGHT(D664,LEN(D664)-5),RIGHT(D664,LEN(D664)-6))))</f>
        <v>Camping grounds, recreational vehicle parks and trailer parks</v>
      </c>
      <c r="D664" t="s">
        <v>1164</v>
      </c>
      <c r="E664" t="s">
        <v>523</v>
      </c>
      <c r="F664" t="s">
        <v>1165</v>
      </c>
    </row>
    <row r="665" spans="1:6" x14ac:dyDescent="0.35">
      <c r="A665">
        <v>4</v>
      </c>
      <c r="B665" t="s">
        <v>2774</v>
      </c>
      <c r="C665" t="str">
        <f>IF(A665=1,RIGHT(D665,LEN(D665)-2),IF(A665=2,RIGHT(D665,LEN(D665)-3),IF(A665=3,RIGHT(D665,LEN(D665)-5),RIGHT(D665,LEN(D665)-6))))</f>
        <v>Camping grounds, recreational vehicle parks and trailer parks</v>
      </c>
      <c r="D665" t="s">
        <v>2775</v>
      </c>
      <c r="E665" t="s">
        <v>1163</v>
      </c>
      <c r="F665" t="s">
        <v>2776</v>
      </c>
    </row>
    <row r="666" spans="1:6" x14ac:dyDescent="0.35">
      <c r="A666">
        <v>3</v>
      </c>
      <c r="B666" t="s">
        <v>1166</v>
      </c>
      <c r="C666" t="str">
        <f>IF(A666=1,RIGHT(D666,LEN(D666)-2),IF(A666=2,RIGHT(D666,LEN(D666)-3),IF(A666=3,RIGHT(D666,LEN(D666)-5),RIGHT(D666,LEN(D666)-6))))</f>
        <v>Other accommodation</v>
      </c>
      <c r="D666" t="s">
        <v>1167</v>
      </c>
      <c r="E666" t="s">
        <v>523</v>
      </c>
      <c r="F666" t="s">
        <v>1168</v>
      </c>
    </row>
    <row r="667" spans="1:6" x14ac:dyDescent="0.35">
      <c r="A667">
        <v>4</v>
      </c>
      <c r="B667" t="s">
        <v>2777</v>
      </c>
      <c r="C667" t="str">
        <f>IF(A667=1,RIGHT(D667,LEN(D667)-2),IF(A667=2,RIGHT(D667,LEN(D667)-3),IF(A667=3,RIGHT(D667,LEN(D667)-5),RIGHT(D667,LEN(D667)-6))))</f>
        <v>Other accommodation</v>
      </c>
      <c r="D667" t="s">
        <v>2778</v>
      </c>
      <c r="E667" t="s">
        <v>1166</v>
      </c>
      <c r="F667" t="s">
        <v>2779</v>
      </c>
    </row>
    <row r="668" spans="1:6" x14ac:dyDescent="0.35">
      <c r="A668">
        <v>2</v>
      </c>
      <c r="B668" t="s">
        <v>526</v>
      </c>
      <c r="C668" t="str">
        <f>IF(A668=1,RIGHT(D668,LEN(D668)-2),IF(A668=2,RIGHT(D668,LEN(D668)-3),IF(A668=3,RIGHT(D668,LEN(D668)-5),RIGHT(D668,LEN(D668)-6))))</f>
        <v>Food and beverage service activities</v>
      </c>
      <c r="D668" t="s">
        <v>527</v>
      </c>
      <c r="E668" t="s">
        <v>365</v>
      </c>
      <c r="F668" t="s">
        <v>528</v>
      </c>
    </row>
    <row r="669" spans="1:6" x14ac:dyDescent="0.35">
      <c r="A669">
        <v>3</v>
      </c>
      <c r="B669" t="s">
        <v>1169</v>
      </c>
      <c r="C669" t="str">
        <f>IF(A669=1,RIGHT(D669,LEN(D669)-2),IF(A669=2,RIGHT(D669,LEN(D669)-3),IF(A669=3,RIGHT(D669,LEN(D669)-5),RIGHT(D669,LEN(D669)-6))))</f>
        <v>Restaurants and mobile food service activities</v>
      </c>
      <c r="D669" t="s">
        <v>1170</v>
      </c>
      <c r="E669" t="s">
        <v>526</v>
      </c>
      <c r="F669" t="s">
        <v>1171</v>
      </c>
    </row>
    <row r="670" spans="1:6" x14ac:dyDescent="0.35">
      <c r="A670">
        <v>4</v>
      </c>
      <c r="B670" t="s">
        <v>2780</v>
      </c>
      <c r="C670" t="str">
        <f>IF(A670=1,RIGHT(D670,LEN(D670)-2),IF(A670=2,RIGHT(D670,LEN(D670)-3),IF(A670=3,RIGHT(D670,LEN(D670)-5),RIGHT(D670,LEN(D670)-6))))</f>
        <v>Restaurants and mobile food service activities</v>
      </c>
      <c r="D670" t="s">
        <v>2781</v>
      </c>
      <c r="E670" t="s">
        <v>1169</v>
      </c>
      <c r="F670" t="s">
        <v>2782</v>
      </c>
    </row>
    <row r="671" spans="1:6" x14ac:dyDescent="0.35">
      <c r="A671">
        <v>3</v>
      </c>
      <c r="B671" t="s">
        <v>1172</v>
      </c>
      <c r="C671" t="str">
        <f>IF(A671=1,RIGHT(D671,LEN(D671)-2),IF(A671=2,RIGHT(D671,LEN(D671)-3),IF(A671=3,RIGHT(D671,LEN(D671)-5),RIGHT(D671,LEN(D671)-6))))</f>
        <v>Event catering and other food service activities</v>
      </c>
      <c r="D671" t="s">
        <v>1173</v>
      </c>
      <c r="E671" t="s">
        <v>526</v>
      </c>
      <c r="F671" t="s">
        <v>1174</v>
      </c>
    </row>
    <row r="672" spans="1:6" x14ac:dyDescent="0.35">
      <c r="A672">
        <v>4</v>
      </c>
      <c r="B672" t="s">
        <v>2783</v>
      </c>
      <c r="C672" t="str">
        <f>IF(A672=1,RIGHT(D672,LEN(D672)-2),IF(A672=2,RIGHT(D672,LEN(D672)-3),IF(A672=3,RIGHT(D672,LEN(D672)-5),RIGHT(D672,LEN(D672)-6))))</f>
        <v>Event catering activities</v>
      </c>
      <c r="D672" t="s">
        <v>2784</v>
      </c>
      <c r="E672" t="s">
        <v>1172</v>
      </c>
      <c r="F672" t="s">
        <v>2785</v>
      </c>
    </row>
    <row r="673" spans="1:6" x14ac:dyDescent="0.35">
      <c r="A673">
        <v>4</v>
      </c>
      <c r="B673" t="s">
        <v>2786</v>
      </c>
      <c r="C673" t="str">
        <f>IF(A673=1,RIGHT(D673,LEN(D673)-2),IF(A673=2,RIGHT(D673,LEN(D673)-3),IF(A673=3,RIGHT(D673,LEN(D673)-5),RIGHT(D673,LEN(D673)-6))))</f>
        <v>Other food service activities</v>
      </c>
      <c r="D673" t="s">
        <v>2787</v>
      </c>
      <c r="E673" t="s">
        <v>1172</v>
      </c>
      <c r="F673" t="s">
        <v>2788</v>
      </c>
    </row>
    <row r="674" spans="1:6" x14ac:dyDescent="0.35">
      <c r="A674">
        <v>3</v>
      </c>
      <c r="B674" t="s">
        <v>1175</v>
      </c>
      <c r="C674" t="str">
        <f>IF(A674=1,RIGHT(D674,LEN(D674)-2),IF(A674=2,RIGHT(D674,LEN(D674)-3),IF(A674=3,RIGHT(D674,LEN(D674)-5),RIGHT(D674,LEN(D674)-6))))</f>
        <v>Beverage serving activities</v>
      </c>
      <c r="D674" t="s">
        <v>1176</v>
      </c>
      <c r="E674" t="s">
        <v>526</v>
      </c>
      <c r="F674" t="s">
        <v>1177</v>
      </c>
    </row>
    <row r="675" spans="1:6" x14ac:dyDescent="0.35">
      <c r="A675">
        <v>4</v>
      </c>
      <c r="B675" t="s">
        <v>2789</v>
      </c>
      <c r="C675" t="str">
        <f>IF(A675=1,RIGHT(D675,LEN(D675)-2),IF(A675=2,RIGHT(D675,LEN(D675)-3),IF(A675=3,RIGHT(D675,LEN(D675)-5),RIGHT(D675,LEN(D675)-6))))</f>
        <v>Beverage serving activities</v>
      </c>
      <c r="D675" t="s">
        <v>2790</v>
      </c>
      <c r="E675" t="s">
        <v>1175</v>
      </c>
      <c r="F675" t="s">
        <v>2791</v>
      </c>
    </row>
    <row r="676" spans="1:6" x14ac:dyDescent="0.35">
      <c r="A676">
        <v>2</v>
      </c>
      <c r="B676" t="s">
        <v>529</v>
      </c>
      <c r="C676" t="str">
        <f>IF(A676=1,RIGHT(D676,LEN(D676)-2),IF(A676=2,RIGHT(D676,LEN(D676)-3),IF(A676=3,RIGHT(D676,LEN(D676)-5),RIGHT(D676,LEN(D676)-6))))</f>
        <v>Publishing activities</v>
      </c>
      <c r="D676" t="s">
        <v>530</v>
      </c>
      <c r="E676" t="s">
        <v>368</v>
      </c>
      <c r="F676" t="s">
        <v>531</v>
      </c>
    </row>
    <row r="677" spans="1:6" x14ac:dyDescent="0.35">
      <c r="A677">
        <v>3</v>
      </c>
      <c r="B677" t="s">
        <v>1178</v>
      </c>
      <c r="C677" t="str">
        <f>IF(A677=1,RIGHT(D677,LEN(D677)-2),IF(A677=2,RIGHT(D677,LEN(D677)-3),IF(A677=3,RIGHT(D677,LEN(D677)-5),RIGHT(D677,LEN(D677)-6))))</f>
        <v>Publishing of books, periodicals and other publishing activities</v>
      </c>
      <c r="D677" t="s">
        <v>1179</v>
      </c>
      <c r="E677" t="s">
        <v>529</v>
      </c>
      <c r="F677" t="s">
        <v>1180</v>
      </c>
    </row>
    <row r="678" spans="1:6" x14ac:dyDescent="0.35">
      <c r="A678">
        <v>4</v>
      </c>
      <c r="B678" t="s">
        <v>2792</v>
      </c>
      <c r="C678" t="str">
        <f>IF(A678=1,RIGHT(D678,LEN(D678)-2),IF(A678=2,RIGHT(D678,LEN(D678)-3),IF(A678=3,RIGHT(D678,LEN(D678)-5),RIGHT(D678,LEN(D678)-6))))</f>
        <v>Book publishing</v>
      </c>
      <c r="D678" t="s">
        <v>2793</v>
      </c>
      <c r="E678" t="s">
        <v>1178</v>
      </c>
      <c r="F678" t="s">
        <v>2794</v>
      </c>
    </row>
    <row r="679" spans="1:6" x14ac:dyDescent="0.35">
      <c r="A679">
        <v>4</v>
      </c>
      <c r="B679" t="s">
        <v>2795</v>
      </c>
      <c r="C679" t="str">
        <f>IF(A679=1,RIGHT(D679,LEN(D679)-2),IF(A679=2,RIGHT(D679,LEN(D679)-3),IF(A679=3,RIGHT(D679,LEN(D679)-5),RIGHT(D679,LEN(D679)-6))))</f>
        <v>Publishing of directories and mailing lists</v>
      </c>
      <c r="D679" t="s">
        <v>2796</v>
      </c>
      <c r="E679" t="s">
        <v>1178</v>
      </c>
      <c r="F679" t="s">
        <v>2797</v>
      </c>
    </row>
    <row r="680" spans="1:6" x14ac:dyDescent="0.35">
      <c r="A680">
        <v>4</v>
      </c>
      <c r="B680" t="s">
        <v>2798</v>
      </c>
      <c r="C680" t="str">
        <f>IF(A680=1,RIGHT(D680,LEN(D680)-2),IF(A680=2,RIGHT(D680,LEN(D680)-3),IF(A680=3,RIGHT(D680,LEN(D680)-5),RIGHT(D680,LEN(D680)-6))))</f>
        <v>Publishing of newspapers</v>
      </c>
      <c r="D680" t="s">
        <v>2799</v>
      </c>
      <c r="E680" t="s">
        <v>1178</v>
      </c>
      <c r="F680" t="s">
        <v>2800</v>
      </c>
    </row>
    <row r="681" spans="1:6" x14ac:dyDescent="0.35">
      <c r="A681">
        <v>4</v>
      </c>
      <c r="B681" t="s">
        <v>2801</v>
      </c>
      <c r="C681" t="str">
        <f>IF(A681=1,RIGHT(D681,LEN(D681)-2),IF(A681=2,RIGHT(D681,LEN(D681)-3),IF(A681=3,RIGHT(D681,LEN(D681)-5),RIGHT(D681,LEN(D681)-6))))</f>
        <v>Publishing of journals and periodicals</v>
      </c>
      <c r="D681" t="s">
        <v>2802</v>
      </c>
      <c r="E681" t="s">
        <v>1178</v>
      </c>
      <c r="F681" t="s">
        <v>2803</v>
      </c>
    </row>
    <row r="682" spans="1:6" x14ac:dyDescent="0.35">
      <c r="A682">
        <v>4</v>
      </c>
      <c r="B682" t="s">
        <v>2804</v>
      </c>
      <c r="C682" t="str">
        <f>IF(A682=1,RIGHT(D682,LEN(D682)-2),IF(A682=2,RIGHT(D682,LEN(D682)-3),IF(A682=3,RIGHT(D682,LEN(D682)-5),RIGHT(D682,LEN(D682)-6))))</f>
        <v>Other publishing activities</v>
      </c>
      <c r="D682" t="s">
        <v>2805</v>
      </c>
      <c r="E682" t="s">
        <v>1178</v>
      </c>
      <c r="F682" t="s">
        <v>2806</v>
      </c>
    </row>
    <row r="683" spans="1:6" x14ac:dyDescent="0.35">
      <c r="A683">
        <v>3</v>
      </c>
      <c r="B683" t="s">
        <v>1181</v>
      </c>
      <c r="C683" t="str">
        <f>IF(A683=1,RIGHT(D683,LEN(D683)-2),IF(A683=2,RIGHT(D683,LEN(D683)-3),IF(A683=3,RIGHT(D683,LEN(D683)-5),RIGHT(D683,LEN(D683)-6))))</f>
        <v>Software publishing</v>
      </c>
      <c r="D683" t="s">
        <v>1182</v>
      </c>
      <c r="E683" t="s">
        <v>529</v>
      </c>
      <c r="F683" t="s">
        <v>1183</v>
      </c>
    </row>
    <row r="684" spans="1:6" x14ac:dyDescent="0.35">
      <c r="A684">
        <v>4</v>
      </c>
      <c r="B684" t="s">
        <v>2807</v>
      </c>
      <c r="C684" t="str">
        <f>IF(A684=1,RIGHT(D684,LEN(D684)-2),IF(A684=2,RIGHT(D684,LEN(D684)-3),IF(A684=3,RIGHT(D684,LEN(D684)-5),RIGHT(D684,LEN(D684)-6))))</f>
        <v>Publishing of computer games</v>
      </c>
      <c r="D684" t="s">
        <v>2808</v>
      </c>
      <c r="E684" t="s">
        <v>1181</v>
      </c>
      <c r="F684" t="s">
        <v>2809</v>
      </c>
    </row>
    <row r="685" spans="1:6" x14ac:dyDescent="0.35">
      <c r="A685">
        <v>4</v>
      </c>
      <c r="B685" t="s">
        <v>2810</v>
      </c>
      <c r="C685" t="str">
        <f>IF(A685=1,RIGHT(D685,LEN(D685)-2),IF(A685=2,RIGHT(D685,LEN(D685)-3),IF(A685=3,RIGHT(D685,LEN(D685)-5),RIGHT(D685,LEN(D685)-6))))</f>
        <v>Other software publishing</v>
      </c>
      <c r="D685" t="s">
        <v>2811</v>
      </c>
      <c r="E685" t="s">
        <v>1181</v>
      </c>
      <c r="F685" t="s">
        <v>2812</v>
      </c>
    </row>
    <row r="686" spans="1:6" x14ac:dyDescent="0.35">
      <c r="A686">
        <v>2</v>
      </c>
      <c r="B686" t="s">
        <v>532</v>
      </c>
      <c r="C686" t="str">
        <f>IF(A686=1,RIGHT(D686,LEN(D686)-2),IF(A686=2,RIGHT(D686,LEN(D686)-3),IF(A686=3,RIGHT(D686,LEN(D686)-5),RIGHT(D686,LEN(D686)-6))))</f>
        <v>Motion picture, video and television programme production, sound recording and music publishing activities</v>
      </c>
      <c r="D686" t="s">
        <v>533</v>
      </c>
      <c r="E686" t="s">
        <v>368</v>
      </c>
      <c r="F686" t="s">
        <v>534</v>
      </c>
    </row>
    <row r="687" spans="1:6" x14ac:dyDescent="0.35">
      <c r="A687">
        <v>3</v>
      </c>
      <c r="B687" t="s">
        <v>1184</v>
      </c>
      <c r="C687" t="str">
        <f>IF(A687=1,RIGHT(D687,LEN(D687)-2),IF(A687=2,RIGHT(D687,LEN(D687)-3),IF(A687=3,RIGHT(D687,LEN(D687)-5),RIGHT(D687,LEN(D687)-6))))</f>
        <v>Motion picture, video and television programme activities</v>
      </c>
      <c r="D687" t="s">
        <v>1185</v>
      </c>
      <c r="E687" t="s">
        <v>532</v>
      </c>
      <c r="F687" t="s">
        <v>1186</v>
      </c>
    </row>
    <row r="688" spans="1:6" x14ac:dyDescent="0.35">
      <c r="A688">
        <v>4</v>
      </c>
      <c r="B688" t="s">
        <v>2813</v>
      </c>
      <c r="C688" t="str">
        <f>IF(A688=1,RIGHT(D688,LEN(D688)-2),IF(A688=2,RIGHT(D688,LEN(D688)-3),IF(A688=3,RIGHT(D688,LEN(D688)-5),RIGHT(D688,LEN(D688)-6))))</f>
        <v>Motion picture, video and television programme production activities</v>
      </c>
      <c r="D688" t="s">
        <v>2814</v>
      </c>
      <c r="E688" t="s">
        <v>1184</v>
      </c>
      <c r="F688" t="s">
        <v>2815</v>
      </c>
    </row>
    <row r="689" spans="1:6" x14ac:dyDescent="0.35">
      <c r="A689">
        <v>4</v>
      </c>
      <c r="B689" t="s">
        <v>2816</v>
      </c>
      <c r="C689" t="str">
        <f>IF(A689=1,RIGHT(D689,LEN(D689)-2),IF(A689=2,RIGHT(D689,LEN(D689)-3),IF(A689=3,RIGHT(D689,LEN(D689)-5),RIGHT(D689,LEN(D689)-6))))</f>
        <v>Motion picture, video and television programme post-production activities</v>
      </c>
      <c r="D689" t="s">
        <v>2817</v>
      </c>
      <c r="E689" t="s">
        <v>1184</v>
      </c>
      <c r="F689" t="s">
        <v>2818</v>
      </c>
    </row>
    <row r="690" spans="1:6" x14ac:dyDescent="0.35">
      <c r="A690">
        <v>4</v>
      </c>
      <c r="B690" t="s">
        <v>2819</v>
      </c>
      <c r="C690" t="str">
        <f>IF(A690=1,RIGHT(D690,LEN(D690)-2),IF(A690=2,RIGHT(D690,LEN(D690)-3),IF(A690=3,RIGHT(D690,LEN(D690)-5),RIGHT(D690,LEN(D690)-6))))</f>
        <v>Motion picture, video and television programme distribution activities</v>
      </c>
      <c r="D690" t="s">
        <v>2820</v>
      </c>
      <c r="E690" t="s">
        <v>1184</v>
      </c>
      <c r="F690" t="s">
        <v>2821</v>
      </c>
    </row>
    <row r="691" spans="1:6" x14ac:dyDescent="0.35">
      <c r="A691">
        <v>4</v>
      </c>
      <c r="B691" t="s">
        <v>2822</v>
      </c>
      <c r="C691" t="str">
        <f>IF(A691=1,RIGHT(D691,LEN(D691)-2),IF(A691=2,RIGHT(D691,LEN(D691)-3),IF(A691=3,RIGHT(D691,LEN(D691)-5),RIGHT(D691,LEN(D691)-6))))</f>
        <v>Motion picture projection activities</v>
      </c>
      <c r="D691" t="s">
        <v>2823</v>
      </c>
      <c r="E691" t="s">
        <v>1184</v>
      </c>
      <c r="F691" t="s">
        <v>2824</v>
      </c>
    </row>
    <row r="692" spans="1:6" x14ac:dyDescent="0.35">
      <c r="A692">
        <v>3</v>
      </c>
      <c r="B692" t="s">
        <v>1187</v>
      </c>
      <c r="C692" t="str">
        <f>IF(A692=1,RIGHT(D692,LEN(D692)-2),IF(A692=2,RIGHT(D692,LEN(D692)-3),IF(A692=3,RIGHT(D692,LEN(D692)-5),RIGHT(D692,LEN(D692)-6))))</f>
        <v>Sound recording and music publishing activities</v>
      </c>
      <c r="D692" t="s">
        <v>1188</v>
      </c>
      <c r="E692" t="s">
        <v>532</v>
      </c>
      <c r="F692" t="s">
        <v>1189</v>
      </c>
    </row>
    <row r="693" spans="1:6" x14ac:dyDescent="0.35">
      <c r="A693">
        <v>4</v>
      </c>
      <c r="B693" t="s">
        <v>2825</v>
      </c>
      <c r="C693" t="str">
        <f>IF(A693=1,RIGHT(D693,LEN(D693)-2),IF(A693=2,RIGHT(D693,LEN(D693)-3),IF(A693=3,RIGHT(D693,LEN(D693)-5),RIGHT(D693,LEN(D693)-6))))</f>
        <v>Sound recording and music publishing activities</v>
      </c>
      <c r="D693" t="s">
        <v>2826</v>
      </c>
      <c r="E693" t="s">
        <v>1187</v>
      </c>
      <c r="F693" t="s">
        <v>2827</v>
      </c>
    </row>
    <row r="694" spans="1:6" x14ac:dyDescent="0.35">
      <c r="A694">
        <v>2</v>
      </c>
      <c r="B694" t="s">
        <v>535</v>
      </c>
      <c r="C694" t="str">
        <f>IF(A694=1,RIGHT(D694,LEN(D694)-2),IF(A694=2,RIGHT(D694,LEN(D694)-3),IF(A694=3,RIGHT(D694,LEN(D694)-5),RIGHT(D694,LEN(D694)-6))))</f>
        <v>Programming and broadcasting activities</v>
      </c>
      <c r="D694" t="s">
        <v>536</v>
      </c>
      <c r="E694" t="s">
        <v>368</v>
      </c>
      <c r="F694" t="s">
        <v>537</v>
      </c>
    </row>
    <row r="695" spans="1:6" x14ac:dyDescent="0.35">
      <c r="A695">
        <v>3</v>
      </c>
      <c r="B695" t="s">
        <v>1190</v>
      </c>
      <c r="C695" t="str">
        <f>IF(A695=1,RIGHT(D695,LEN(D695)-2),IF(A695=2,RIGHT(D695,LEN(D695)-3),IF(A695=3,RIGHT(D695,LEN(D695)-5),RIGHT(D695,LEN(D695)-6))))</f>
        <v>Radio broadcasting</v>
      </c>
      <c r="D695" t="s">
        <v>1191</v>
      </c>
      <c r="E695" t="s">
        <v>535</v>
      </c>
      <c r="F695" t="s">
        <v>1192</v>
      </c>
    </row>
    <row r="696" spans="1:6" x14ac:dyDescent="0.35">
      <c r="A696">
        <v>4</v>
      </c>
      <c r="B696" t="s">
        <v>2828</v>
      </c>
      <c r="C696" t="str">
        <f>IF(A696=1,RIGHT(D696,LEN(D696)-2),IF(A696=2,RIGHT(D696,LEN(D696)-3),IF(A696=3,RIGHT(D696,LEN(D696)-5),RIGHT(D696,LEN(D696)-6))))</f>
        <v>Radio broadcasting</v>
      </c>
      <c r="D696" t="s">
        <v>2829</v>
      </c>
      <c r="E696" t="s">
        <v>1190</v>
      </c>
      <c r="F696" t="s">
        <v>2830</v>
      </c>
    </row>
    <row r="697" spans="1:6" x14ac:dyDescent="0.35">
      <c r="A697">
        <v>3</v>
      </c>
      <c r="B697" t="s">
        <v>1193</v>
      </c>
      <c r="C697" t="str">
        <f>IF(A697=1,RIGHT(D697,LEN(D697)-2),IF(A697=2,RIGHT(D697,LEN(D697)-3),IF(A697=3,RIGHT(D697,LEN(D697)-5),RIGHT(D697,LEN(D697)-6))))</f>
        <v>Television programming and broadcasting activities</v>
      </c>
      <c r="D697" t="s">
        <v>1194</v>
      </c>
      <c r="E697" t="s">
        <v>535</v>
      </c>
      <c r="F697" t="s">
        <v>1195</v>
      </c>
    </row>
    <row r="698" spans="1:6" x14ac:dyDescent="0.35">
      <c r="A698">
        <v>4</v>
      </c>
      <c r="B698" t="s">
        <v>2831</v>
      </c>
      <c r="C698" t="str">
        <f>IF(A698=1,RIGHT(D698,LEN(D698)-2),IF(A698=2,RIGHT(D698,LEN(D698)-3),IF(A698=3,RIGHT(D698,LEN(D698)-5),RIGHT(D698,LEN(D698)-6))))</f>
        <v>Television programming and broadcasting activities</v>
      </c>
      <c r="D698" t="s">
        <v>2832</v>
      </c>
      <c r="E698" t="s">
        <v>1193</v>
      </c>
      <c r="F698" t="s">
        <v>2833</v>
      </c>
    </row>
    <row r="699" spans="1:6" x14ac:dyDescent="0.35">
      <c r="A699">
        <v>2</v>
      </c>
      <c r="B699" t="s">
        <v>538</v>
      </c>
      <c r="C699" t="str">
        <f>IF(A699=1,RIGHT(D699,LEN(D699)-2),IF(A699=2,RIGHT(D699,LEN(D699)-3),IF(A699=3,RIGHT(D699,LEN(D699)-5),RIGHT(D699,LEN(D699)-6))))</f>
        <v>Telecommunications</v>
      </c>
      <c r="D699" t="s">
        <v>539</v>
      </c>
      <c r="E699" t="s">
        <v>368</v>
      </c>
      <c r="F699" t="s">
        <v>540</v>
      </c>
    </row>
    <row r="700" spans="1:6" x14ac:dyDescent="0.35">
      <c r="A700">
        <v>3</v>
      </c>
      <c r="B700" t="s">
        <v>1196</v>
      </c>
      <c r="C700" t="str">
        <f>IF(A700=1,RIGHT(D700,LEN(D700)-2),IF(A700=2,RIGHT(D700,LEN(D700)-3),IF(A700=3,RIGHT(D700,LEN(D700)-5),RIGHT(D700,LEN(D700)-6))))</f>
        <v>Wired telecommunications activities</v>
      </c>
      <c r="D700" t="s">
        <v>1197</v>
      </c>
      <c r="E700" t="s">
        <v>538</v>
      </c>
      <c r="F700" t="s">
        <v>1198</v>
      </c>
    </row>
    <row r="701" spans="1:6" x14ac:dyDescent="0.35">
      <c r="A701">
        <v>4</v>
      </c>
      <c r="B701" t="s">
        <v>2834</v>
      </c>
      <c r="C701" t="str">
        <f>IF(A701=1,RIGHT(D701,LEN(D701)-2),IF(A701=2,RIGHT(D701,LEN(D701)-3),IF(A701=3,RIGHT(D701,LEN(D701)-5),RIGHT(D701,LEN(D701)-6))))</f>
        <v>Wired telecommunications activities</v>
      </c>
      <c r="D701" t="s">
        <v>2835</v>
      </c>
      <c r="E701" t="s">
        <v>1196</v>
      </c>
      <c r="F701" t="s">
        <v>2836</v>
      </c>
    </row>
    <row r="702" spans="1:6" x14ac:dyDescent="0.35">
      <c r="A702">
        <v>3</v>
      </c>
      <c r="B702" t="s">
        <v>1199</v>
      </c>
      <c r="C702" t="str">
        <f>IF(A702=1,RIGHT(D702,LEN(D702)-2),IF(A702=2,RIGHT(D702,LEN(D702)-3),IF(A702=3,RIGHT(D702,LEN(D702)-5),RIGHT(D702,LEN(D702)-6))))</f>
        <v>Wireless telecommunications activities</v>
      </c>
      <c r="D702" t="s">
        <v>1200</v>
      </c>
      <c r="E702" t="s">
        <v>538</v>
      </c>
      <c r="F702" t="s">
        <v>1201</v>
      </c>
    </row>
    <row r="703" spans="1:6" x14ac:dyDescent="0.35">
      <c r="A703">
        <v>4</v>
      </c>
      <c r="B703" t="s">
        <v>2837</v>
      </c>
      <c r="C703" t="str">
        <f>IF(A703=1,RIGHT(D703,LEN(D703)-2),IF(A703=2,RIGHT(D703,LEN(D703)-3),IF(A703=3,RIGHT(D703,LEN(D703)-5),RIGHT(D703,LEN(D703)-6))))</f>
        <v>Wireless telecommunications activities</v>
      </c>
      <c r="D703" t="s">
        <v>2838</v>
      </c>
      <c r="E703" t="s">
        <v>1199</v>
      </c>
      <c r="F703" t="s">
        <v>2839</v>
      </c>
    </row>
    <row r="704" spans="1:6" x14ac:dyDescent="0.35">
      <c r="A704">
        <v>3</v>
      </c>
      <c r="B704" t="s">
        <v>1202</v>
      </c>
      <c r="C704" t="str">
        <f>IF(A704=1,RIGHT(D704,LEN(D704)-2),IF(A704=2,RIGHT(D704,LEN(D704)-3),IF(A704=3,RIGHT(D704,LEN(D704)-5),RIGHT(D704,LEN(D704)-6))))</f>
        <v>Satellite telecommunications activities</v>
      </c>
      <c r="D704" t="s">
        <v>1203</v>
      </c>
      <c r="E704" t="s">
        <v>538</v>
      </c>
      <c r="F704" t="s">
        <v>1204</v>
      </c>
    </row>
    <row r="705" spans="1:6" x14ac:dyDescent="0.35">
      <c r="A705">
        <v>4</v>
      </c>
      <c r="B705" t="s">
        <v>2840</v>
      </c>
      <c r="C705" t="str">
        <f>IF(A705=1,RIGHT(D705,LEN(D705)-2),IF(A705=2,RIGHT(D705,LEN(D705)-3),IF(A705=3,RIGHT(D705,LEN(D705)-5),RIGHT(D705,LEN(D705)-6))))</f>
        <v>Satellite telecommunications activities</v>
      </c>
      <c r="D705" t="s">
        <v>2841</v>
      </c>
      <c r="E705" t="s">
        <v>1202</v>
      </c>
      <c r="F705" t="s">
        <v>2842</v>
      </c>
    </row>
    <row r="706" spans="1:6" x14ac:dyDescent="0.35">
      <c r="A706">
        <v>3</v>
      </c>
      <c r="B706" t="s">
        <v>1205</v>
      </c>
      <c r="C706" t="str">
        <f>IF(A706=1,RIGHT(D706,LEN(D706)-2),IF(A706=2,RIGHT(D706,LEN(D706)-3),IF(A706=3,RIGHT(D706,LEN(D706)-5),RIGHT(D706,LEN(D706)-6))))</f>
        <v>Other telecommunications activities</v>
      </c>
      <c r="D706" t="s">
        <v>1206</v>
      </c>
      <c r="E706" t="s">
        <v>538</v>
      </c>
      <c r="F706" t="s">
        <v>1207</v>
      </c>
    </row>
    <row r="707" spans="1:6" x14ac:dyDescent="0.35">
      <c r="A707">
        <v>4</v>
      </c>
      <c r="B707" t="s">
        <v>2843</v>
      </c>
      <c r="C707" t="str">
        <f>IF(A707=1,RIGHT(D707,LEN(D707)-2),IF(A707=2,RIGHT(D707,LEN(D707)-3),IF(A707=3,RIGHT(D707,LEN(D707)-5),RIGHT(D707,LEN(D707)-6))))</f>
        <v>Other telecommunications activities</v>
      </c>
      <c r="D707" t="s">
        <v>2844</v>
      </c>
      <c r="E707" t="s">
        <v>1205</v>
      </c>
      <c r="F707" t="s">
        <v>2845</v>
      </c>
    </row>
    <row r="708" spans="1:6" x14ac:dyDescent="0.35">
      <c r="A708">
        <v>2</v>
      </c>
      <c r="B708" t="s">
        <v>541</v>
      </c>
      <c r="C708" t="str">
        <f>IF(A708=1,RIGHT(D708,LEN(D708)-2),IF(A708=2,RIGHT(D708,LEN(D708)-3),IF(A708=3,RIGHT(D708,LEN(D708)-5),RIGHT(D708,LEN(D708)-6))))</f>
        <v>Computer programming, consultancy and related activities</v>
      </c>
      <c r="D708" t="s">
        <v>542</v>
      </c>
      <c r="E708" t="s">
        <v>368</v>
      </c>
      <c r="F708" t="s">
        <v>543</v>
      </c>
    </row>
    <row r="709" spans="1:6" x14ac:dyDescent="0.35">
      <c r="A709">
        <v>3</v>
      </c>
      <c r="B709" t="s">
        <v>1208</v>
      </c>
      <c r="C709" t="str">
        <f>IF(A709=1,RIGHT(D709,LEN(D709)-2),IF(A709=2,RIGHT(D709,LEN(D709)-3),IF(A709=3,RIGHT(D709,LEN(D709)-5),RIGHT(D709,LEN(D709)-6))))</f>
        <v>Computer programming, consultancy and related activities</v>
      </c>
      <c r="D709" t="s">
        <v>1209</v>
      </c>
      <c r="E709" t="s">
        <v>541</v>
      </c>
      <c r="F709" t="s">
        <v>1210</v>
      </c>
    </row>
    <row r="710" spans="1:6" x14ac:dyDescent="0.35">
      <c r="A710">
        <v>4</v>
      </c>
      <c r="B710" t="s">
        <v>2846</v>
      </c>
      <c r="C710" t="str">
        <f>IF(A710=1,RIGHT(D710,LEN(D710)-2),IF(A710=2,RIGHT(D710,LEN(D710)-3),IF(A710=3,RIGHT(D710,LEN(D710)-5),RIGHT(D710,LEN(D710)-6))))</f>
        <v>Computer programming activities</v>
      </c>
      <c r="D710" t="s">
        <v>2847</v>
      </c>
      <c r="E710" t="s">
        <v>1208</v>
      </c>
      <c r="F710" t="s">
        <v>2848</v>
      </c>
    </row>
    <row r="711" spans="1:6" x14ac:dyDescent="0.35">
      <c r="A711">
        <v>4</v>
      </c>
      <c r="B711" t="s">
        <v>2849</v>
      </c>
      <c r="C711" t="str">
        <f>IF(A711=1,RIGHT(D711,LEN(D711)-2),IF(A711=2,RIGHT(D711,LEN(D711)-3),IF(A711=3,RIGHT(D711,LEN(D711)-5),RIGHT(D711,LEN(D711)-6))))</f>
        <v>Computer consultancy activities</v>
      </c>
      <c r="D711" t="s">
        <v>2850</v>
      </c>
      <c r="E711" t="s">
        <v>1208</v>
      </c>
      <c r="F711" t="s">
        <v>2851</v>
      </c>
    </row>
    <row r="712" spans="1:6" x14ac:dyDescent="0.35">
      <c r="A712">
        <v>4</v>
      </c>
      <c r="B712" t="s">
        <v>2852</v>
      </c>
      <c r="C712" t="str">
        <f>IF(A712=1,RIGHT(D712,LEN(D712)-2),IF(A712=2,RIGHT(D712,LEN(D712)-3),IF(A712=3,RIGHT(D712,LEN(D712)-5),RIGHT(D712,LEN(D712)-6))))</f>
        <v>Computer facilities management activities</v>
      </c>
      <c r="D712" t="s">
        <v>2853</v>
      </c>
      <c r="E712" t="s">
        <v>1208</v>
      </c>
      <c r="F712" t="s">
        <v>2854</v>
      </c>
    </row>
    <row r="713" spans="1:6" x14ac:dyDescent="0.35">
      <c r="A713">
        <v>4</v>
      </c>
      <c r="B713" t="s">
        <v>2855</v>
      </c>
      <c r="C713" t="str">
        <f>IF(A713=1,RIGHT(D713,LEN(D713)-2),IF(A713=2,RIGHT(D713,LEN(D713)-3),IF(A713=3,RIGHT(D713,LEN(D713)-5),RIGHT(D713,LEN(D713)-6))))</f>
        <v>Other information technology and computer service activities</v>
      </c>
      <c r="D713" t="s">
        <v>2856</v>
      </c>
      <c r="E713" t="s">
        <v>1208</v>
      </c>
      <c r="F713" t="s">
        <v>2857</v>
      </c>
    </row>
    <row r="714" spans="1:6" x14ac:dyDescent="0.35">
      <c r="A714">
        <v>2</v>
      </c>
      <c r="B714" t="s">
        <v>544</v>
      </c>
      <c r="C714" t="str">
        <f>IF(A714=1,RIGHT(D714,LEN(D714)-2),IF(A714=2,RIGHT(D714,LEN(D714)-3),IF(A714=3,RIGHT(D714,LEN(D714)-5),RIGHT(D714,LEN(D714)-6))))</f>
        <v>Information service activities</v>
      </c>
      <c r="D714" t="s">
        <v>545</v>
      </c>
      <c r="E714" t="s">
        <v>368</v>
      </c>
      <c r="F714" t="s">
        <v>546</v>
      </c>
    </row>
    <row r="715" spans="1:6" x14ac:dyDescent="0.35">
      <c r="A715">
        <v>3</v>
      </c>
      <c r="B715" t="s">
        <v>1211</v>
      </c>
      <c r="C715" t="str">
        <f>IF(A715=1,RIGHT(D715,LEN(D715)-2),IF(A715=2,RIGHT(D715,LEN(D715)-3),IF(A715=3,RIGHT(D715,LEN(D715)-5),RIGHT(D715,LEN(D715)-6))))</f>
        <v>Data processing, hosting and related activities; web portals</v>
      </c>
      <c r="D715" t="s">
        <v>1212</v>
      </c>
      <c r="E715" t="s">
        <v>544</v>
      </c>
      <c r="F715" t="s">
        <v>1213</v>
      </c>
    </row>
    <row r="716" spans="1:6" x14ac:dyDescent="0.35">
      <c r="A716">
        <v>4</v>
      </c>
      <c r="B716" t="s">
        <v>2858</v>
      </c>
      <c r="C716" t="str">
        <f>IF(A716=1,RIGHT(D716,LEN(D716)-2),IF(A716=2,RIGHT(D716,LEN(D716)-3),IF(A716=3,RIGHT(D716,LEN(D716)-5),RIGHT(D716,LEN(D716)-6))))</f>
        <v>Data processing, hosting and related activities</v>
      </c>
      <c r="D716" t="s">
        <v>2859</v>
      </c>
      <c r="E716" t="s">
        <v>1211</v>
      </c>
      <c r="F716" t="s">
        <v>2860</v>
      </c>
    </row>
    <row r="717" spans="1:6" x14ac:dyDescent="0.35">
      <c r="A717">
        <v>4</v>
      </c>
      <c r="B717" t="s">
        <v>2861</v>
      </c>
      <c r="C717" t="str">
        <f>IF(A717=1,RIGHT(D717,LEN(D717)-2),IF(A717=2,RIGHT(D717,LEN(D717)-3),IF(A717=3,RIGHT(D717,LEN(D717)-5),RIGHT(D717,LEN(D717)-6))))</f>
        <v>Web portals</v>
      </c>
      <c r="D717" t="s">
        <v>2862</v>
      </c>
      <c r="E717" t="s">
        <v>1211</v>
      </c>
      <c r="F717" t="s">
        <v>2863</v>
      </c>
    </row>
    <row r="718" spans="1:6" x14ac:dyDescent="0.35">
      <c r="A718">
        <v>3</v>
      </c>
      <c r="B718" t="s">
        <v>1214</v>
      </c>
      <c r="C718" t="str">
        <f>IF(A718=1,RIGHT(D718,LEN(D718)-2),IF(A718=2,RIGHT(D718,LEN(D718)-3),IF(A718=3,RIGHT(D718,LEN(D718)-5),RIGHT(D718,LEN(D718)-6))))</f>
        <v>Other information service activities</v>
      </c>
      <c r="D718" t="s">
        <v>1215</v>
      </c>
      <c r="E718" t="s">
        <v>544</v>
      </c>
      <c r="F718" t="s">
        <v>1216</v>
      </c>
    </row>
    <row r="719" spans="1:6" x14ac:dyDescent="0.35">
      <c r="A719">
        <v>4</v>
      </c>
      <c r="B719" t="s">
        <v>2864</v>
      </c>
      <c r="C719" t="str">
        <f>IF(A719=1,RIGHT(D719,LEN(D719)-2),IF(A719=2,RIGHT(D719,LEN(D719)-3),IF(A719=3,RIGHT(D719,LEN(D719)-5),RIGHT(D719,LEN(D719)-6))))</f>
        <v>News agency activities</v>
      </c>
      <c r="D719" t="s">
        <v>2865</v>
      </c>
      <c r="E719" t="s">
        <v>1214</v>
      </c>
      <c r="F719" t="s">
        <v>2866</v>
      </c>
    </row>
    <row r="720" spans="1:6" x14ac:dyDescent="0.35">
      <c r="A720">
        <v>4</v>
      </c>
      <c r="B720" t="s">
        <v>2867</v>
      </c>
      <c r="C720" t="str">
        <f>IF(A720=1,RIGHT(D720,LEN(D720)-2),IF(A720=2,RIGHT(D720,LEN(D720)-3),IF(A720=3,RIGHT(D720,LEN(D720)-5),RIGHT(D720,LEN(D720)-6))))</f>
        <v>Other information service activities n.e.c.</v>
      </c>
      <c r="D720" t="s">
        <v>2868</v>
      </c>
      <c r="E720" t="s">
        <v>1214</v>
      </c>
      <c r="F720" t="s">
        <v>2869</v>
      </c>
    </row>
    <row r="721" spans="1:6" x14ac:dyDescent="0.35">
      <c r="A721">
        <v>2</v>
      </c>
      <c r="B721" t="s">
        <v>547</v>
      </c>
      <c r="C721" t="str">
        <f>IF(A721=1,RIGHT(D721,LEN(D721)-2),IF(A721=2,RIGHT(D721,LEN(D721)-3),IF(A721=3,RIGHT(D721,LEN(D721)-5),RIGHT(D721,LEN(D721)-6))))</f>
        <v>Financial service activities, except insurance and pension funding</v>
      </c>
      <c r="D721" t="s">
        <v>548</v>
      </c>
      <c r="E721" t="s">
        <v>371</v>
      </c>
      <c r="F721" t="s">
        <v>549</v>
      </c>
    </row>
    <row r="722" spans="1:6" x14ac:dyDescent="0.35">
      <c r="A722">
        <v>3</v>
      </c>
      <c r="B722" t="s">
        <v>1217</v>
      </c>
      <c r="C722" t="str">
        <f>IF(A722=1,RIGHT(D722,LEN(D722)-2),IF(A722=2,RIGHT(D722,LEN(D722)-3),IF(A722=3,RIGHT(D722,LEN(D722)-5),RIGHT(D722,LEN(D722)-6))))</f>
        <v>Monetary intermediation</v>
      </c>
      <c r="D722" t="s">
        <v>1218</v>
      </c>
      <c r="E722" t="s">
        <v>547</v>
      </c>
      <c r="F722" t="s">
        <v>1219</v>
      </c>
    </row>
    <row r="723" spans="1:6" x14ac:dyDescent="0.35">
      <c r="A723">
        <v>4</v>
      </c>
      <c r="B723" t="s">
        <v>2870</v>
      </c>
      <c r="C723" t="str">
        <f>IF(A723=1,RIGHT(D723,LEN(D723)-2),IF(A723=2,RIGHT(D723,LEN(D723)-3),IF(A723=3,RIGHT(D723,LEN(D723)-5),RIGHT(D723,LEN(D723)-6))))</f>
        <v>Central banking</v>
      </c>
      <c r="D723" t="s">
        <v>2871</v>
      </c>
      <c r="E723" t="s">
        <v>1217</v>
      </c>
      <c r="F723" t="s">
        <v>2872</v>
      </c>
    </row>
    <row r="724" spans="1:6" x14ac:dyDescent="0.35">
      <c r="A724">
        <v>4</v>
      </c>
      <c r="B724" t="s">
        <v>2873</v>
      </c>
      <c r="C724" t="str">
        <f>IF(A724=1,RIGHT(D724,LEN(D724)-2),IF(A724=2,RIGHT(D724,LEN(D724)-3),IF(A724=3,RIGHT(D724,LEN(D724)-5),RIGHT(D724,LEN(D724)-6))))</f>
        <v>Other monetary intermediation</v>
      </c>
      <c r="D724" t="s">
        <v>2874</v>
      </c>
      <c r="E724" t="s">
        <v>1217</v>
      </c>
      <c r="F724" t="s">
        <v>2875</v>
      </c>
    </row>
    <row r="725" spans="1:6" x14ac:dyDescent="0.35">
      <c r="A725">
        <v>3</v>
      </c>
      <c r="B725" t="s">
        <v>1220</v>
      </c>
      <c r="C725" t="str">
        <f>IF(A725=1,RIGHT(D725,LEN(D725)-2),IF(A725=2,RIGHT(D725,LEN(D725)-3),IF(A725=3,RIGHT(D725,LEN(D725)-5),RIGHT(D725,LEN(D725)-6))))</f>
        <v>Activities of holding companies</v>
      </c>
      <c r="D725" t="s">
        <v>1221</v>
      </c>
      <c r="E725" t="s">
        <v>547</v>
      </c>
      <c r="F725" t="s">
        <v>1222</v>
      </c>
    </row>
    <row r="726" spans="1:6" x14ac:dyDescent="0.35">
      <c r="A726">
        <v>4</v>
      </c>
      <c r="B726" t="s">
        <v>2876</v>
      </c>
      <c r="C726" t="str">
        <f>IF(A726=1,RIGHT(D726,LEN(D726)-2),IF(A726=2,RIGHT(D726,LEN(D726)-3),IF(A726=3,RIGHT(D726,LEN(D726)-5),RIGHT(D726,LEN(D726)-6))))</f>
        <v>Activities of holding companies</v>
      </c>
      <c r="D726" t="s">
        <v>2877</v>
      </c>
      <c r="E726" t="s">
        <v>1220</v>
      </c>
      <c r="F726" t="s">
        <v>2878</v>
      </c>
    </row>
    <row r="727" spans="1:6" x14ac:dyDescent="0.35">
      <c r="A727">
        <v>3</v>
      </c>
      <c r="B727" t="s">
        <v>1223</v>
      </c>
      <c r="C727" t="str">
        <f>IF(A727=1,RIGHT(D727,LEN(D727)-2),IF(A727=2,RIGHT(D727,LEN(D727)-3),IF(A727=3,RIGHT(D727,LEN(D727)-5),RIGHT(D727,LEN(D727)-6))))</f>
        <v>Trusts, funds and similar financial entities</v>
      </c>
      <c r="D727" t="s">
        <v>1224</v>
      </c>
      <c r="E727" t="s">
        <v>547</v>
      </c>
      <c r="F727" t="s">
        <v>1225</v>
      </c>
    </row>
    <row r="728" spans="1:6" x14ac:dyDescent="0.35">
      <c r="A728">
        <v>4</v>
      </c>
      <c r="B728" t="s">
        <v>2879</v>
      </c>
      <c r="C728" t="str">
        <f>IF(A728=1,RIGHT(D728,LEN(D728)-2),IF(A728=2,RIGHT(D728,LEN(D728)-3),IF(A728=3,RIGHT(D728,LEN(D728)-5),RIGHT(D728,LEN(D728)-6))))</f>
        <v>Trusts, funds and similar financial entities</v>
      </c>
      <c r="D728" t="s">
        <v>2880</v>
      </c>
      <c r="E728" t="s">
        <v>1223</v>
      </c>
      <c r="F728" t="s">
        <v>2881</v>
      </c>
    </row>
    <row r="729" spans="1:6" x14ac:dyDescent="0.35">
      <c r="A729">
        <v>3</v>
      </c>
      <c r="B729" t="s">
        <v>1226</v>
      </c>
      <c r="C729" t="str">
        <f>IF(A729=1,RIGHT(D729,LEN(D729)-2),IF(A729=2,RIGHT(D729,LEN(D729)-3),IF(A729=3,RIGHT(D729,LEN(D729)-5),RIGHT(D729,LEN(D729)-6))))</f>
        <v>Other financial service activities, except insurance and pension funding</v>
      </c>
      <c r="D729" t="s">
        <v>1227</v>
      </c>
      <c r="E729" t="s">
        <v>547</v>
      </c>
      <c r="F729" t="s">
        <v>1228</v>
      </c>
    </row>
    <row r="730" spans="1:6" x14ac:dyDescent="0.35">
      <c r="A730">
        <v>4</v>
      </c>
      <c r="B730" t="s">
        <v>2882</v>
      </c>
      <c r="C730" t="str">
        <f>IF(A730=1,RIGHT(D730,LEN(D730)-2),IF(A730=2,RIGHT(D730,LEN(D730)-3),IF(A730=3,RIGHT(D730,LEN(D730)-5),RIGHT(D730,LEN(D730)-6))))</f>
        <v>Financial leasing</v>
      </c>
      <c r="D730" t="s">
        <v>2883</v>
      </c>
      <c r="E730" t="s">
        <v>1226</v>
      </c>
      <c r="F730" t="s">
        <v>2884</v>
      </c>
    </row>
    <row r="731" spans="1:6" x14ac:dyDescent="0.35">
      <c r="A731">
        <v>4</v>
      </c>
      <c r="B731" t="s">
        <v>2885</v>
      </c>
      <c r="C731" t="str">
        <f>IF(A731=1,RIGHT(D731,LEN(D731)-2),IF(A731=2,RIGHT(D731,LEN(D731)-3),IF(A731=3,RIGHT(D731,LEN(D731)-5),RIGHT(D731,LEN(D731)-6))))</f>
        <v>Other credit granting</v>
      </c>
      <c r="D731" t="s">
        <v>2886</v>
      </c>
      <c r="E731" t="s">
        <v>1226</v>
      </c>
      <c r="F731" t="s">
        <v>2887</v>
      </c>
    </row>
    <row r="732" spans="1:6" x14ac:dyDescent="0.35">
      <c r="A732">
        <v>4</v>
      </c>
      <c r="B732" t="s">
        <v>2888</v>
      </c>
      <c r="C732" t="str">
        <f>IF(A732=1,RIGHT(D732,LEN(D732)-2),IF(A732=2,RIGHT(D732,LEN(D732)-3),IF(A732=3,RIGHT(D732,LEN(D732)-5),RIGHT(D732,LEN(D732)-6))))</f>
        <v>Other financial service activities, except insurance and pension funding n.e.c.</v>
      </c>
      <c r="D732" t="s">
        <v>2889</v>
      </c>
      <c r="E732" t="s">
        <v>1226</v>
      </c>
      <c r="F732" t="s">
        <v>2890</v>
      </c>
    </row>
    <row r="733" spans="1:6" x14ac:dyDescent="0.35">
      <c r="A733">
        <v>2</v>
      </c>
      <c r="B733" t="s">
        <v>550</v>
      </c>
      <c r="C733" t="str">
        <f>IF(A733=1,RIGHT(D733,LEN(D733)-2),IF(A733=2,RIGHT(D733,LEN(D733)-3),IF(A733=3,RIGHT(D733,LEN(D733)-5),RIGHT(D733,LEN(D733)-6))))</f>
        <v>Insurance, reinsurance and pension funding, except compulsory social security</v>
      </c>
      <c r="D733" t="s">
        <v>551</v>
      </c>
      <c r="E733" t="s">
        <v>371</v>
      </c>
      <c r="F733" t="s">
        <v>552</v>
      </c>
    </row>
    <row r="734" spans="1:6" x14ac:dyDescent="0.35">
      <c r="A734">
        <v>3</v>
      </c>
      <c r="B734" t="s">
        <v>1229</v>
      </c>
      <c r="C734" t="str">
        <f>IF(A734=1,RIGHT(D734,LEN(D734)-2),IF(A734=2,RIGHT(D734,LEN(D734)-3),IF(A734=3,RIGHT(D734,LEN(D734)-5),RIGHT(D734,LEN(D734)-6))))</f>
        <v>Insurance</v>
      </c>
      <c r="D734" t="s">
        <v>1230</v>
      </c>
      <c r="E734" t="s">
        <v>550</v>
      </c>
      <c r="F734" t="s">
        <v>1231</v>
      </c>
    </row>
    <row r="735" spans="1:6" x14ac:dyDescent="0.35">
      <c r="A735">
        <v>4</v>
      </c>
      <c r="B735" t="s">
        <v>2891</v>
      </c>
      <c r="C735" t="str">
        <f>IF(A735=1,RIGHT(D735,LEN(D735)-2),IF(A735=2,RIGHT(D735,LEN(D735)-3),IF(A735=3,RIGHT(D735,LEN(D735)-5),RIGHT(D735,LEN(D735)-6))))</f>
        <v>Life insurance</v>
      </c>
      <c r="D735" t="s">
        <v>2892</v>
      </c>
      <c r="E735" t="s">
        <v>1229</v>
      </c>
      <c r="F735" t="s">
        <v>2893</v>
      </c>
    </row>
    <row r="736" spans="1:6" x14ac:dyDescent="0.35">
      <c r="A736">
        <v>4</v>
      </c>
      <c r="B736" t="s">
        <v>2894</v>
      </c>
      <c r="C736" t="str">
        <f>IF(A736=1,RIGHT(D736,LEN(D736)-2),IF(A736=2,RIGHT(D736,LEN(D736)-3),IF(A736=3,RIGHT(D736,LEN(D736)-5),RIGHT(D736,LEN(D736)-6))))</f>
        <v>Non-life insurance</v>
      </c>
      <c r="D736" t="s">
        <v>2895</v>
      </c>
      <c r="E736" t="s">
        <v>1229</v>
      </c>
      <c r="F736" t="s">
        <v>2896</v>
      </c>
    </row>
    <row r="737" spans="1:6" x14ac:dyDescent="0.35">
      <c r="A737">
        <v>3</v>
      </c>
      <c r="B737" t="s">
        <v>1232</v>
      </c>
      <c r="C737" t="str">
        <f>IF(A737=1,RIGHT(D737,LEN(D737)-2),IF(A737=2,RIGHT(D737,LEN(D737)-3),IF(A737=3,RIGHT(D737,LEN(D737)-5),RIGHT(D737,LEN(D737)-6))))</f>
        <v>Reinsurance</v>
      </c>
      <c r="D737" t="s">
        <v>1233</v>
      </c>
      <c r="E737" t="s">
        <v>550</v>
      </c>
      <c r="F737" t="s">
        <v>1234</v>
      </c>
    </row>
    <row r="738" spans="1:6" x14ac:dyDescent="0.35">
      <c r="A738">
        <v>4</v>
      </c>
      <c r="B738" t="s">
        <v>2897</v>
      </c>
      <c r="C738" t="str">
        <f>IF(A738=1,RIGHT(D738,LEN(D738)-2),IF(A738=2,RIGHT(D738,LEN(D738)-3),IF(A738=3,RIGHT(D738,LEN(D738)-5),RIGHT(D738,LEN(D738)-6))))</f>
        <v>Reinsurance</v>
      </c>
      <c r="D738" t="s">
        <v>2898</v>
      </c>
      <c r="E738" t="s">
        <v>1232</v>
      </c>
      <c r="F738" t="s">
        <v>2899</v>
      </c>
    </row>
    <row r="739" spans="1:6" x14ac:dyDescent="0.35">
      <c r="A739">
        <v>3</v>
      </c>
      <c r="B739" t="s">
        <v>1235</v>
      </c>
      <c r="C739" t="str">
        <f>IF(A739=1,RIGHT(D739,LEN(D739)-2),IF(A739=2,RIGHT(D739,LEN(D739)-3),IF(A739=3,RIGHT(D739,LEN(D739)-5),RIGHT(D739,LEN(D739)-6))))</f>
        <v>Pension funding</v>
      </c>
      <c r="D739" t="s">
        <v>1236</v>
      </c>
      <c r="E739" t="s">
        <v>550</v>
      </c>
      <c r="F739" t="s">
        <v>1237</v>
      </c>
    </row>
    <row r="740" spans="1:6" x14ac:dyDescent="0.35">
      <c r="A740">
        <v>4</v>
      </c>
      <c r="B740" t="s">
        <v>2900</v>
      </c>
      <c r="C740" t="str">
        <f>IF(A740=1,RIGHT(D740,LEN(D740)-2),IF(A740=2,RIGHT(D740,LEN(D740)-3),IF(A740=3,RIGHT(D740,LEN(D740)-5),RIGHT(D740,LEN(D740)-6))))</f>
        <v>Pension funding</v>
      </c>
      <c r="D740" t="s">
        <v>2901</v>
      </c>
      <c r="E740" t="s">
        <v>1235</v>
      </c>
      <c r="F740" t="s">
        <v>2902</v>
      </c>
    </row>
    <row r="741" spans="1:6" x14ac:dyDescent="0.35">
      <c r="A741">
        <v>2</v>
      </c>
      <c r="B741" t="s">
        <v>553</v>
      </c>
      <c r="C741" t="str">
        <f>IF(A741=1,RIGHT(D741,LEN(D741)-2),IF(A741=2,RIGHT(D741,LEN(D741)-3),IF(A741=3,RIGHT(D741,LEN(D741)-5),RIGHT(D741,LEN(D741)-6))))</f>
        <v>Activities auxiliary to financial services and insurance activities</v>
      </c>
      <c r="D741" t="s">
        <v>554</v>
      </c>
      <c r="E741" t="s">
        <v>371</v>
      </c>
      <c r="F741" t="s">
        <v>555</v>
      </c>
    </row>
    <row r="742" spans="1:6" x14ac:dyDescent="0.35">
      <c r="A742">
        <v>3</v>
      </c>
      <c r="B742" t="s">
        <v>1238</v>
      </c>
      <c r="C742" t="str">
        <f>IF(A742=1,RIGHT(D742,LEN(D742)-2),IF(A742=2,RIGHT(D742,LEN(D742)-3),IF(A742=3,RIGHT(D742,LEN(D742)-5),RIGHT(D742,LEN(D742)-6))))</f>
        <v>Activities auxiliary to financial services, except insurance and pension funding</v>
      </c>
      <c r="D742" t="s">
        <v>1239</v>
      </c>
      <c r="E742" t="s">
        <v>553</v>
      </c>
      <c r="F742" t="s">
        <v>1240</v>
      </c>
    </row>
    <row r="743" spans="1:6" x14ac:dyDescent="0.35">
      <c r="A743">
        <v>4</v>
      </c>
      <c r="B743" t="s">
        <v>2903</v>
      </c>
      <c r="C743" t="str">
        <f>IF(A743=1,RIGHT(D743,LEN(D743)-2),IF(A743=2,RIGHT(D743,LEN(D743)-3),IF(A743=3,RIGHT(D743,LEN(D743)-5),RIGHT(D743,LEN(D743)-6))))</f>
        <v>Administration of financial markets</v>
      </c>
      <c r="D743" t="s">
        <v>2904</v>
      </c>
      <c r="E743" t="s">
        <v>1238</v>
      </c>
      <c r="F743" t="s">
        <v>2905</v>
      </c>
    </row>
    <row r="744" spans="1:6" x14ac:dyDescent="0.35">
      <c r="A744">
        <v>4</v>
      </c>
      <c r="B744" t="s">
        <v>2906</v>
      </c>
      <c r="C744" t="str">
        <f>IF(A744=1,RIGHT(D744,LEN(D744)-2),IF(A744=2,RIGHT(D744,LEN(D744)-3),IF(A744=3,RIGHT(D744,LEN(D744)-5),RIGHT(D744,LEN(D744)-6))))</f>
        <v>Security and commodity contracts brokerage</v>
      </c>
      <c r="D744" t="s">
        <v>2907</v>
      </c>
      <c r="E744" t="s">
        <v>1238</v>
      </c>
      <c r="F744" t="s">
        <v>2908</v>
      </c>
    </row>
    <row r="745" spans="1:6" x14ac:dyDescent="0.35">
      <c r="A745">
        <v>4</v>
      </c>
      <c r="B745" t="s">
        <v>2909</v>
      </c>
      <c r="C745" t="str">
        <f>IF(A745=1,RIGHT(D745,LEN(D745)-2),IF(A745=2,RIGHT(D745,LEN(D745)-3),IF(A745=3,RIGHT(D745,LEN(D745)-5),RIGHT(D745,LEN(D745)-6))))</f>
        <v>Other activities auxiliary to financial services, except insurance and pension funding</v>
      </c>
      <c r="D745" t="s">
        <v>2910</v>
      </c>
      <c r="E745" t="s">
        <v>1238</v>
      </c>
      <c r="F745" t="s">
        <v>2911</v>
      </c>
    </row>
    <row r="746" spans="1:6" x14ac:dyDescent="0.35">
      <c r="A746">
        <v>3</v>
      </c>
      <c r="B746" t="s">
        <v>1241</v>
      </c>
      <c r="C746" t="str">
        <f>IF(A746=1,RIGHT(D746,LEN(D746)-2),IF(A746=2,RIGHT(D746,LEN(D746)-3),IF(A746=3,RIGHT(D746,LEN(D746)-5),RIGHT(D746,LEN(D746)-6))))</f>
        <v>Activities auxiliary to insurance and pension funding</v>
      </c>
      <c r="D746" t="s">
        <v>1242</v>
      </c>
      <c r="E746" t="s">
        <v>553</v>
      </c>
      <c r="F746" t="s">
        <v>1243</v>
      </c>
    </row>
    <row r="747" spans="1:6" x14ac:dyDescent="0.35">
      <c r="A747">
        <v>4</v>
      </c>
      <c r="B747" t="s">
        <v>2912</v>
      </c>
      <c r="C747" t="str">
        <f>IF(A747=1,RIGHT(D747,LEN(D747)-2),IF(A747=2,RIGHT(D747,LEN(D747)-3),IF(A747=3,RIGHT(D747,LEN(D747)-5),RIGHT(D747,LEN(D747)-6))))</f>
        <v>Risk and damage evaluation</v>
      </c>
      <c r="D747" t="s">
        <v>2913</v>
      </c>
      <c r="E747" t="s">
        <v>1241</v>
      </c>
      <c r="F747" t="s">
        <v>2914</v>
      </c>
    </row>
    <row r="748" spans="1:6" x14ac:dyDescent="0.35">
      <c r="A748">
        <v>4</v>
      </c>
      <c r="B748" t="s">
        <v>2915</v>
      </c>
      <c r="C748" t="str">
        <f>IF(A748=1,RIGHT(D748,LEN(D748)-2),IF(A748=2,RIGHT(D748,LEN(D748)-3),IF(A748=3,RIGHT(D748,LEN(D748)-5),RIGHT(D748,LEN(D748)-6))))</f>
        <v>Activities of insurance agents and brokers</v>
      </c>
      <c r="D748" t="s">
        <v>2916</v>
      </c>
      <c r="E748" t="s">
        <v>1241</v>
      </c>
      <c r="F748" t="s">
        <v>2917</v>
      </c>
    </row>
    <row r="749" spans="1:6" x14ac:dyDescent="0.35">
      <c r="A749">
        <v>4</v>
      </c>
      <c r="B749" t="s">
        <v>2918</v>
      </c>
      <c r="C749" t="str">
        <f>IF(A749=1,RIGHT(D749,LEN(D749)-2),IF(A749=2,RIGHT(D749,LEN(D749)-3),IF(A749=3,RIGHT(D749,LEN(D749)-5),RIGHT(D749,LEN(D749)-6))))</f>
        <v>Other activities auxiliary to insurance and pension funding</v>
      </c>
      <c r="D749" t="s">
        <v>2919</v>
      </c>
      <c r="E749" t="s">
        <v>1241</v>
      </c>
      <c r="F749" t="s">
        <v>2920</v>
      </c>
    </row>
    <row r="750" spans="1:6" x14ac:dyDescent="0.35">
      <c r="A750">
        <v>3</v>
      </c>
      <c r="B750" t="s">
        <v>1244</v>
      </c>
      <c r="C750" t="str">
        <f>IF(A750=1,RIGHT(D750,LEN(D750)-2),IF(A750=2,RIGHT(D750,LEN(D750)-3),IF(A750=3,RIGHT(D750,LEN(D750)-5),RIGHT(D750,LEN(D750)-6))))</f>
        <v>Fund management activities</v>
      </c>
      <c r="D750" t="s">
        <v>1245</v>
      </c>
      <c r="E750" t="s">
        <v>553</v>
      </c>
      <c r="F750" t="s">
        <v>1246</v>
      </c>
    </row>
    <row r="751" spans="1:6" x14ac:dyDescent="0.35">
      <c r="A751">
        <v>4</v>
      </c>
      <c r="B751" t="s">
        <v>2921</v>
      </c>
      <c r="C751" t="str">
        <f>IF(A751=1,RIGHT(D751,LEN(D751)-2),IF(A751=2,RIGHT(D751,LEN(D751)-3),IF(A751=3,RIGHT(D751,LEN(D751)-5),RIGHT(D751,LEN(D751)-6))))</f>
        <v>Fund management activities</v>
      </c>
      <c r="D751" t="s">
        <v>2922</v>
      </c>
      <c r="E751" t="s">
        <v>1244</v>
      </c>
      <c r="F751" t="s">
        <v>2923</v>
      </c>
    </row>
    <row r="752" spans="1:6" x14ac:dyDescent="0.35">
      <c r="A752">
        <v>2</v>
      </c>
      <c r="B752" t="s">
        <v>556</v>
      </c>
      <c r="C752" t="str">
        <f>IF(A752=1,RIGHT(D752,LEN(D752)-2),IF(A752=2,RIGHT(D752,LEN(D752)-3),IF(A752=3,RIGHT(D752,LEN(D752)-5),RIGHT(D752,LEN(D752)-6))))</f>
        <v>Real estate activities</v>
      </c>
      <c r="D752" t="s">
        <v>557</v>
      </c>
      <c r="E752" t="s">
        <v>374</v>
      </c>
      <c r="F752" t="s">
        <v>558</v>
      </c>
    </row>
    <row r="753" spans="1:6" x14ac:dyDescent="0.35">
      <c r="A753">
        <v>3</v>
      </c>
      <c r="B753" t="s">
        <v>1247</v>
      </c>
      <c r="C753" t="str">
        <f>IF(A753=1,RIGHT(D753,LEN(D753)-2),IF(A753=2,RIGHT(D753,LEN(D753)-3),IF(A753=3,RIGHT(D753,LEN(D753)-5),RIGHT(D753,LEN(D753)-6))))</f>
        <v>Buying and selling of own real estate</v>
      </c>
      <c r="D753" t="s">
        <v>1248</v>
      </c>
      <c r="E753" t="s">
        <v>556</v>
      </c>
      <c r="F753" t="s">
        <v>1249</v>
      </c>
    </row>
    <row r="754" spans="1:6" x14ac:dyDescent="0.35">
      <c r="A754">
        <v>4</v>
      </c>
      <c r="B754" t="s">
        <v>2924</v>
      </c>
      <c r="C754" t="str">
        <f>IF(A754=1,RIGHT(D754,LEN(D754)-2),IF(A754=2,RIGHT(D754,LEN(D754)-3),IF(A754=3,RIGHT(D754,LEN(D754)-5),RIGHT(D754,LEN(D754)-6))))</f>
        <v>Buying and selling of own real estate</v>
      </c>
      <c r="D754" t="s">
        <v>2925</v>
      </c>
      <c r="E754" t="s">
        <v>1247</v>
      </c>
      <c r="F754" t="s">
        <v>2926</v>
      </c>
    </row>
    <row r="755" spans="1:6" x14ac:dyDescent="0.35">
      <c r="A755">
        <v>3</v>
      </c>
      <c r="B755" t="s">
        <v>1250</v>
      </c>
      <c r="C755" t="str">
        <f>IF(A755=1,RIGHT(D755,LEN(D755)-2),IF(A755=2,RIGHT(D755,LEN(D755)-3),IF(A755=3,RIGHT(D755,LEN(D755)-5),RIGHT(D755,LEN(D755)-6))))</f>
        <v>Rental and operating of own or leased real estate</v>
      </c>
      <c r="D755" t="s">
        <v>1251</v>
      </c>
      <c r="E755" t="s">
        <v>556</v>
      </c>
      <c r="F755" t="s">
        <v>1252</v>
      </c>
    </row>
    <row r="756" spans="1:6" x14ac:dyDescent="0.35">
      <c r="A756">
        <v>4</v>
      </c>
      <c r="B756" t="s">
        <v>2927</v>
      </c>
      <c r="C756" t="str">
        <f>IF(A756=1,RIGHT(D756,LEN(D756)-2),IF(A756=2,RIGHT(D756,LEN(D756)-3),IF(A756=3,RIGHT(D756,LEN(D756)-5),RIGHT(D756,LEN(D756)-6))))</f>
        <v>Rental and operating of own or leased real estate</v>
      </c>
      <c r="D756" t="s">
        <v>2928</v>
      </c>
      <c r="E756" t="s">
        <v>1250</v>
      </c>
      <c r="F756" t="s">
        <v>2929</v>
      </c>
    </row>
    <row r="757" spans="1:6" x14ac:dyDescent="0.35">
      <c r="A757">
        <v>3</v>
      </c>
      <c r="B757" t="s">
        <v>1253</v>
      </c>
      <c r="C757" t="str">
        <f>IF(A757=1,RIGHT(D757,LEN(D757)-2),IF(A757=2,RIGHT(D757,LEN(D757)-3),IF(A757=3,RIGHT(D757,LEN(D757)-5),RIGHT(D757,LEN(D757)-6))))</f>
        <v>Real estate activities on a fee or contract basis</v>
      </c>
      <c r="D757" t="s">
        <v>1254</v>
      </c>
      <c r="E757" t="s">
        <v>556</v>
      </c>
      <c r="F757" t="s">
        <v>1255</v>
      </c>
    </row>
    <row r="758" spans="1:6" x14ac:dyDescent="0.35">
      <c r="A758">
        <v>4</v>
      </c>
      <c r="B758" t="s">
        <v>2930</v>
      </c>
      <c r="C758" t="str">
        <f>IF(A758=1,RIGHT(D758,LEN(D758)-2),IF(A758=2,RIGHT(D758,LEN(D758)-3),IF(A758=3,RIGHT(D758,LEN(D758)-5),RIGHT(D758,LEN(D758)-6))))</f>
        <v>Real estate agencies</v>
      </c>
      <c r="D758" t="s">
        <v>2931</v>
      </c>
      <c r="E758" t="s">
        <v>1253</v>
      </c>
      <c r="F758" t="s">
        <v>2932</v>
      </c>
    </row>
    <row r="759" spans="1:6" x14ac:dyDescent="0.35">
      <c r="A759">
        <v>4</v>
      </c>
      <c r="B759" t="s">
        <v>2933</v>
      </c>
      <c r="C759" t="str">
        <f>IF(A759=1,RIGHT(D759,LEN(D759)-2),IF(A759=2,RIGHT(D759,LEN(D759)-3),IF(A759=3,RIGHT(D759,LEN(D759)-5),RIGHT(D759,LEN(D759)-6))))</f>
        <v>Management of real estate on a fee or contract basis</v>
      </c>
      <c r="D759" t="s">
        <v>2934</v>
      </c>
      <c r="E759" t="s">
        <v>1253</v>
      </c>
      <c r="F759" t="s">
        <v>2935</v>
      </c>
    </row>
    <row r="760" spans="1:6" x14ac:dyDescent="0.35">
      <c r="A760">
        <v>2</v>
      </c>
      <c r="B760" t="s">
        <v>559</v>
      </c>
      <c r="C760" t="str">
        <f>IF(A760=1,RIGHT(D760,LEN(D760)-2),IF(A760=2,RIGHT(D760,LEN(D760)-3),IF(A760=3,RIGHT(D760,LEN(D760)-5),RIGHT(D760,LEN(D760)-6))))</f>
        <v>Legal and accounting activities</v>
      </c>
      <c r="D760" t="s">
        <v>560</v>
      </c>
      <c r="E760" t="s">
        <v>377</v>
      </c>
      <c r="F760" t="s">
        <v>561</v>
      </c>
    </row>
    <row r="761" spans="1:6" x14ac:dyDescent="0.35">
      <c r="A761">
        <v>3</v>
      </c>
      <c r="B761" t="s">
        <v>1256</v>
      </c>
      <c r="C761" t="str">
        <f>IF(A761=1,RIGHT(D761,LEN(D761)-2),IF(A761=2,RIGHT(D761,LEN(D761)-3),IF(A761=3,RIGHT(D761,LEN(D761)-5),RIGHT(D761,LEN(D761)-6))))</f>
        <v>Legal activities</v>
      </c>
      <c r="D761" t="s">
        <v>1257</v>
      </c>
      <c r="E761" t="s">
        <v>559</v>
      </c>
      <c r="F761" t="s">
        <v>1258</v>
      </c>
    </row>
    <row r="762" spans="1:6" x14ac:dyDescent="0.35">
      <c r="A762">
        <v>4</v>
      </c>
      <c r="B762" t="s">
        <v>2936</v>
      </c>
      <c r="C762" t="str">
        <f>IF(A762=1,RIGHT(D762,LEN(D762)-2),IF(A762=2,RIGHT(D762,LEN(D762)-3),IF(A762=3,RIGHT(D762,LEN(D762)-5),RIGHT(D762,LEN(D762)-6))))</f>
        <v>Legal activities</v>
      </c>
      <c r="D762" t="s">
        <v>2937</v>
      </c>
      <c r="E762" t="s">
        <v>1256</v>
      </c>
      <c r="F762" t="s">
        <v>2938</v>
      </c>
    </row>
    <row r="763" spans="1:6" x14ac:dyDescent="0.35">
      <c r="A763">
        <v>3</v>
      </c>
      <c r="B763" t="s">
        <v>1259</v>
      </c>
      <c r="C763" t="str">
        <f>IF(A763=1,RIGHT(D763,LEN(D763)-2),IF(A763=2,RIGHT(D763,LEN(D763)-3),IF(A763=3,RIGHT(D763,LEN(D763)-5),RIGHT(D763,LEN(D763)-6))))</f>
        <v>Accounting, bookkeeping and auditing activities; tax consultancy</v>
      </c>
      <c r="D763" t="s">
        <v>1260</v>
      </c>
      <c r="E763" t="s">
        <v>559</v>
      </c>
      <c r="F763" t="s">
        <v>1261</v>
      </c>
    </row>
    <row r="764" spans="1:6" x14ac:dyDescent="0.35">
      <c r="A764">
        <v>4</v>
      </c>
      <c r="B764" t="s">
        <v>2939</v>
      </c>
      <c r="C764" t="str">
        <f>IF(A764=1,RIGHT(D764,LEN(D764)-2),IF(A764=2,RIGHT(D764,LEN(D764)-3),IF(A764=3,RIGHT(D764,LEN(D764)-5),RIGHT(D764,LEN(D764)-6))))</f>
        <v>Accounting, bookkeeping and auditing activities; tax consultancy</v>
      </c>
      <c r="D764" t="s">
        <v>2940</v>
      </c>
      <c r="E764" t="s">
        <v>1259</v>
      </c>
      <c r="F764" t="s">
        <v>2941</v>
      </c>
    </row>
    <row r="765" spans="1:6" x14ac:dyDescent="0.35">
      <c r="A765">
        <v>2</v>
      </c>
      <c r="B765" t="s">
        <v>562</v>
      </c>
      <c r="C765" t="str">
        <f>IF(A765=1,RIGHT(D765,LEN(D765)-2),IF(A765=2,RIGHT(D765,LEN(D765)-3),IF(A765=3,RIGHT(D765,LEN(D765)-5),RIGHT(D765,LEN(D765)-6))))</f>
        <v>Activities of head offices; management consultancy activities</v>
      </c>
      <c r="D765" t="s">
        <v>563</v>
      </c>
      <c r="E765" t="s">
        <v>377</v>
      </c>
      <c r="F765" t="s">
        <v>564</v>
      </c>
    </row>
    <row r="766" spans="1:6" x14ac:dyDescent="0.35">
      <c r="A766">
        <v>3</v>
      </c>
      <c r="B766" t="s">
        <v>1262</v>
      </c>
      <c r="C766" t="str">
        <f>IF(A766=1,RIGHT(D766,LEN(D766)-2),IF(A766=2,RIGHT(D766,LEN(D766)-3),IF(A766=3,RIGHT(D766,LEN(D766)-5),RIGHT(D766,LEN(D766)-6))))</f>
        <v>Activities of head offices</v>
      </c>
      <c r="D766" t="s">
        <v>1263</v>
      </c>
      <c r="E766" t="s">
        <v>562</v>
      </c>
      <c r="F766" t="s">
        <v>1264</v>
      </c>
    </row>
    <row r="767" spans="1:6" x14ac:dyDescent="0.35">
      <c r="A767">
        <v>4</v>
      </c>
      <c r="B767" t="s">
        <v>2942</v>
      </c>
      <c r="C767" t="str">
        <f>IF(A767=1,RIGHT(D767,LEN(D767)-2),IF(A767=2,RIGHT(D767,LEN(D767)-3),IF(A767=3,RIGHT(D767,LEN(D767)-5),RIGHT(D767,LEN(D767)-6))))</f>
        <v>Activities of head offices</v>
      </c>
      <c r="D767" t="s">
        <v>2943</v>
      </c>
      <c r="E767" t="s">
        <v>1262</v>
      </c>
      <c r="F767" t="s">
        <v>2944</v>
      </c>
    </row>
    <row r="768" spans="1:6" x14ac:dyDescent="0.35">
      <c r="A768">
        <v>3</v>
      </c>
      <c r="B768" t="s">
        <v>1265</v>
      </c>
      <c r="C768" t="str">
        <f>IF(A768=1,RIGHT(D768,LEN(D768)-2),IF(A768=2,RIGHT(D768,LEN(D768)-3),IF(A768=3,RIGHT(D768,LEN(D768)-5),RIGHT(D768,LEN(D768)-6))))</f>
        <v>Management consultancy activities</v>
      </c>
      <c r="D768" t="s">
        <v>1266</v>
      </c>
      <c r="E768" t="s">
        <v>562</v>
      </c>
      <c r="F768" t="s">
        <v>1267</v>
      </c>
    </row>
    <row r="769" spans="1:6" x14ac:dyDescent="0.35">
      <c r="A769">
        <v>4</v>
      </c>
      <c r="B769" t="s">
        <v>2945</v>
      </c>
      <c r="C769" t="str">
        <f>IF(A769=1,RIGHT(D769,LEN(D769)-2),IF(A769=2,RIGHT(D769,LEN(D769)-3),IF(A769=3,RIGHT(D769,LEN(D769)-5),RIGHT(D769,LEN(D769)-6))))</f>
        <v>Public relations and communication activities</v>
      </c>
      <c r="D769" t="s">
        <v>2946</v>
      </c>
      <c r="E769" t="s">
        <v>1265</v>
      </c>
      <c r="F769" t="s">
        <v>2947</v>
      </c>
    </row>
    <row r="770" spans="1:6" x14ac:dyDescent="0.35">
      <c r="A770">
        <v>4</v>
      </c>
      <c r="B770" t="s">
        <v>2948</v>
      </c>
      <c r="C770" t="str">
        <f>IF(A770=1,RIGHT(D770,LEN(D770)-2),IF(A770=2,RIGHT(D770,LEN(D770)-3),IF(A770=3,RIGHT(D770,LEN(D770)-5),RIGHT(D770,LEN(D770)-6))))</f>
        <v>Business and other management consultancy activities</v>
      </c>
      <c r="D770" t="s">
        <v>2949</v>
      </c>
      <c r="E770" t="s">
        <v>1265</v>
      </c>
      <c r="F770" t="s">
        <v>2950</v>
      </c>
    </row>
    <row r="771" spans="1:6" x14ac:dyDescent="0.35">
      <c r="A771">
        <v>2</v>
      </c>
      <c r="B771" t="s">
        <v>565</v>
      </c>
      <c r="C771" t="str">
        <f>IF(A771=1,RIGHT(D771,LEN(D771)-2),IF(A771=2,RIGHT(D771,LEN(D771)-3),IF(A771=3,RIGHT(D771,LEN(D771)-5),RIGHT(D771,LEN(D771)-6))))</f>
        <v>Architectural and engineering activities; technical testing and analysis</v>
      </c>
      <c r="D771" t="s">
        <v>566</v>
      </c>
      <c r="E771" t="s">
        <v>377</v>
      </c>
      <c r="F771" t="s">
        <v>567</v>
      </c>
    </row>
    <row r="772" spans="1:6" x14ac:dyDescent="0.35">
      <c r="A772">
        <v>3</v>
      </c>
      <c r="B772" t="s">
        <v>1268</v>
      </c>
      <c r="C772" t="str">
        <f>IF(A772=1,RIGHT(D772,LEN(D772)-2),IF(A772=2,RIGHT(D772,LEN(D772)-3),IF(A772=3,RIGHT(D772,LEN(D772)-5),RIGHT(D772,LEN(D772)-6))))</f>
        <v>Architectural and engineering activities and related technical consultancy</v>
      </c>
      <c r="D772" t="s">
        <v>1269</v>
      </c>
      <c r="E772" t="s">
        <v>565</v>
      </c>
      <c r="F772" t="s">
        <v>1270</v>
      </c>
    </row>
    <row r="773" spans="1:6" x14ac:dyDescent="0.35">
      <c r="A773">
        <v>4</v>
      </c>
      <c r="B773" t="s">
        <v>2951</v>
      </c>
      <c r="C773" t="str">
        <f>IF(A773=1,RIGHT(D773,LEN(D773)-2),IF(A773=2,RIGHT(D773,LEN(D773)-3),IF(A773=3,RIGHT(D773,LEN(D773)-5),RIGHT(D773,LEN(D773)-6))))</f>
        <v>Architectural activities</v>
      </c>
      <c r="D773" t="s">
        <v>2952</v>
      </c>
      <c r="E773" t="s">
        <v>1268</v>
      </c>
      <c r="F773" t="s">
        <v>2953</v>
      </c>
    </row>
    <row r="774" spans="1:6" x14ac:dyDescent="0.35">
      <c r="A774">
        <v>4</v>
      </c>
      <c r="B774" t="s">
        <v>2954</v>
      </c>
      <c r="C774" t="str">
        <f>IF(A774=1,RIGHT(D774,LEN(D774)-2),IF(A774=2,RIGHT(D774,LEN(D774)-3),IF(A774=3,RIGHT(D774,LEN(D774)-5),RIGHT(D774,LEN(D774)-6))))</f>
        <v>Engineering activities and related technical consultancy</v>
      </c>
      <c r="D774" t="s">
        <v>2955</v>
      </c>
      <c r="E774" t="s">
        <v>1268</v>
      </c>
      <c r="F774" t="s">
        <v>2956</v>
      </c>
    </row>
    <row r="775" spans="1:6" x14ac:dyDescent="0.35">
      <c r="A775">
        <v>3</v>
      </c>
      <c r="B775" t="s">
        <v>1271</v>
      </c>
      <c r="C775" t="str">
        <f>IF(A775=1,RIGHT(D775,LEN(D775)-2),IF(A775=2,RIGHT(D775,LEN(D775)-3),IF(A775=3,RIGHT(D775,LEN(D775)-5),RIGHT(D775,LEN(D775)-6))))</f>
        <v>Technical testing and analysis</v>
      </c>
      <c r="D775" t="s">
        <v>1272</v>
      </c>
      <c r="E775" t="s">
        <v>565</v>
      </c>
      <c r="F775" t="s">
        <v>1273</v>
      </c>
    </row>
    <row r="776" spans="1:6" x14ac:dyDescent="0.35">
      <c r="A776">
        <v>4</v>
      </c>
      <c r="B776" t="s">
        <v>2957</v>
      </c>
      <c r="C776" t="str">
        <f>IF(A776=1,RIGHT(D776,LEN(D776)-2),IF(A776=2,RIGHT(D776,LEN(D776)-3),IF(A776=3,RIGHT(D776,LEN(D776)-5),RIGHT(D776,LEN(D776)-6))))</f>
        <v>Technical testing and analysis</v>
      </c>
      <c r="D776" t="s">
        <v>2958</v>
      </c>
      <c r="E776" t="s">
        <v>1271</v>
      </c>
      <c r="F776" t="s">
        <v>2959</v>
      </c>
    </row>
    <row r="777" spans="1:6" x14ac:dyDescent="0.35">
      <c r="A777">
        <v>2</v>
      </c>
      <c r="B777" t="s">
        <v>568</v>
      </c>
      <c r="C777" t="str">
        <f>IF(A777=1,RIGHT(D777,LEN(D777)-2),IF(A777=2,RIGHT(D777,LEN(D777)-3),IF(A777=3,RIGHT(D777,LEN(D777)-5),RIGHT(D777,LEN(D777)-6))))</f>
        <v>Scientific research and development</v>
      </c>
      <c r="D777" t="s">
        <v>569</v>
      </c>
      <c r="E777" t="s">
        <v>377</v>
      </c>
      <c r="F777" t="s">
        <v>570</v>
      </c>
    </row>
    <row r="778" spans="1:6" x14ac:dyDescent="0.35">
      <c r="A778">
        <v>3</v>
      </c>
      <c r="B778" t="s">
        <v>1274</v>
      </c>
      <c r="C778" t="str">
        <f>IF(A778=1,RIGHT(D778,LEN(D778)-2),IF(A778=2,RIGHT(D778,LEN(D778)-3),IF(A778=3,RIGHT(D778,LEN(D778)-5),RIGHT(D778,LEN(D778)-6))))</f>
        <v>Research and experimental development on natural sciences and engineering</v>
      </c>
      <c r="D778" t="s">
        <v>1275</v>
      </c>
      <c r="E778" t="s">
        <v>568</v>
      </c>
      <c r="F778" t="s">
        <v>1276</v>
      </c>
    </row>
    <row r="779" spans="1:6" x14ac:dyDescent="0.35">
      <c r="A779">
        <v>4</v>
      </c>
      <c r="B779" t="s">
        <v>2960</v>
      </c>
      <c r="C779" t="str">
        <f>IF(A779=1,RIGHT(D779,LEN(D779)-2),IF(A779=2,RIGHT(D779,LEN(D779)-3),IF(A779=3,RIGHT(D779,LEN(D779)-5),RIGHT(D779,LEN(D779)-6))))</f>
        <v>Research and experimental development on biotechnology</v>
      </c>
      <c r="D779" t="s">
        <v>2961</v>
      </c>
      <c r="E779" t="s">
        <v>1274</v>
      </c>
      <c r="F779" t="s">
        <v>2962</v>
      </c>
    </row>
    <row r="780" spans="1:6" x14ac:dyDescent="0.35">
      <c r="A780">
        <v>4</v>
      </c>
      <c r="B780" t="s">
        <v>2963</v>
      </c>
      <c r="C780" t="str">
        <f>IF(A780=1,RIGHT(D780,LEN(D780)-2),IF(A780=2,RIGHT(D780,LEN(D780)-3),IF(A780=3,RIGHT(D780,LEN(D780)-5),RIGHT(D780,LEN(D780)-6))))</f>
        <v>Other research and experimental development on natural sciences and engineering</v>
      </c>
      <c r="D780" t="s">
        <v>2964</v>
      </c>
      <c r="E780" t="s">
        <v>1274</v>
      </c>
      <c r="F780" t="s">
        <v>2965</v>
      </c>
    </row>
    <row r="781" spans="1:6" x14ac:dyDescent="0.35">
      <c r="A781">
        <v>3</v>
      </c>
      <c r="B781" t="s">
        <v>1277</v>
      </c>
      <c r="C781" t="str">
        <f>IF(A781=1,RIGHT(D781,LEN(D781)-2),IF(A781=2,RIGHT(D781,LEN(D781)-3),IF(A781=3,RIGHT(D781,LEN(D781)-5),RIGHT(D781,LEN(D781)-6))))</f>
        <v>Research and experimental development on social sciences and humanities</v>
      </c>
      <c r="D781" t="s">
        <v>1278</v>
      </c>
      <c r="E781" t="s">
        <v>568</v>
      </c>
      <c r="F781" t="s">
        <v>1279</v>
      </c>
    </row>
    <row r="782" spans="1:6" x14ac:dyDescent="0.35">
      <c r="A782">
        <v>4</v>
      </c>
      <c r="B782" t="s">
        <v>2966</v>
      </c>
      <c r="C782" t="str">
        <f>IF(A782=1,RIGHT(D782,LEN(D782)-2),IF(A782=2,RIGHT(D782,LEN(D782)-3),IF(A782=3,RIGHT(D782,LEN(D782)-5),RIGHT(D782,LEN(D782)-6))))</f>
        <v>Research and experimental development on social sciences and humanities</v>
      </c>
      <c r="D782" t="s">
        <v>2967</v>
      </c>
      <c r="E782" t="s">
        <v>1277</v>
      </c>
      <c r="F782" t="s">
        <v>2968</v>
      </c>
    </row>
    <row r="783" spans="1:6" x14ac:dyDescent="0.35">
      <c r="A783">
        <v>2</v>
      </c>
      <c r="B783" t="s">
        <v>571</v>
      </c>
      <c r="C783" t="str">
        <f>IF(A783=1,RIGHT(D783,LEN(D783)-2),IF(A783=2,RIGHT(D783,LEN(D783)-3),IF(A783=3,RIGHT(D783,LEN(D783)-5),RIGHT(D783,LEN(D783)-6))))</f>
        <v>Advertising and market research</v>
      </c>
      <c r="D783" t="s">
        <v>572</v>
      </c>
      <c r="E783" t="s">
        <v>377</v>
      </c>
      <c r="F783" t="s">
        <v>573</v>
      </c>
    </row>
    <row r="784" spans="1:6" x14ac:dyDescent="0.35">
      <c r="A784">
        <v>3</v>
      </c>
      <c r="B784" t="s">
        <v>1280</v>
      </c>
      <c r="C784" t="str">
        <f>IF(A784=1,RIGHT(D784,LEN(D784)-2),IF(A784=2,RIGHT(D784,LEN(D784)-3),IF(A784=3,RIGHT(D784,LEN(D784)-5),RIGHT(D784,LEN(D784)-6))))</f>
        <v>Advertising</v>
      </c>
      <c r="D784" t="s">
        <v>1281</v>
      </c>
      <c r="E784" t="s">
        <v>571</v>
      </c>
      <c r="F784" t="s">
        <v>1282</v>
      </c>
    </row>
    <row r="785" spans="1:6" x14ac:dyDescent="0.35">
      <c r="A785">
        <v>4</v>
      </c>
      <c r="B785" t="s">
        <v>2969</v>
      </c>
      <c r="C785" t="str">
        <f>IF(A785=1,RIGHT(D785,LEN(D785)-2),IF(A785=2,RIGHT(D785,LEN(D785)-3),IF(A785=3,RIGHT(D785,LEN(D785)-5),RIGHT(D785,LEN(D785)-6))))</f>
        <v>Advertising agencies</v>
      </c>
      <c r="D785" t="s">
        <v>2970</v>
      </c>
      <c r="E785" t="s">
        <v>1280</v>
      </c>
      <c r="F785" t="s">
        <v>2971</v>
      </c>
    </row>
    <row r="786" spans="1:6" x14ac:dyDescent="0.35">
      <c r="A786">
        <v>4</v>
      </c>
      <c r="B786" t="s">
        <v>2972</v>
      </c>
      <c r="C786" t="str">
        <f>IF(A786=1,RIGHT(D786,LEN(D786)-2),IF(A786=2,RIGHT(D786,LEN(D786)-3),IF(A786=3,RIGHT(D786,LEN(D786)-5),RIGHT(D786,LEN(D786)-6))))</f>
        <v>Media representation</v>
      </c>
      <c r="D786" t="s">
        <v>2973</v>
      </c>
      <c r="E786" t="s">
        <v>1280</v>
      </c>
      <c r="F786" t="s">
        <v>2974</v>
      </c>
    </row>
    <row r="787" spans="1:6" x14ac:dyDescent="0.35">
      <c r="A787">
        <v>3</v>
      </c>
      <c r="B787" t="s">
        <v>1283</v>
      </c>
      <c r="C787" t="str">
        <f>IF(A787=1,RIGHT(D787,LEN(D787)-2),IF(A787=2,RIGHT(D787,LEN(D787)-3),IF(A787=3,RIGHT(D787,LEN(D787)-5),RIGHT(D787,LEN(D787)-6))))</f>
        <v>Market research and public opinion polling</v>
      </c>
      <c r="D787" t="s">
        <v>1284</v>
      </c>
      <c r="E787" t="s">
        <v>571</v>
      </c>
      <c r="F787" t="s">
        <v>1285</v>
      </c>
    </row>
    <row r="788" spans="1:6" x14ac:dyDescent="0.35">
      <c r="A788">
        <v>4</v>
      </c>
      <c r="B788" t="s">
        <v>2975</v>
      </c>
      <c r="C788" t="str">
        <f>IF(A788=1,RIGHT(D788,LEN(D788)-2),IF(A788=2,RIGHT(D788,LEN(D788)-3),IF(A788=3,RIGHT(D788,LEN(D788)-5),RIGHT(D788,LEN(D788)-6))))</f>
        <v>Market research and public opinion polling</v>
      </c>
      <c r="D788" t="s">
        <v>2976</v>
      </c>
      <c r="E788" t="s">
        <v>1283</v>
      </c>
      <c r="F788" t="s">
        <v>2977</v>
      </c>
    </row>
    <row r="789" spans="1:6" x14ac:dyDescent="0.35">
      <c r="A789">
        <v>2</v>
      </c>
      <c r="B789" t="s">
        <v>574</v>
      </c>
      <c r="C789" t="str">
        <f>IF(A789=1,RIGHT(D789,LEN(D789)-2),IF(A789=2,RIGHT(D789,LEN(D789)-3),IF(A789=3,RIGHT(D789,LEN(D789)-5),RIGHT(D789,LEN(D789)-6))))</f>
        <v>Other professional, scientific and technical activities</v>
      </c>
      <c r="D789" t="s">
        <v>575</v>
      </c>
      <c r="E789" t="s">
        <v>377</v>
      </c>
      <c r="F789" t="s">
        <v>576</v>
      </c>
    </row>
    <row r="790" spans="1:6" x14ac:dyDescent="0.35">
      <c r="A790">
        <v>3</v>
      </c>
      <c r="B790" t="s">
        <v>1286</v>
      </c>
      <c r="C790" t="str">
        <f>IF(A790=1,RIGHT(D790,LEN(D790)-2),IF(A790=2,RIGHT(D790,LEN(D790)-3),IF(A790=3,RIGHT(D790,LEN(D790)-5),RIGHT(D790,LEN(D790)-6))))</f>
        <v>Specialised design activities</v>
      </c>
      <c r="D790" t="s">
        <v>1287</v>
      </c>
      <c r="E790" t="s">
        <v>574</v>
      </c>
      <c r="F790" t="s">
        <v>1288</v>
      </c>
    </row>
    <row r="791" spans="1:6" x14ac:dyDescent="0.35">
      <c r="A791">
        <v>4</v>
      </c>
      <c r="B791" t="s">
        <v>2978</v>
      </c>
      <c r="C791" t="str">
        <f>IF(A791=1,RIGHT(D791,LEN(D791)-2),IF(A791=2,RIGHT(D791,LEN(D791)-3),IF(A791=3,RIGHT(D791,LEN(D791)-5),RIGHT(D791,LEN(D791)-6))))</f>
        <v>Specialised design activities</v>
      </c>
      <c r="D791" t="s">
        <v>2979</v>
      </c>
      <c r="E791" t="s">
        <v>1286</v>
      </c>
      <c r="F791" t="s">
        <v>2980</v>
      </c>
    </row>
    <row r="792" spans="1:6" x14ac:dyDescent="0.35">
      <c r="A792">
        <v>3</v>
      </c>
      <c r="B792" t="s">
        <v>1289</v>
      </c>
      <c r="C792" t="str">
        <f>IF(A792=1,RIGHT(D792,LEN(D792)-2),IF(A792=2,RIGHT(D792,LEN(D792)-3),IF(A792=3,RIGHT(D792,LEN(D792)-5),RIGHT(D792,LEN(D792)-6))))</f>
        <v>Photographic activities</v>
      </c>
      <c r="D792" t="s">
        <v>1290</v>
      </c>
      <c r="E792" t="s">
        <v>574</v>
      </c>
      <c r="F792" t="s">
        <v>1291</v>
      </c>
    </row>
    <row r="793" spans="1:6" x14ac:dyDescent="0.35">
      <c r="A793">
        <v>4</v>
      </c>
      <c r="B793" t="s">
        <v>2981</v>
      </c>
      <c r="C793" t="str">
        <f>IF(A793=1,RIGHT(D793,LEN(D793)-2),IF(A793=2,RIGHT(D793,LEN(D793)-3),IF(A793=3,RIGHT(D793,LEN(D793)-5),RIGHT(D793,LEN(D793)-6))))</f>
        <v>Photographic activities</v>
      </c>
      <c r="D793" t="s">
        <v>2982</v>
      </c>
      <c r="E793" t="s">
        <v>1289</v>
      </c>
      <c r="F793" t="s">
        <v>2983</v>
      </c>
    </row>
    <row r="794" spans="1:6" x14ac:dyDescent="0.35">
      <c r="A794">
        <v>3</v>
      </c>
      <c r="B794" t="s">
        <v>1292</v>
      </c>
      <c r="C794" t="str">
        <f>IF(A794=1,RIGHT(D794,LEN(D794)-2),IF(A794=2,RIGHT(D794,LEN(D794)-3),IF(A794=3,RIGHT(D794,LEN(D794)-5),RIGHT(D794,LEN(D794)-6))))</f>
        <v>Translation and interpretation activities</v>
      </c>
      <c r="D794" t="s">
        <v>1293</v>
      </c>
      <c r="E794" t="s">
        <v>574</v>
      </c>
      <c r="F794" t="s">
        <v>1294</v>
      </c>
    </row>
    <row r="795" spans="1:6" x14ac:dyDescent="0.35">
      <c r="A795">
        <v>4</v>
      </c>
      <c r="B795" t="s">
        <v>2984</v>
      </c>
      <c r="C795" t="str">
        <f>IF(A795=1,RIGHT(D795,LEN(D795)-2),IF(A795=2,RIGHT(D795,LEN(D795)-3),IF(A795=3,RIGHT(D795,LEN(D795)-5),RIGHT(D795,LEN(D795)-6))))</f>
        <v>Translation and interpretation activities</v>
      </c>
      <c r="D795" t="s">
        <v>2985</v>
      </c>
      <c r="E795" t="s">
        <v>1292</v>
      </c>
      <c r="F795" t="s">
        <v>2986</v>
      </c>
    </row>
    <row r="796" spans="1:6" x14ac:dyDescent="0.35">
      <c r="A796">
        <v>3</v>
      </c>
      <c r="B796" t="s">
        <v>1295</v>
      </c>
      <c r="C796" t="str">
        <f>IF(A796=1,RIGHT(D796,LEN(D796)-2),IF(A796=2,RIGHT(D796,LEN(D796)-3),IF(A796=3,RIGHT(D796,LEN(D796)-5),RIGHT(D796,LEN(D796)-6))))</f>
        <v>Other professional, scientific and technical activities n.e.c.</v>
      </c>
      <c r="D796" t="s">
        <v>1296</v>
      </c>
      <c r="E796" t="s">
        <v>574</v>
      </c>
      <c r="F796" t="s">
        <v>1297</v>
      </c>
    </row>
    <row r="797" spans="1:6" x14ac:dyDescent="0.35">
      <c r="A797">
        <v>4</v>
      </c>
      <c r="B797" t="s">
        <v>2987</v>
      </c>
      <c r="C797" t="str">
        <f>IF(A797=1,RIGHT(D797,LEN(D797)-2),IF(A797=2,RIGHT(D797,LEN(D797)-3),IF(A797=3,RIGHT(D797,LEN(D797)-5),RIGHT(D797,LEN(D797)-6))))</f>
        <v>Other professional, scientific and technical activities n.e.c.</v>
      </c>
      <c r="D797" t="s">
        <v>2988</v>
      </c>
      <c r="E797" t="s">
        <v>1295</v>
      </c>
      <c r="F797" t="s">
        <v>2989</v>
      </c>
    </row>
    <row r="798" spans="1:6" x14ac:dyDescent="0.35">
      <c r="A798">
        <v>2</v>
      </c>
      <c r="B798" t="s">
        <v>577</v>
      </c>
      <c r="C798" t="str">
        <f>IF(A798=1,RIGHT(D798,LEN(D798)-2),IF(A798=2,RIGHT(D798,LEN(D798)-3),IF(A798=3,RIGHT(D798,LEN(D798)-5),RIGHT(D798,LEN(D798)-6))))</f>
        <v>Veterinary activities</v>
      </c>
      <c r="D798" t="s">
        <v>578</v>
      </c>
      <c r="E798" t="s">
        <v>377</v>
      </c>
      <c r="F798" t="s">
        <v>579</v>
      </c>
    </row>
    <row r="799" spans="1:6" x14ac:dyDescent="0.35">
      <c r="A799">
        <v>3</v>
      </c>
      <c r="B799" t="s">
        <v>1298</v>
      </c>
      <c r="C799" t="str">
        <f>IF(A799=1,RIGHT(D799,LEN(D799)-2),IF(A799=2,RIGHT(D799,LEN(D799)-3),IF(A799=3,RIGHT(D799,LEN(D799)-5),RIGHT(D799,LEN(D799)-6))))</f>
        <v>Veterinary activities</v>
      </c>
      <c r="D799" t="s">
        <v>1299</v>
      </c>
      <c r="E799" t="s">
        <v>577</v>
      </c>
      <c r="F799" t="s">
        <v>1300</v>
      </c>
    </row>
    <row r="800" spans="1:6" x14ac:dyDescent="0.35">
      <c r="A800">
        <v>4</v>
      </c>
      <c r="B800" t="s">
        <v>2990</v>
      </c>
      <c r="C800" t="str">
        <f>IF(A800=1,RIGHT(D800,LEN(D800)-2),IF(A800=2,RIGHT(D800,LEN(D800)-3),IF(A800=3,RIGHT(D800,LEN(D800)-5),RIGHT(D800,LEN(D800)-6))))</f>
        <v>Veterinary activities</v>
      </c>
      <c r="D800" t="s">
        <v>2991</v>
      </c>
      <c r="E800" t="s">
        <v>1298</v>
      </c>
      <c r="F800" t="s">
        <v>2992</v>
      </c>
    </row>
    <row r="801" spans="1:6" x14ac:dyDescent="0.35">
      <c r="A801">
        <v>2</v>
      </c>
      <c r="B801" t="s">
        <v>580</v>
      </c>
      <c r="C801" t="str">
        <f>IF(A801=1,RIGHT(D801,LEN(D801)-2),IF(A801=2,RIGHT(D801,LEN(D801)-3),IF(A801=3,RIGHT(D801,LEN(D801)-5),RIGHT(D801,LEN(D801)-6))))</f>
        <v>Rental and leasing activities</v>
      </c>
      <c r="D801" t="s">
        <v>581</v>
      </c>
      <c r="E801" t="s">
        <v>380</v>
      </c>
      <c r="F801" t="s">
        <v>582</v>
      </c>
    </row>
    <row r="802" spans="1:6" x14ac:dyDescent="0.35">
      <c r="A802">
        <v>3</v>
      </c>
      <c r="B802" t="s">
        <v>1301</v>
      </c>
      <c r="C802" t="str">
        <f>IF(A802=1,RIGHT(D802,LEN(D802)-2),IF(A802=2,RIGHT(D802,LEN(D802)-3),IF(A802=3,RIGHT(D802,LEN(D802)-5),RIGHT(D802,LEN(D802)-6))))</f>
        <v>Rental and leasing of motor vehicles</v>
      </c>
      <c r="D802" t="s">
        <v>1302</v>
      </c>
      <c r="E802" t="s">
        <v>580</v>
      </c>
      <c r="F802" t="s">
        <v>1303</v>
      </c>
    </row>
    <row r="803" spans="1:6" x14ac:dyDescent="0.35">
      <c r="A803">
        <v>4</v>
      </c>
      <c r="B803" t="s">
        <v>2993</v>
      </c>
      <c r="C803" t="str">
        <f>IF(A803=1,RIGHT(D803,LEN(D803)-2),IF(A803=2,RIGHT(D803,LEN(D803)-3),IF(A803=3,RIGHT(D803,LEN(D803)-5),RIGHT(D803,LEN(D803)-6))))</f>
        <v>Rental and leasing of cars and light motor vehicles</v>
      </c>
      <c r="D803" t="s">
        <v>2994</v>
      </c>
      <c r="E803" t="s">
        <v>1301</v>
      </c>
      <c r="F803" t="s">
        <v>2995</v>
      </c>
    </row>
    <row r="804" spans="1:6" x14ac:dyDescent="0.35">
      <c r="A804">
        <v>4</v>
      </c>
      <c r="B804" t="s">
        <v>2996</v>
      </c>
      <c r="C804" t="str">
        <f>IF(A804=1,RIGHT(D804,LEN(D804)-2),IF(A804=2,RIGHT(D804,LEN(D804)-3),IF(A804=3,RIGHT(D804,LEN(D804)-5),RIGHT(D804,LEN(D804)-6))))</f>
        <v>Rental and leasing of trucks</v>
      </c>
      <c r="D804" t="s">
        <v>2997</v>
      </c>
      <c r="E804" t="s">
        <v>1301</v>
      </c>
      <c r="F804" t="s">
        <v>2998</v>
      </c>
    </row>
    <row r="805" spans="1:6" x14ac:dyDescent="0.35">
      <c r="A805">
        <v>3</v>
      </c>
      <c r="B805" t="s">
        <v>1304</v>
      </c>
      <c r="C805" t="str">
        <f>IF(A805=1,RIGHT(D805,LEN(D805)-2),IF(A805=2,RIGHT(D805,LEN(D805)-3),IF(A805=3,RIGHT(D805,LEN(D805)-5),RIGHT(D805,LEN(D805)-6))))</f>
        <v>Rental and leasing of personal and household goods</v>
      </c>
      <c r="D805" t="s">
        <v>1305</v>
      </c>
      <c r="E805" t="s">
        <v>580</v>
      </c>
      <c r="F805" t="s">
        <v>1306</v>
      </c>
    </row>
    <row r="806" spans="1:6" x14ac:dyDescent="0.35">
      <c r="A806">
        <v>4</v>
      </c>
      <c r="B806" t="s">
        <v>2999</v>
      </c>
      <c r="C806" t="str">
        <f>IF(A806=1,RIGHT(D806,LEN(D806)-2),IF(A806=2,RIGHT(D806,LEN(D806)-3),IF(A806=3,RIGHT(D806,LEN(D806)-5),RIGHT(D806,LEN(D806)-6))))</f>
        <v>Rental and leasing of recreational and sports goods</v>
      </c>
      <c r="D806" t="s">
        <v>3000</v>
      </c>
      <c r="E806" t="s">
        <v>1304</v>
      </c>
      <c r="F806" t="s">
        <v>3001</v>
      </c>
    </row>
    <row r="807" spans="1:6" x14ac:dyDescent="0.35">
      <c r="A807">
        <v>4</v>
      </c>
      <c r="B807" t="s">
        <v>3002</v>
      </c>
      <c r="C807" t="str">
        <f>IF(A807=1,RIGHT(D807,LEN(D807)-2),IF(A807=2,RIGHT(D807,LEN(D807)-3),IF(A807=3,RIGHT(D807,LEN(D807)-5),RIGHT(D807,LEN(D807)-6))))</f>
        <v>Rental of video tapes and disks</v>
      </c>
      <c r="D807" t="s">
        <v>3003</v>
      </c>
      <c r="E807" t="s">
        <v>1304</v>
      </c>
      <c r="F807" t="s">
        <v>3004</v>
      </c>
    </row>
    <row r="808" spans="1:6" x14ac:dyDescent="0.35">
      <c r="A808">
        <v>4</v>
      </c>
      <c r="B808" t="s">
        <v>3005</v>
      </c>
      <c r="C808" t="str">
        <f>IF(A808=1,RIGHT(D808,LEN(D808)-2),IF(A808=2,RIGHT(D808,LEN(D808)-3),IF(A808=3,RIGHT(D808,LEN(D808)-5),RIGHT(D808,LEN(D808)-6))))</f>
        <v>Rental and leasing of other personal and household goods</v>
      </c>
      <c r="D808" t="s">
        <v>3006</v>
      </c>
      <c r="E808" t="s">
        <v>1304</v>
      </c>
      <c r="F808" t="s">
        <v>3007</v>
      </c>
    </row>
    <row r="809" spans="1:6" x14ac:dyDescent="0.35">
      <c r="A809">
        <v>3</v>
      </c>
      <c r="B809" t="s">
        <v>1307</v>
      </c>
      <c r="C809" t="str">
        <f>IF(A809=1,RIGHT(D809,LEN(D809)-2),IF(A809=2,RIGHT(D809,LEN(D809)-3),IF(A809=3,RIGHT(D809,LEN(D809)-5),RIGHT(D809,LEN(D809)-6))))</f>
        <v>Rental and leasing of other machinery, equipment and tangible goods</v>
      </c>
      <c r="D809" t="s">
        <v>1308</v>
      </c>
      <c r="E809" t="s">
        <v>580</v>
      </c>
      <c r="F809" t="s">
        <v>1309</v>
      </c>
    </row>
    <row r="810" spans="1:6" x14ac:dyDescent="0.35">
      <c r="A810">
        <v>4</v>
      </c>
      <c r="B810" t="s">
        <v>3008</v>
      </c>
      <c r="C810" t="str">
        <f>IF(A810=1,RIGHT(D810,LEN(D810)-2),IF(A810=2,RIGHT(D810,LEN(D810)-3),IF(A810=3,RIGHT(D810,LEN(D810)-5),RIGHT(D810,LEN(D810)-6))))</f>
        <v>Rental and leasing of agricultural machinery and equipment</v>
      </c>
      <c r="D810" t="s">
        <v>3009</v>
      </c>
      <c r="E810" t="s">
        <v>1307</v>
      </c>
      <c r="F810" t="s">
        <v>3010</v>
      </c>
    </row>
    <row r="811" spans="1:6" x14ac:dyDescent="0.35">
      <c r="A811">
        <v>4</v>
      </c>
      <c r="B811" t="s">
        <v>3011</v>
      </c>
      <c r="C811" t="str">
        <f>IF(A811=1,RIGHT(D811,LEN(D811)-2),IF(A811=2,RIGHT(D811,LEN(D811)-3),IF(A811=3,RIGHT(D811,LEN(D811)-5),RIGHT(D811,LEN(D811)-6))))</f>
        <v>Rental and leasing of construction and civil engineering machinery and equipment</v>
      </c>
      <c r="D811" t="s">
        <v>3012</v>
      </c>
      <c r="E811" t="s">
        <v>1307</v>
      </c>
      <c r="F811" t="s">
        <v>3013</v>
      </c>
    </row>
    <row r="812" spans="1:6" x14ac:dyDescent="0.35">
      <c r="A812">
        <v>4</v>
      </c>
      <c r="B812" t="s">
        <v>3014</v>
      </c>
      <c r="C812" t="str">
        <f>IF(A812=1,RIGHT(D812,LEN(D812)-2),IF(A812=2,RIGHT(D812,LEN(D812)-3),IF(A812=3,RIGHT(D812,LEN(D812)-5),RIGHT(D812,LEN(D812)-6))))</f>
        <v>Rental and leasing of office machinery and equipment (including computers)</v>
      </c>
      <c r="D812" t="s">
        <v>3015</v>
      </c>
      <c r="E812" t="s">
        <v>1307</v>
      </c>
      <c r="F812" t="s">
        <v>3016</v>
      </c>
    </row>
    <row r="813" spans="1:6" x14ac:dyDescent="0.35">
      <c r="A813">
        <v>4</v>
      </c>
      <c r="B813" t="s">
        <v>3017</v>
      </c>
      <c r="C813" t="str">
        <f>IF(A813=1,RIGHT(D813,LEN(D813)-2),IF(A813=2,RIGHT(D813,LEN(D813)-3),IF(A813=3,RIGHT(D813,LEN(D813)-5),RIGHT(D813,LEN(D813)-6))))</f>
        <v>Rental and leasing of water transport equipment</v>
      </c>
      <c r="D813" t="s">
        <v>3018</v>
      </c>
      <c r="E813" t="s">
        <v>1307</v>
      </c>
      <c r="F813" t="s">
        <v>3019</v>
      </c>
    </row>
    <row r="814" spans="1:6" x14ac:dyDescent="0.35">
      <c r="A814">
        <v>4</v>
      </c>
      <c r="B814" t="s">
        <v>3020</v>
      </c>
      <c r="C814" t="str">
        <f>IF(A814=1,RIGHT(D814,LEN(D814)-2),IF(A814=2,RIGHT(D814,LEN(D814)-3),IF(A814=3,RIGHT(D814,LEN(D814)-5),RIGHT(D814,LEN(D814)-6))))</f>
        <v>Rental and leasing of air transport equipment</v>
      </c>
      <c r="D814" t="s">
        <v>3021</v>
      </c>
      <c r="E814" t="s">
        <v>1307</v>
      </c>
      <c r="F814" t="s">
        <v>3022</v>
      </c>
    </row>
    <row r="815" spans="1:6" x14ac:dyDescent="0.35">
      <c r="A815">
        <v>4</v>
      </c>
      <c r="B815" t="s">
        <v>3023</v>
      </c>
      <c r="C815" t="str">
        <f>IF(A815=1,RIGHT(D815,LEN(D815)-2),IF(A815=2,RIGHT(D815,LEN(D815)-3),IF(A815=3,RIGHT(D815,LEN(D815)-5),RIGHT(D815,LEN(D815)-6))))</f>
        <v>Rental and leasing of other machinery, equipment and tangible goods n.e.c.</v>
      </c>
      <c r="D815" t="s">
        <v>3024</v>
      </c>
      <c r="E815" t="s">
        <v>1307</v>
      </c>
      <c r="F815" t="s">
        <v>3025</v>
      </c>
    </row>
    <row r="816" spans="1:6" x14ac:dyDescent="0.35">
      <c r="A816">
        <v>3</v>
      </c>
      <c r="B816" t="s">
        <v>1310</v>
      </c>
      <c r="C816" t="str">
        <f>IF(A816=1,RIGHT(D816,LEN(D816)-2),IF(A816=2,RIGHT(D816,LEN(D816)-3),IF(A816=3,RIGHT(D816,LEN(D816)-5),RIGHT(D816,LEN(D816)-6))))</f>
        <v>Leasing of intellectual property and similar products, except copyrighted works</v>
      </c>
      <c r="D816" t="s">
        <v>1311</v>
      </c>
      <c r="E816" t="s">
        <v>580</v>
      </c>
      <c r="F816" t="s">
        <v>1312</v>
      </c>
    </row>
    <row r="817" spans="1:6" x14ac:dyDescent="0.35">
      <c r="A817">
        <v>4</v>
      </c>
      <c r="B817" t="s">
        <v>3026</v>
      </c>
      <c r="C817" t="str">
        <f>IF(A817=1,RIGHT(D817,LEN(D817)-2),IF(A817=2,RIGHT(D817,LEN(D817)-3),IF(A817=3,RIGHT(D817,LEN(D817)-5),RIGHT(D817,LEN(D817)-6))))</f>
        <v>Leasing of intellectual property and similar products, except copyrighted works</v>
      </c>
      <c r="D817" t="s">
        <v>3027</v>
      </c>
      <c r="E817" t="s">
        <v>1310</v>
      </c>
      <c r="F817" t="s">
        <v>3028</v>
      </c>
    </row>
    <row r="818" spans="1:6" x14ac:dyDescent="0.35">
      <c r="A818">
        <v>2</v>
      </c>
      <c r="B818" t="s">
        <v>583</v>
      </c>
      <c r="C818" t="str">
        <f>IF(A818=1,RIGHT(D818,LEN(D818)-2),IF(A818=2,RIGHT(D818,LEN(D818)-3),IF(A818=3,RIGHT(D818,LEN(D818)-5),RIGHT(D818,LEN(D818)-6))))</f>
        <v>Employment activities</v>
      </c>
      <c r="D818" t="s">
        <v>584</v>
      </c>
      <c r="E818" t="s">
        <v>380</v>
      </c>
      <c r="F818" t="s">
        <v>585</v>
      </c>
    </row>
    <row r="819" spans="1:6" x14ac:dyDescent="0.35">
      <c r="A819">
        <v>3</v>
      </c>
      <c r="B819" t="s">
        <v>1313</v>
      </c>
      <c r="C819" t="str">
        <f>IF(A819=1,RIGHT(D819,LEN(D819)-2),IF(A819=2,RIGHT(D819,LEN(D819)-3),IF(A819=3,RIGHT(D819,LEN(D819)-5),RIGHT(D819,LEN(D819)-6))))</f>
        <v>Activities of employment placement agencies</v>
      </c>
      <c r="D819" t="s">
        <v>1314</v>
      </c>
      <c r="E819" t="s">
        <v>583</v>
      </c>
      <c r="F819" t="s">
        <v>1315</v>
      </c>
    </row>
    <row r="820" spans="1:6" x14ac:dyDescent="0.35">
      <c r="A820">
        <v>4</v>
      </c>
      <c r="B820" t="s">
        <v>3029</v>
      </c>
      <c r="C820" t="str">
        <f>IF(A820=1,RIGHT(D820,LEN(D820)-2),IF(A820=2,RIGHT(D820,LEN(D820)-3),IF(A820=3,RIGHT(D820,LEN(D820)-5),RIGHT(D820,LEN(D820)-6))))</f>
        <v>Activities of employment placement agencies</v>
      </c>
      <c r="D820" t="s">
        <v>3030</v>
      </c>
      <c r="E820" t="s">
        <v>1313</v>
      </c>
      <c r="F820" t="s">
        <v>3031</v>
      </c>
    </row>
    <row r="821" spans="1:6" x14ac:dyDescent="0.35">
      <c r="A821">
        <v>3</v>
      </c>
      <c r="B821" t="s">
        <v>1316</v>
      </c>
      <c r="C821" t="str">
        <f>IF(A821=1,RIGHT(D821,LEN(D821)-2),IF(A821=2,RIGHT(D821,LEN(D821)-3),IF(A821=3,RIGHT(D821,LEN(D821)-5),RIGHT(D821,LEN(D821)-6))))</f>
        <v>Temporary employment agency activities</v>
      </c>
      <c r="D821" t="s">
        <v>1317</v>
      </c>
      <c r="E821" t="s">
        <v>583</v>
      </c>
      <c r="F821" t="s">
        <v>1318</v>
      </c>
    </row>
    <row r="822" spans="1:6" x14ac:dyDescent="0.35">
      <c r="A822">
        <v>4</v>
      </c>
      <c r="B822" t="s">
        <v>3032</v>
      </c>
      <c r="C822" t="str">
        <f>IF(A822=1,RIGHT(D822,LEN(D822)-2),IF(A822=2,RIGHT(D822,LEN(D822)-3),IF(A822=3,RIGHT(D822,LEN(D822)-5),RIGHT(D822,LEN(D822)-6))))</f>
        <v>Temporary employment agency activities</v>
      </c>
      <c r="D822" t="s">
        <v>3033</v>
      </c>
      <c r="E822" t="s">
        <v>1316</v>
      </c>
      <c r="F822" t="s">
        <v>3034</v>
      </c>
    </row>
    <row r="823" spans="1:6" x14ac:dyDescent="0.35">
      <c r="A823">
        <v>3</v>
      </c>
      <c r="B823" t="s">
        <v>1319</v>
      </c>
      <c r="C823" t="str">
        <f>IF(A823=1,RIGHT(D823,LEN(D823)-2),IF(A823=2,RIGHT(D823,LEN(D823)-3),IF(A823=3,RIGHT(D823,LEN(D823)-5),RIGHT(D823,LEN(D823)-6))))</f>
        <v>Other human resources provision</v>
      </c>
      <c r="D823" t="s">
        <v>1320</v>
      </c>
      <c r="E823" t="s">
        <v>583</v>
      </c>
      <c r="F823" t="s">
        <v>1321</v>
      </c>
    </row>
    <row r="824" spans="1:6" x14ac:dyDescent="0.35">
      <c r="A824">
        <v>4</v>
      </c>
      <c r="B824" t="s">
        <v>3035</v>
      </c>
      <c r="C824" t="str">
        <f>IF(A824=1,RIGHT(D824,LEN(D824)-2),IF(A824=2,RIGHT(D824,LEN(D824)-3),IF(A824=3,RIGHT(D824,LEN(D824)-5),RIGHT(D824,LEN(D824)-6))))</f>
        <v>Other human resources provision</v>
      </c>
      <c r="D824" t="s">
        <v>3036</v>
      </c>
      <c r="E824" t="s">
        <v>1319</v>
      </c>
      <c r="F824" t="s">
        <v>3037</v>
      </c>
    </row>
    <row r="825" spans="1:6" x14ac:dyDescent="0.35">
      <c r="A825">
        <v>2</v>
      </c>
      <c r="B825" t="s">
        <v>586</v>
      </c>
      <c r="C825" t="str">
        <f>IF(A825=1,RIGHT(D825,LEN(D825)-2),IF(A825=2,RIGHT(D825,LEN(D825)-3),IF(A825=3,RIGHT(D825,LEN(D825)-5),RIGHT(D825,LEN(D825)-6))))</f>
        <v>Travel agency, tour operator and other reservation service and related activities</v>
      </c>
      <c r="D825" t="s">
        <v>587</v>
      </c>
      <c r="E825" t="s">
        <v>380</v>
      </c>
      <c r="F825" t="s">
        <v>588</v>
      </c>
    </row>
    <row r="826" spans="1:6" x14ac:dyDescent="0.35">
      <c r="A826">
        <v>3</v>
      </c>
      <c r="B826" t="s">
        <v>1322</v>
      </c>
      <c r="C826" t="str">
        <f>IF(A826=1,RIGHT(D826,LEN(D826)-2),IF(A826=2,RIGHT(D826,LEN(D826)-3),IF(A826=3,RIGHT(D826,LEN(D826)-5),RIGHT(D826,LEN(D826)-6))))</f>
        <v>Travel agency and tour operator activities</v>
      </c>
      <c r="D826" t="s">
        <v>1323</v>
      </c>
      <c r="E826" t="s">
        <v>586</v>
      </c>
      <c r="F826" t="s">
        <v>1324</v>
      </c>
    </row>
    <row r="827" spans="1:6" x14ac:dyDescent="0.35">
      <c r="A827">
        <v>4</v>
      </c>
      <c r="B827" t="s">
        <v>3038</v>
      </c>
      <c r="C827" t="str">
        <f>IF(A827=1,RIGHT(D827,LEN(D827)-2),IF(A827=2,RIGHT(D827,LEN(D827)-3),IF(A827=3,RIGHT(D827,LEN(D827)-5),RIGHT(D827,LEN(D827)-6))))</f>
        <v>Travel agency activities</v>
      </c>
      <c r="D827" t="s">
        <v>3039</v>
      </c>
      <c r="E827" t="s">
        <v>1322</v>
      </c>
      <c r="F827" t="s">
        <v>3040</v>
      </c>
    </row>
    <row r="828" spans="1:6" x14ac:dyDescent="0.35">
      <c r="A828">
        <v>4</v>
      </c>
      <c r="B828" t="s">
        <v>3041</v>
      </c>
      <c r="C828" t="str">
        <f>IF(A828=1,RIGHT(D828,LEN(D828)-2),IF(A828=2,RIGHT(D828,LEN(D828)-3),IF(A828=3,RIGHT(D828,LEN(D828)-5),RIGHT(D828,LEN(D828)-6))))</f>
        <v>Tour operator activities</v>
      </c>
      <c r="D828" t="s">
        <v>3042</v>
      </c>
      <c r="E828" t="s">
        <v>1322</v>
      </c>
      <c r="F828" t="s">
        <v>3043</v>
      </c>
    </row>
    <row r="829" spans="1:6" x14ac:dyDescent="0.35">
      <c r="A829">
        <v>3</v>
      </c>
      <c r="B829" t="s">
        <v>1325</v>
      </c>
      <c r="C829" t="str">
        <f>IF(A829=1,RIGHT(D829,LEN(D829)-2),IF(A829=2,RIGHT(D829,LEN(D829)-3),IF(A829=3,RIGHT(D829,LEN(D829)-5),RIGHT(D829,LEN(D829)-6))))</f>
        <v>Other reservation service and related activities</v>
      </c>
      <c r="D829" t="s">
        <v>1326</v>
      </c>
      <c r="E829" t="s">
        <v>586</v>
      </c>
      <c r="F829" t="s">
        <v>1327</v>
      </c>
    </row>
    <row r="830" spans="1:6" x14ac:dyDescent="0.35">
      <c r="A830">
        <v>4</v>
      </c>
      <c r="B830" t="s">
        <v>3044</v>
      </c>
      <c r="C830" t="str">
        <f>IF(A830=1,RIGHT(D830,LEN(D830)-2),IF(A830=2,RIGHT(D830,LEN(D830)-3),IF(A830=3,RIGHT(D830,LEN(D830)-5),RIGHT(D830,LEN(D830)-6))))</f>
        <v>Other reservation service and related activities</v>
      </c>
      <c r="D830" t="s">
        <v>3045</v>
      </c>
      <c r="E830" t="s">
        <v>1325</v>
      </c>
      <c r="F830" t="s">
        <v>3046</v>
      </c>
    </row>
    <row r="831" spans="1:6" x14ac:dyDescent="0.35">
      <c r="A831">
        <v>2</v>
      </c>
      <c r="B831" t="s">
        <v>589</v>
      </c>
      <c r="C831" t="str">
        <f>IF(A831=1,RIGHT(D831,LEN(D831)-2),IF(A831=2,RIGHT(D831,LEN(D831)-3),IF(A831=3,RIGHT(D831,LEN(D831)-5),RIGHT(D831,LEN(D831)-6))))</f>
        <v>Security and investigation activities</v>
      </c>
      <c r="D831" t="s">
        <v>590</v>
      </c>
      <c r="E831" t="s">
        <v>380</v>
      </c>
      <c r="F831" t="s">
        <v>591</v>
      </c>
    </row>
    <row r="832" spans="1:6" x14ac:dyDescent="0.35">
      <c r="A832">
        <v>3</v>
      </c>
      <c r="B832" t="s">
        <v>1328</v>
      </c>
      <c r="C832" t="str">
        <f>IF(A832=1,RIGHT(D832,LEN(D832)-2),IF(A832=2,RIGHT(D832,LEN(D832)-3),IF(A832=3,RIGHT(D832,LEN(D832)-5),RIGHT(D832,LEN(D832)-6))))</f>
        <v>Private security activities</v>
      </c>
      <c r="D832" t="s">
        <v>1329</v>
      </c>
      <c r="E832" t="s">
        <v>589</v>
      </c>
      <c r="F832" t="s">
        <v>1330</v>
      </c>
    </row>
    <row r="833" spans="1:6" x14ac:dyDescent="0.35">
      <c r="A833">
        <v>4</v>
      </c>
      <c r="B833" t="s">
        <v>3047</v>
      </c>
      <c r="C833" t="str">
        <f>IF(A833=1,RIGHT(D833,LEN(D833)-2),IF(A833=2,RIGHT(D833,LEN(D833)-3),IF(A833=3,RIGHT(D833,LEN(D833)-5),RIGHT(D833,LEN(D833)-6))))</f>
        <v>Private security activities</v>
      </c>
      <c r="D833" t="s">
        <v>3048</v>
      </c>
      <c r="E833" t="s">
        <v>1328</v>
      </c>
      <c r="F833" t="s">
        <v>3049</v>
      </c>
    </row>
    <row r="834" spans="1:6" x14ac:dyDescent="0.35">
      <c r="A834">
        <v>3</v>
      </c>
      <c r="B834" t="s">
        <v>1331</v>
      </c>
      <c r="C834" t="str">
        <f>IF(A834=1,RIGHT(D834,LEN(D834)-2),IF(A834=2,RIGHT(D834,LEN(D834)-3),IF(A834=3,RIGHT(D834,LEN(D834)-5),RIGHT(D834,LEN(D834)-6))))</f>
        <v>Security systems service activities</v>
      </c>
      <c r="D834" t="s">
        <v>1332</v>
      </c>
      <c r="E834" t="s">
        <v>589</v>
      </c>
      <c r="F834" t="s">
        <v>1333</v>
      </c>
    </row>
    <row r="835" spans="1:6" x14ac:dyDescent="0.35">
      <c r="A835">
        <v>4</v>
      </c>
      <c r="B835" t="s">
        <v>3050</v>
      </c>
      <c r="C835" t="str">
        <f>IF(A835=1,RIGHT(D835,LEN(D835)-2),IF(A835=2,RIGHT(D835,LEN(D835)-3),IF(A835=3,RIGHT(D835,LEN(D835)-5),RIGHT(D835,LEN(D835)-6))))</f>
        <v>Security systems service activities</v>
      </c>
      <c r="D835" t="s">
        <v>3051</v>
      </c>
      <c r="E835" t="s">
        <v>1331</v>
      </c>
      <c r="F835" t="s">
        <v>3052</v>
      </c>
    </row>
    <row r="836" spans="1:6" x14ac:dyDescent="0.35">
      <c r="A836">
        <v>3</v>
      </c>
      <c r="B836" t="s">
        <v>1334</v>
      </c>
      <c r="C836" t="str">
        <f>IF(A836=1,RIGHT(D836,LEN(D836)-2),IF(A836=2,RIGHT(D836,LEN(D836)-3),IF(A836=3,RIGHT(D836,LEN(D836)-5),RIGHT(D836,LEN(D836)-6))))</f>
        <v>Investigation activities</v>
      </c>
      <c r="D836" t="s">
        <v>1335</v>
      </c>
      <c r="E836" t="s">
        <v>589</v>
      </c>
      <c r="F836" t="s">
        <v>1336</v>
      </c>
    </row>
    <row r="837" spans="1:6" x14ac:dyDescent="0.35">
      <c r="A837">
        <v>4</v>
      </c>
      <c r="B837" t="s">
        <v>3053</v>
      </c>
      <c r="C837" t="str">
        <f>IF(A837=1,RIGHT(D837,LEN(D837)-2),IF(A837=2,RIGHT(D837,LEN(D837)-3),IF(A837=3,RIGHT(D837,LEN(D837)-5),RIGHT(D837,LEN(D837)-6))))</f>
        <v>Investigation activities</v>
      </c>
      <c r="D837" t="s">
        <v>3054</v>
      </c>
      <c r="E837" t="s">
        <v>1334</v>
      </c>
      <c r="F837" t="s">
        <v>3055</v>
      </c>
    </row>
    <row r="838" spans="1:6" x14ac:dyDescent="0.35">
      <c r="A838">
        <v>2</v>
      </c>
      <c r="B838" t="s">
        <v>592</v>
      </c>
      <c r="C838" t="str">
        <f>IF(A838=1,RIGHT(D838,LEN(D838)-2),IF(A838=2,RIGHT(D838,LEN(D838)-3),IF(A838=3,RIGHT(D838,LEN(D838)-5),RIGHT(D838,LEN(D838)-6))))</f>
        <v>Services to buildings and landscape activities</v>
      </c>
      <c r="D838" t="s">
        <v>593</v>
      </c>
      <c r="E838" t="s">
        <v>380</v>
      </c>
      <c r="F838" t="s">
        <v>594</v>
      </c>
    </row>
    <row r="839" spans="1:6" x14ac:dyDescent="0.35">
      <c r="A839">
        <v>3</v>
      </c>
      <c r="B839" t="s">
        <v>1337</v>
      </c>
      <c r="C839" t="str">
        <f>IF(A839=1,RIGHT(D839,LEN(D839)-2),IF(A839=2,RIGHT(D839,LEN(D839)-3),IF(A839=3,RIGHT(D839,LEN(D839)-5),RIGHT(D839,LEN(D839)-6))))</f>
        <v>Combined facilities support activities</v>
      </c>
      <c r="D839" t="s">
        <v>1338</v>
      </c>
      <c r="E839" t="s">
        <v>592</v>
      </c>
      <c r="F839" t="s">
        <v>1339</v>
      </c>
    </row>
    <row r="840" spans="1:6" x14ac:dyDescent="0.35">
      <c r="A840">
        <v>4</v>
      </c>
      <c r="B840" t="s">
        <v>3056</v>
      </c>
      <c r="C840" t="str">
        <f>IF(A840=1,RIGHT(D840,LEN(D840)-2),IF(A840=2,RIGHT(D840,LEN(D840)-3),IF(A840=3,RIGHT(D840,LEN(D840)-5),RIGHT(D840,LEN(D840)-6))))</f>
        <v>Combined facilities support activities</v>
      </c>
      <c r="D840" t="s">
        <v>3057</v>
      </c>
      <c r="E840" t="s">
        <v>1337</v>
      </c>
      <c r="F840" t="s">
        <v>3058</v>
      </c>
    </row>
    <row r="841" spans="1:6" x14ac:dyDescent="0.35">
      <c r="A841">
        <v>3</v>
      </c>
      <c r="B841" t="s">
        <v>1340</v>
      </c>
      <c r="C841" t="str">
        <f>IF(A841=1,RIGHT(D841,LEN(D841)-2),IF(A841=2,RIGHT(D841,LEN(D841)-3),IF(A841=3,RIGHT(D841,LEN(D841)-5),RIGHT(D841,LEN(D841)-6))))</f>
        <v>Cleaning activities</v>
      </c>
      <c r="D841" t="s">
        <v>1341</v>
      </c>
      <c r="E841" t="s">
        <v>592</v>
      </c>
      <c r="F841" t="s">
        <v>1342</v>
      </c>
    </row>
    <row r="842" spans="1:6" x14ac:dyDescent="0.35">
      <c r="A842">
        <v>4</v>
      </c>
      <c r="B842" t="s">
        <v>3059</v>
      </c>
      <c r="C842" t="str">
        <f>IF(A842=1,RIGHT(D842,LEN(D842)-2),IF(A842=2,RIGHT(D842,LEN(D842)-3),IF(A842=3,RIGHT(D842,LEN(D842)-5),RIGHT(D842,LEN(D842)-6))))</f>
        <v>General cleaning of buildings</v>
      </c>
      <c r="D842" t="s">
        <v>3060</v>
      </c>
      <c r="E842" t="s">
        <v>1340</v>
      </c>
      <c r="F842" t="s">
        <v>3061</v>
      </c>
    </row>
    <row r="843" spans="1:6" x14ac:dyDescent="0.35">
      <c r="A843">
        <v>4</v>
      </c>
      <c r="B843" t="s">
        <v>3062</v>
      </c>
      <c r="C843" t="str">
        <f>IF(A843=1,RIGHT(D843,LEN(D843)-2),IF(A843=2,RIGHT(D843,LEN(D843)-3),IF(A843=3,RIGHT(D843,LEN(D843)-5),RIGHT(D843,LEN(D843)-6))))</f>
        <v>Other building and industrial cleaning activities</v>
      </c>
      <c r="D843" t="s">
        <v>3063</v>
      </c>
      <c r="E843" t="s">
        <v>1340</v>
      </c>
      <c r="F843" t="s">
        <v>3064</v>
      </c>
    </row>
    <row r="844" spans="1:6" x14ac:dyDescent="0.35">
      <c r="A844">
        <v>4</v>
      </c>
      <c r="B844" t="s">
        <v>3065</v>
      </c>
      <c r="C844" t="str">
        <f>IF(A844=1,RIGHT(D844,LEN(D844)-2),IF(A844=2,RIGHT(D844,LEN(D844)-3),IF(A844=3,RIGHT(D844,LEN(D844)-5),RIGHT(D844,LEN(D844)-6))))</f>
        <v>Other cleaning activities</v>
      </c>
      <c r="D844" t="s">
        <v>3066</v>
      </c>
      <c r="E844" t="s">
        <v>1340</v>
      </c>
      <c r="F844" t="s">
        <v>3067</v>
      </c>
    </row>
    <row r="845" spans="1:6" x14ac:dyDescent="0.35">
      <c r="A845">
        <v>3</v>
      </c>
      <c r="B845" t="s">
        <v>1343</v>
      </c>
      <c r="C845" t="str">
        <f>IF(A845=1,RIGHT(D845,LEN(D845)-2),IF(A845=2,RIGHT(D845,LEN(D845)-3),IF(A845=3,RIGHT(D845,LEN(D845)-5),RIGHT(D845,LEN(D845)-6))))</f>
        <v>Landscape service activities</v>
      </c>
      <c r="D845" t="s">
        <v>1344</v>
      </c>
      <c r="E845" t="s">
        <v>592</v>
      </c>
      <c r="F845" t="s">
        <v>1345</v>
      </c>
    </row>
    <row r="846" spans="1:6" x14ac:dyDescent="0.35">
      <c r="A846">
        <v>4</v>
      </c>
      <c r="B846" t="s">
        <v>3068</v>
      </c>
      <c r="C846" t="str">
        <f>IF(A846=1,RIGHT(D846,LEN(D846)-2),IF(A846=2,RIGHT(D846,LEN(D846)-3),IF(A846=3,RIGHT(D846,LEN(D846)-5),RIGHT(D846,LEN(D846)-6))))</f>
        <v>Landscape service activities</v>
      </c>
      <c r="D846" t="s">
        <v>3069</v>
      </c>
      <c r="E846" t="s">
        <v>1343</v>
      </c>
      <c r="F846" t="s">
        <v>3070</v>
      </c>
    </row>
    <row r="847" spans="1:6" x14ac:dyDescent="0.35">
      <c r="A847">
        <v>2</v>
      </c>
      <c r="B847" t="s">
        <v>595</v>
      </c>
      <c r="C847" t="str">
        <f>IF(A847=1,RIGHT(D847,LEN(D847)-2),IF(A847=2,RIGHT(D847,LEN(D847)-3),IF(A847=3,RIGHT(D847,LEN(D847)-5),RIGHT(D847,LEN(D847)-6))))</f>
        <v>Office administrative, office support and other business support activities</v>
      </c>
      <c r="D847" t="s">
        <v>596</v>
      </c>
      <c r="E847" t="s">
        <v>380</v>
      </c>
      <c r="F847" t="s">
        <v>597</v>
      </c>
    </row>
    <row r="848" spans="1:6" x14ac:dyDescent="0.35">
      <c r="A848">
        <v>3</v>
      </c>
      <c r="B848" t="s">
        <v>1346</v>
      </c>
      <c r="C848" t="str">
        <f>IF(A848=1,RIGHT(D848,LEN(D848)-2),IF(A848=2,RIGHT(D848,LEN(D848)-3),IF(A848=3,RIGHT(D848,LEN(D848)-5),RIGHT(D848,LEN(D848)-6))))</f>
        <v>Office administrative and support activities</v>
      </c>
      <c r="D848" t="s">
        <v>1347</v>
      </c>
      <c r="E848" t="s">
        <v>595</v>
      </c>
      <c r="F848" t="s">
        <v>1348</v>
      </c>
    </row>
    <row r="849" spans="1:6" x14ac:dyDescent="0.35">
      <c r="A849">
        <v>4</v>
      </c>
      <c r="B849" t="s">
        <v>3071</v>
      </c>
      <c r="C849" t="str">
        <f>IF(A849=1,RIGHT(D849,LEN(D849)-2),IF(A849=2,RIGHT(D849,LEN(D849)-3),IF(A849=3,RIGHT(D849,LEN(D849)-5),RIGHT(D849,LEN(D849)-6))))</f>
        <v>Combined office administrative service activities</v>
      </c>
      <c r="D849" t="s">
        <v>3072</v>
      </c>
      <c r="E849" t="s">
        <v>1346</v>
      </c>
      <c r="F849" t="s">
        <v>3073</v>
      </c>
    </row>
    <row r="850" spans="1:6" x14ac:dyDescent="0.35">
      <c r="A850">
        <v>4</v>
      </c>
      <c r="B850" t="s">
        <v>3074</v>
      </c>
      <c r="C850" t="str">
        <f>IF(A850=1,RIGHT(D850,LEN(D850)-2),IF(A850=2,RIGHT(D850,LEN(D850)-3),IF(A850=3,RIGHT(D850,LEN(D850)-5),RIGHT(D850,LEN(D850)-6))))</f>
        <v>Photocopying, document preparation and other specialised office support activities</v>
      </c>
      <c r="D850" t="s">
        <v>3075</v>
      </c>
      <c r="E850" t="s">
        <v>1346</v>
      </c>
      <c r="F850" t="s">
        <v>3076</v>
      </c>
    </row>
    <row r="851" spans="1:6" x14ac:dyDescent="0.35">
      <c r="A851">
        <v>3</v>
      </c>
      <c r="B851" t="s">
        <v>1349</v>
      </c>
      <c r="C851" t="str">
        <f>IF(A851=1,RIGHT(D851,LEN(D851)-2),IF(A851=2,RIGHT(D851,LEN(D851)-3),IF(A851=3,RIGHT(D851,LEN(D851)-5),RIGHT(D851,LEN(D851)-6))))</f>
        <v>Activities of call centres</v>
      </c>
      <c r="D851" t="s">
        <v>1350</v>
      </c>
      <c r="E851" t="s">
        <v>595</v>
      </c>
      <c r="F851" t="s">
        <v>1351</v>
      </c>
    </row>
    <row r="852" spans="1:6" x14ac:dyDescent="0.35">
      <c r="A852">
        <v>4</v>
      </c>
      <c r="B852" t="s">
        <v>3077</v>
      </c>
      <c r="C852" t="str">
        <f>IF(A852=1,RIGHT(D852,LEN(D852)-2),IF(A852=2,RIGHT(D852,LEN(D852)-3),IF(A852=3,RIGHT(D852,LEN(D852)-5),RIGHT(D852,LEN(D852)-6))))</f>
        <v>Activities of call centres</v>
      </c>
      <c r="D852" t="s">
        <v>3078</v>
      </c>
      <c r="E852" t="s">
        <v>1349</v>
      </c>
      <c r="F852" t="s">
        <v>3079</v>
      </c>
    </row>
    <row r="853" spans="1:6" x14ac:dyDescent="0.35">
      <c r="A853">
        <v>3</v>
      </c>
      <c r="B853" t="s">
        <v>1352</v>
      </c>
      <c r="C853" t="str">
        <f>IF(A853=1,RIGHT(D853,LEN(D853)-2),IF(A853=2,RIGHT(D853,LEN(D853)-3),IF(A853=3,RIGHT(D853,LEN(D853)-5),RIGHT(D853,LEN(D853)-6))))</f>
        <v>Organisation of conventions and trade shows</v>
      </c>
      <c r="D853" t="s">
        <v>1353</v>
      </c>
      <c r="E853" t="s">
        <v>595</v>
      </c>
      <c r="F853" t="s">
        <v>1354</v>
      </c>
    </row>
    <row r="854" spans="1:6" x14ac:dyDescent="0.35">
      <c r="A854">
        <v>4</v>
      </c>
      <c r="B854" t="s">
        <v>3080</v>
      </c>
      <c r="C854" t="str">
        <f>IF(A854=1,RIGHT(D854,LEN(D854)-2),IF(A854=2,RIGHT(D854,LEN(D854)-3),IF(A854=3,RIGHT(D854,LEN(D854)-5),RIGHT(D854,LEN(D854)-6))))</f>
        <v>Organisation of conventions and trade shows</v>
      </c>
      <c r="D854" t="s">
        <v>3081</v>
      </c>
      <c r="E854" t="s">
        <v>1352</v>
      </c>
      <c r="F854" t="s">
        <v>3082</v>
      </c>
    </row>
    <row r="855" spans="1:6" x14ac:dyDescent="0.35">
      <c r="A855">
        <v>3</v>
      </c>
      <c r="B855" t="s">
        <v>1355</v>
      </c>
      <c r="C855" t="str">
        <f>IF(A855=1,RIGHT(D855,LEN(D855)-2),IF(A855=2,RIGHT(D855,LEN(D855)-3),IF(A855=3,RIGHT(D855,LEN(D855)-5),RIGHT(D855,LEN(D855)-6))))</f>
        <v>Business support service activities n.e.c.</v>
      </c>
      <c r="D855" t="s">
        <v>1356</v>
      </c>
      <c r="E855" t="s">
        <v>595</v>
      </c>
      <c r="F855" t="s">
        <v>1357</v>
      </c>
    </row>
    <row r="856" spans="1:6" x14ac:dyDescent="0.35">
      <c r="A856">
        <v>4</v>
      </c>
      <c r="B856" t="s">
        <v>3083</v>
      </c>
      <c r="C856" t="str">
        <f>IF(A856=1,RIGHT(D856,LEN(D856)-2),IF(A856=2,RIGHT(D856,LEN(D856)-3),IF(A856=3,RIGHT(D856,LEN(D856)-5),RIGHT(D856,LEN(D856)-6))))</f>
        <v>Activities of collection agencies and credit bureaus</v>
      </c>
      <c r="D856" t="s">
        <v>3084</v>
      </c>
      <c r="E856" t="s">
        <v>1355</v>
      </c>
      <c r="F856" t="s">
        <v>3085</v>
      </c>
    </row>
    <row r="857" spans="1:6" x14ac:dyDescent="0.35">
      <c r="A857">
        <v>4</v>
      </c>
      <c r="B857" t="s">
        <v>3086</v>
      </c>
      <c r="C857" t="str">
        <f>IF(A857=1,RIGHT(D857,LEN(D857)-2),IF(A857=2,RIGHT(D857,LEN(D857)-3),IF(A857=3,RIGHT(D857,LEN(D857)-5),RIGHT(D857,LEN(D857)-6))))</f>
        <v>Packaging activities</v>
      </c>
      <c r="D857" t="s">
        <v>3087</v>
      </c>
      <c r="E857" t="s">
        <v>1355</v>
      </c>
      <c r="F857" t="s">
        <v>3088</v>
      </c>
    </row>
    <row r="858" spans="1:6" x14ac:dyDescent="0.35">
      <c r="A858">
        <v>4</v>
      </c>
      <c r="B858" t="s">
        <v>3089</v>
      </c>
      <c r="C858" t="str">
        <f>IF(A858=1,RIGHT(D858,LEN(D858)-2),IF(A858=2,RIGHT(D858,LEN(D858)-3),IF(A858=3,RIGHT(D858,LEN(D858)-5),RIGHT(D858,LEN(D858)-6))))</f>
        <v>Other business support service activities n.e.c.</v>
      </c>
      <c r="D858" t="s">
        <v>3090</v>
      </c>
      <c r="E858" t="s">
        <v>1355</v>
      </c>
      <c r="F858" t="s">
        <v>3091</v>
      </c>
    </row>
    <row r="859" spans="1:6" x14ac:dyDescent="0.35">
      <c r="A859">
        <v>2</v>
      </c>
      <c r="B859" t="s">
        <v>598</v>
      </c>
      <c r="C859" t="str">
        <f>IF(A859=1,RIGHT(D859,LEN(D859)-2),IF(A859=2,RIGHT(D859,LEN(D859)-3),IF(A859=3,RIGHT(D859,LEN(D859)-5),RIGHT(D859,LEN(D859)-6))))</f>
        <v>Public administration and defence; compulsory social security</v>
      </c>
      <c r="D859" t="s">
        <v>599</v>
      </c>
      <c r="E859" t="s">
        <v>383</v>
      </c>
      <c r="F859" t="s">
        <v>600</v>
      </c>
    </row>
    <row r="860" spans="1:6" x14ac:dyDescent="0.35">
      <c r="A860">
        <v>3</v>
      </c>
      <c r="B860" t="s">
        <v>1358</v>
      </c>
      <c r="C860" t="str">
        <f>IF(A860=1,RIGHT(D860,LEN(D860)-2),IF(A860=2,RIGHT(D860,LEN(D860)-3),IF(A860=3,RIGHT(D860,LEN(D860)-5),RIGHT(D860,LEN(D860)-6))))</f>
        <v>Administration of the State and the economic and social policy of the community</v>
      </c>
      <c r="D860" t="s">
        <v>1359</v>
      </c>
      <c r="E860" t="s">
        <v>598</v>
      </c>
      <c r="F860" t="s">
        <v>1360</v>
      </c>
    </row>
    <row r="861" spans="1:6" x14ac:dyDescent="0.35">
      <c r="A861">
        <v>4</v>
      </c>
      <c r="B861" t="s">
        <v>3092</v>
      </c>
      <c r="C861" t="str">
        <f>IF(A861=1,RIGHT(D861,LEN(D861)-2),IF(A861=2,RIGHT(D861,LEN(D861)-3),IF(A861=3,RIGHT(D861,LEN(D861)-5),RIGHT(D861,LEN(D861)-6))))</f>
        <v>General public administration activities</v>
      </c>
      <c r="D861" t="s">
        <v>3093</v>
      </c>
      <c r="E861" t="s">
        <v>1358</v>
      </c>
      <c r="F861" t="s">
        <v>3094</v>
      </c>
    </row>
    <row r="862" spans="1:6" x14ac:dyDescent="0.35">
      <c r="A862">
        <v>4</v>
      </c>
      <c r="B862" t="s">
        <v>3095</v>
      </c>
      <c r="C862" t="str">
        <f>IF(A862=1,RIGHT(D862,LEN(D862)-2),IF(A862=2,RIGHT(D862,LEN(D862)-3),IF(A862=3,RIGHT(D862,LEN(D862)-5),RIGHT(D862,LEN(D862)-6))))</f>
        <v>Regulation of the activities of providing health care, education, cultural services and other social services, excluding social security</v>
      </c>
      <c r="D862" t="s">
        <v>3096</v>
      </c>
      <c r="E862" t="s">
        <v>1358</v>
      </c>
      <c r="F862" t="s">
        <v>3097</v>
      </c>
    </row>
    <row r="863" spans="1:6" x14ac:dyDescent="0.35">
      <c r="A863">
        <v>4</v>
      </c>
      <c r="B863" t="s">
        <v>3098</v>
      </c>
      <c r="C863" t="str">
        <f>IF(A863=1,RIGHT(D863,LEN(D863)-2),IF(A863=2,RIGHT(D863,LEN(D863)-3),IF(A863=3,RIGHT(D863,LEN(D863)-5),RIGHT(D863,LEN(D863)-6))))</f>
        <v>Regulation of and contribution to more efficient operation of businesses</v>
      </c>
      <c r="D863" t="s">
        <v>3099</v>
      </c>
      <c r="E863" t="s">
        <v>1358</v>
      </c>
      <c r="F863" t="s">
        <v>3100</v>
      </c>
    </row>
    <row r="864" spans="1:6" x14ac:dyDescent="0.35">
      <c r="A864">
        <v>3</v>
      </c>
      <c r="B864" t="s">
        <v>1361</v>
      </c>
      <c r="C864" t="str">
        <f>IF(A864=1,RIGHT(D864,LEN(D864)-2),IF(A864=2,RIGHT(D864,LEN(D864)-3),IF(A864=3,RIGHT(D864,LEN(D864)-5),RIGHT(D864,LEN(D864)-6))))</f>
        <v>Provision of services to the community as a whole</v>
      </c>
      <c r="D864" t="s">
        <v>1362</v>
      </c>
      <c r="E864" t="s">
        <v>598</v>
      </c>
      <c r="F864" t="s">
        <v>1363</v>
      </c>
    </row>
    <row r="865" spans="1:6" x14ac:dyDescent="0.35">
      <c r="A865">
        <v>4</v>
      </c>
      <c r="B865" t="s">
        <v>3101</v>
      </c>
      <c r="C865" t="str">
        <f>IF(A865=1,RIGHT(D865,LEN(D865)-2),IF(A865=2,RIGHT(D865,LEN(D865)-3),IF(A865=3,RIGHT(D865,LEN(D865)-5),RIGHT(D865,LEN(D865)-6))))</f>
        <v>Foreign affairs</v>
      </c>
      <c r="D865" t="s">
        <v>3102</v>
      </c>
      <c r="E865" t="s">
        <v>1361</v>
      </c>
      <c r="F865" t="s">
        <v>3103</v>
      </c>
    </row>
    <row r="866" spans="1:6" x14ac:dyDescent="0.35">
      <c r="A866">
        <v>4</v>
      </c>
      <c r="B866" t="s">
        <v>3104</v>
      </c>
      <c r="C866" t="str">
        <f>IF(A866=1,RIGHT(D866,LEN(D866)-2),IF(A866=2,RIGHT(D866,LEN(D866)-3),IF(A866=3,RIGHT(D866,LEN(D866)-5),RIGHT(D866,LEN(D866)-6))))</f>
        <v>Defence activities</v>
      </c>
      <c r="D866" t="s">
        <v>3105</v>
      </c>
      <c r="E866" t="s">
        <v>1361</v>
      </c>
      <c r="F866" t="s">
        <v>3106</v>
      </c>
    </row>
    <row r="867" spans="1:6" x14ac:dyDescent="0.35">
      <c r="A867">
        <v>4</v>
      </c>
      <c r="B867" t="s">
        <v>3107</v>
      </c>
      <c r="C867" t="str">
        <f>IF(A867=1,RIGHT(D867,LEN(D867)-2),IF(A867=2,RIGHT(D867,LEN(D867)-3),IF(A867=3,RIGHT(D867,LEN(D867)-5),RIGHT(D867,LEN(D867)-6))))</f>
        <v>Justice and judicial activities</v>
      </c>
      <c r="D867" t="s">
        <v>3108</v>
      </c>
      <c r="E867" t="s">
        <v>1361</v>
      </c>
      <c r="F867" t="s">
        <v>3109</v>
      </c>
    </row>
    <row r="868" spans="1:6" x14ac:dyDescent="0.35">
      <c r="A868">
        <v>4</v>
      </c>
      <c r="B868" t="s">
        <v>3110</v>
      </c>
      <c r="C868" t="str">
        <f>IF(A868=1,RIGHT(D868,LEN(D868)-2),IF(A868=2,RIGHT(D868,LEN(D868)-3),IF(A868=3,RIGHT(D868,LEN(D868)-5),RIGHT(D868,LEN(D868)-6))))</f>
        <v>Public order and safety activities</v>
      </c>
      <c r="D868" t="s">
        <v>3111</v>
      </c>
      <c r="E868" t="s">
        <v>1361</v>
      </c>
      <c r="F868" t="s">
        <v>3112</v>
      </c>
    </row>
    <row r="869" spans="1:6" x14ac:dyDescent="0.35">
      <c r="A869">
        <v>4</v>
      </c>
      <c r="B869" t="s">
        <v>3113</v>
      </c>
      <c r="C869" t="str">
        <f>IF(A869=1,RIGHT(D869,LEN(D869)-2),IF(A869=2,RIGHT(D869,LEN(D869)-3),IF(A869=3,RIGHT(D869,LEN(D869)-5),RIGHT(D869,LEN(D869)-6))))</f>
        <v>Fire service activities</v>
      </c>
      <c r="D869" t="s">
        <v>3114</v>
      </c>
      <c r="E869" t="s">
        <v>1361</v>
      </c>
      <c r="F869" t="s">
        <v>3115</v>
      </c>
    </row>
    <row r="870" spans="1:6" x14ac:dyDescent="0.35">
      <c r="A870">
        <v>3</v>
      </c>
      <c r="B870" t="s">
        <v>1364</v>
      </c>
      <c r="C870" t="str">
        <f>IF(A870=1,RIGHT(D870,LEN(D870)-2),IF(A870=2,RIGHT(D870,LEN(D870)-3),IF(A870=3,RIGHT(D870,LEN(D870)-5),RIGHT(D870,LEN(D870)-6))))</f>
        <v>Compulsory social security activities</v>
      </c>
      <c r="D870" t="s">
        <v>1365</v>
      </c>
      <c r="E870" t="s">
        <v>598</v>
      </c>
      <c r="F870" t="s">
        <v>1366</v>
      </c>
    </row>
    <row r="871" spans="1:6" x14ac:dyDescent="0.35">
      <c r="A871">
        <v>4</v>
      </c>
      <c r="B871" t="s">
        <v>3116</v>
      </c>
      <c r="C871" t="str">
        <f>IF(A871=1,RIGHT(D871,LEN(D871)-2),IF(A871=2,RIGHT(D871,LEN(D871)-3),IF(A871=3,RIGHT(D871,LEN(D871)-5),RIGHT(D871,LEN(D871)-6))))</f>
        <v>Compulsory social security activities</v>
      </c>
      <c r="D871" t="s">
        <v>3117</v>
      </c>
      <c r="E871" t="s">
        <v>1364</v>
      </c>
      <c r="F871" t="s">
        <v>3118</v>
      </c>
    </row>
    <row r="872" spans="1:6" x14ac:dyDescent="0.35">
      <c r="A872">
        <v>2</v>
      </c>
      <c r="B872" t="s">
        <v>601</v>
      </c>
      <c r="C872" t="str">
        <f>IF(A872=1,RIGHT(D872,LEN(D872)-2),IF(A872=2,RIGHT(D872,LEN(D872)-3),IF(A872=3,RIGHT(D872,LEN(D872)-5),RIGHT(D872,LEN(D872)-6))))</f>
        <v>Education</v>
      </c>
      <c r="D872" t="s">
        <v>602</v>
      </c>
      <c r="E872" t="s">
        <v>386</v>
      </c>
      <c r="F872" t="s">
        <v>603</v>
      </c>
    </row>
    <row r="873" spans="1:6" x14ac:dyDescent="0.35">
      <c r="A873">
        <v>3</v>
      </c>
      <c r="B873" t="s">
        <v>1367</v>
      </c>
      <c r="C873" t="str">
        <f>IF(A873=1,RIGHT(D873,LEN(D873)-2),IF(A873=2,RIGHT(D873,LEN(D873)-3),IF(A873=3,RIGHT(D873,LEN(D873)-5),RIGHT(D873,LEN(D873)-6))))</f>
        <v>Pre-primary education</v>
      </c>
      <c r="D873" t="s">
        <v>1368</v>
      </c>
      <c r="E873" t="s">
        <v>601</v>
      </c>
      <c r="F873" t="s">
        <v>1369</v>
      </c>
    </row>
    <row r="874" spans="1:6" x14ac:dyDescent="0.35">
      <c r="A874">
        <v>4</v>
      </c>
      <c r="B874" t="s">
        <v>3119</v>
      </c>
      <c r="C874" t="str">
        <f>IF(A874=1,RIGHT(D874,LEN(D874)-2),IF(A874=2,RIGHT(D874,LEN(D874)-3),IF(A874=3,RIGHT(D874,LEN(D874)-5),RIGHT(D874,LEN(D874)-6))))</f>
        <v>Pre-primary education</v>
      </c>
      <c r="D874" t="s">
        <v>3120</v>
      </c>
      <c r="E874" t="s">
        <v>1367</v>
      </c>
      <c r="F874" t="s">
        <v>3121</v>
      </c>
    </row>
    <row r="875" spans="1:6" x14ac:dyDescent="0.35">
      <c r="A875">
        <v>3</v>
      </c>
      <c r="B875" t="s">
        <v>1370</v>
      </c>
      <c r="C875" t="str">
        <f>IF(A875=1,RIGHT(D875,LEN(D875)-2),IF(A875=2,RIGHT(D875,LEN(D875)-3),IF(A875=3,RIGHT(D875,LEN(D875)-5),RIGHT(D875,LEN(D875)-6))))</f>
        <v>Primary education</v>
      </c>
      <c r="D875" t="s">
        <v>1371</v>
      </c>
      <c r="E875" t="s">
        <v>601</v>
      </c>
      <c r="F875" t="s">
        <v>1372</v>
      </c>
    </row>
    <row r="876" spans="1:6" x14ac:dyDescent="0.35">
      <c r="A876">
        <v>4</v>
      </c>
      <c r="B876" t="s">
        <v>3122</v>
      </c>
      <c r="C876" t="str">
        <f>IF(A876=1,RIGHT(D876,LEN(D876)-2),IF(A876=2,RIGHT(D876,LEN(D876)-3),IF(A876=3,RIGHT(D876,LEN(D876)-5),RIGHT(D876,LEN(D876)-6))))</f>
        <v>Primary education</v>
      </c>
      <c r="D876" t="s">
        <v>3123</v>
      </c>
      <c r="E876" t="s">
        <v>1370</v>
      </c>
      <c r="F876" t="s">
        <v>3124</v>
      </c>
    </row>
    <row r="877" spans="1:6" x14ac:dyDescent="0.35">
      <c r="A877">
        <v>3</v>
      </c>
      <c r="B877" t="s">
        <v>1373</v>
      </c>
      <c r="C877" t="str">
        <f>IF(A877=1,RIGHT(D877,LEN(D877)-2),IF(A877=2,RIGHT(D877,LEN(D877)-3),IF(A877=3,RIGHT(D877,LEN(D877)-5),RIGHT(D877,LEN(D877)-6))))</f>
        <v>Secondary education</v>
      </c>
      <c r="D877" t="s">
        <v>1374</v>
      </c>
      <c r="E877" t="s">
        <v>601</v>
      </c>
      <c r="F877" t="s">
        <v>1375</v>
      </c>
    </row>
    <row r="878" spans="1:6" x14ac:dyDescent="0.35">
      <c r="A878">
        <v>4</v>
      </c>
      <c r="B878" t="s">
        <v>3125</v>
      </c>
      <c r="C878" t="str">
        <f>IF(A878=1,RIGHT(D878,LEN(D878)-2),IF(A878=2,RIGHT(D878,LEN(D878)-3),IF(A878=3,RIGHT(D878,LEN(D878)-5),RIGHT(D878,LEN(D878)-6))))</f>
        <v>General secondary education</v>
      </c>
      <c r="D878" t="s">
        <v>3126</v>
      </c>
      <c r="E878" t="s">
        <v>1373</v>
      </c>
      <c r="F878" t="s">
        <v>3127</v>
      </c>
    </row>
    <row r="879" spans="1:6" x14ac:dyDescent="0.35">
      <c r="A879">
        <v>4</v>
      </c>
      <c r="B879" t="s">
        <v>3128</v>
      </c>
      <c r="C879" t="str">
        <f>IF(A879=1,RIGHT(D879,LEN(D879)-2),IF(A879=2,RIGHT(D879,LEN(D879)-3),IF(A879=3,RIGHT(D879,LEN(D879)-5),RIGHT(D879,LEN(D879)-6))))</f>
        <v>Technical and vocational secondary education</v>
      </c>
      <c r="D879" t="s">
        <v>3129</v>
      </c>
      <c r="E879" t="s">
        <v>1373</v>
      </c>
      <c r="F879" t="s">
        <v>3130</v>
      </c>
    </row>
    <row r="880" spans="1:6" x14ac:dyDescent="0.35">
      <c r="A880">
        <v>3</v>
      </c>
      <c r="B880" t="s">
        <v>1376</v>
      </c>
      <c r="C880" t="str">
        <f>IF(A880=1,RIGHT(D880,LEN(D880)-2),IF(A880=2,RIGHT(D880,LEN(D880)-3),IF(A880=3,RIGHT(D880,LEN(D880)-5),RIGHT(D880,LEN(D880)-6))))</f>
        <v>Higher education</v>
      </c>
      <c r="D880" t="s">
        <v>1377</v>
      </c>
      <c r="E880" t="s">
        <v>601</v>
      </c>
      <c r="F880" t="s">
        <v>1378</v>
      </c>
    </row>
    <row r="881" spans="1:6" x14ac:dyDescent="0.35">
      <c r="A881">
        <v>4</v>
      </c>
      <c r="B881" t="s">
        <v>3131</v>
      </c>
      <c r="C881" t="str">
        <f>IF(A881=1,RIGHT(D881,LEN(D881)-2),IF(A881=2,RIGHT(D881,LEN(D881)-3),IF(A881=3,RIGHT(D881,LEN(D881)-5),RIGHT(D881,LEN(D881)-6))))</f>
        <v>Post-secondary non-tertiary education</v>
      </c>
      <c r="D881" t="s">
        <v>3132</v>
      </c>
      <c r="E881" t="s">
        <v>1376</v>
      </c>
      <c r="F881" t="s">
        <v>3133</v>
      </c>
    </row>
    <row r="882" spans="1:6" x14ac:dyDescent="0.35">
      <c r="A882">
        <v>4</v>
      </c>
      <c r="B882" t="s">
        <v>3134</v>
      </c>
      <c r="C882" t="str">
        <f>IF(A882=1,RIGHT(D882,LEN(D882)-2),IF(A882=2,RIGHT(D882,LEN(D882)-3),IF(A882=3,RIGHT(D882,LEN(D882)-5),RIGHT(D882,LEN(D882)-6))))</f>
        <v>Tertiary education</v>
      </c>
      <c r="D882" t="s">
        <v>3135</v>
      </c>
      <c r="E882" t="s">
        <v>1376</v>
      </c>
      <c r="F882" t="s">
        <v>3136</v>
      </c>
    </row>
    <row r="883" spans="1:6" x14ac:dyDescent="0.35">
      <c r="A883">
        <v>3</v>
      </c>
      <c r="B883" t="s">
        <v>1379</v>
      </c>
      <c r="C883" t="str">
        <f>IF(A883=1,RIGHT(D883,LEN(D883)-2),IF(A883=2,RIGHT(D883,LEN(D883)-3),IF(A883=3,RIGHT(D883,LEN(D883)-5),RIGHT(D883,LEN(D883)-6))))</f>
        <v>Other education</v>
      </c>
      <c r="D883" t="s">
        <v>1380</v>
      </c>
      <c r="E883" t="s">
        <v>601</v>
      </c>
      <c r="F883" t="s">
        <v>1381</v>
      </c>
    </row>
    <row r="884" spans="1:6" x14ac:dyDescent="0.35">
      <c r="A884">
        <v>4</v>
      </c>
      <c r="B884" t="s">
        <v>3137</v>
      </c>
      <c r="C884" t="str">
        <f>IF(A884=1,RIGHT(D884,LEN(D884)-2),IF(A884=2,RIGHT(D884,LEN(D884)-3),IF(A884=3,RIGHT(D884,LEN(D884)-5),RIGHT(D884,LEN(D884)-6))))</f>
        <v>Sports and recreation education</v>
      </c>
      <c r="D884" t="s">
        <v>3138</v>
      </c>
      <c r="E884" t="s">
        <v>1379</v>
      </c>
      <c r="F884" t="s">
        <v>3139</v>
      </c>
    </row>
    <row r="885" spans="1:6" x14ac:dyDescent="0.35">
      <c r="A885">
        <v>4</v>
      </c>
      <c r="B885" t="s">
        <v>3140</v>
      </c>
      <c r="C885" t="str">
        <f>IF(A885=1,RIGHT(D885,LEN(D885)-2),IF(A885=2,RIGHT(D885,LEN(D885)-3),IF(A885=3,RIGHT(D885,LEN(D885)-5),RIGHT(D885,LEN(D885)-6))))</f>
        <v>Cultural education</v>
      </c>
      <c r="D885" t="s">
        <v>3141</v>
      </c>
      <c r="E885" t="s">
        <v>1379</v>
      </c>
      <c r="F885" t="s">
        <v>3142</v>
      </c>
    </row>
    <row r="886" spans="1:6" x14ac:dyDescent="0.35">
      <c r="A886">
        <v>4</v>
      </c>
      <c r="B886" t="s">
        <v>3143</v>
      </c>
      <c r="C886" t="str">
        <f>IF(A886=1,RIGHT(D886,LEN(D886)-2),IF(A886=2,RIGHT(D886,LEN(D886)-3),IF(A886=3,RIGHT(D886,LEN(D886)-5),RIGHT(D886,LEN(D886)-6))))</f>
        <v>Driving school activities</v>
      </c>
      <c r="D886" t="s">
        <v>3144</v>
      </c>
      <c r="E886" t="s">
        <v>1379</v>
      </c>
      <c r="F886" t="s">
        <v>3145</v>
      </c>
    </row>
    <row r="887" spans="1:6" x14ac:dyDescent="0.35">
      <c r="A887">
        <v>4</v>
      </c>
      <c r="B887" t="s">
        <v>3146</v>
      </c>
      <c r="C887" t="str">
        <f>IF(A887=1,RIGHT(D887,LEN(D887)-2),IF(A887=2,RIGHT(D887,LEN(D887)-3),IF(A887=3,RIGHT(D887,LEN(D887)-5),RIGHT(D887,LEN(D887)-6))))</f>
        <v>Other education n.e.c.</v>
      </c>
      <c r="D887" t="s">
        <v>3147</v>
      </c>
      <c r="E887" t="s">
        <v>1379</v>
      </c>
      <c r="F887" t="s">
        <v>3148</v>
      </c>
    </row>
    <row r="888" spans="1:6" x14ac:dyDescent="0.35">
      <c r="A888">
        <v>3</v>
      </c>
      <c r="B888" t="s">
        <v>1382</v>
      </c>
      <c r="C888" t="str">
        <f>IF(A888=1,RIGHT(D888,LEN(D888)-2),IF(A888=2,RIGHT(D888,LEN(D888)-3),IF(A888=3,RIGHT(D888,LEN(D888)-5),RIGHT(D888,LEN(D888)-6))))</f>
        <v>Educational support activities</v>
      </c>
      <c r="D888" t="s">
        <v>1383</v>
      </c>
      <c r="E888" t="s">
        <v>601</v>
      </c>
      <c r="F888" t="s">
        <v>1384</v>
      </c>
    </row>
    <row r="889" spans="1:6" x14ac:dyDescent="0.35">
      <c r="A889">
        <v>4</v>
      </c>
      <c r="B889" t="s">
        <v>3149</v>
      </c>
      <c r="C889" t="str">
        <f>IF(A889=1,RIGHT(D889,LEN(D889)-2),IF(A889=2,RIGHT(D889,LEN(D889)-3),IF(A889=3,RIGHT(D889,LEN(D889)-5),RIGHT(D889,LEN(D889)-6))))</f>
        <v>Educational support activities</v>
      </c>
      <c r="D889" t="s">
        <v>3150</v>
      </c>
      <c r="E889" t="s">
        <v>1382</v>
      </c>
      <c r="F889" t="s">
        <v>3151</v>
      </c>
    </row>
    <row r="890" spans="1:6" x14ac:dyDescent="0.35">
      <c r="A890">
        <v>2</v>
      </c>
      <c r="B890" t="s">
        <v>604</v>
      </c>
      <c r="C890" t="str">
        <f>IF(A890=1,RIGHT(D890,LEN(D890)-2),IF(A890=2,RIGHT(D890,LEN(D890)-3),IF(A890=3,RIGHT(D890,LEN(D890)-5),RIGHT(D890,LEN(D890)-6))))</f>
        <v>Human health activities</v>
      </c>
      <c r="D890" t="s">
        <v>605</v>
      </c>
      <c r="E890" t="s">
        <v>389</v>
      </c>
      <c r="F890" t="s">
        <v>606</v>
      </c>
    </row>
    <row r="891" spans="1:6" x14ac:dyDescent="0.35">
      <c r="A891">
        <v>3</v>
      </c>
      <c r="B891" t="s">
        <v>1385</v>
      </c>
      <c r="C891" t="str">
        <f>IF(A891=1,RIGHT(D891,LEN(D891)-2),IF(A891=2,RIGHT(D891,LEN(D891)-3),IF(A891=3,RIGHT(D891,LEN(D891)-5),RIGHT(D891,LEN(D891)-6))))</f>
        <v>Hospital activities</v>
      </c>
      <c r="D891" t="s">
        <v>1386</v>
      </c>
      <c r="E891" t="s">
        <v>604</v>
      </c>
      <c r="F891" t="s">
        <v>1387</v>
      </c>
    </row>
    <row r="892" spans="1:6" x14ac:dyDescent="0.35">
      <c r="A892">
        <v>4</v>
      </c>
      <c r="B892" t="s">
        <v>3152</v>
      </c>
      <c r="C892" t="str">
        <f>IF(A892=1,RIGHT(D892,LEN(D892)-2),IF(A892=2,RIGHT(D892,LEN(D892)-3),IF(A892=3,RIGHT(D892,LEN(D892)-5),RIGHT(D892,LEN(D892)-6))))</f>
        <v>Hospital activities</v>
      </c>
      <c r="D892" t="s">
        <v>3153</v>
      </c>
      <c r="E892" t="s">
        <v>1385</v>
      </c>
      <c r="F892" t="s">
        <v>3154</v>
      </c>
    </row>
    <row r="893" spans="1:6" x14ac:dyDescent="0.35">
      <c r="A893">
        <v>3</v>
      </c>
      <c r="B893" t="s">
        <v>1388</v>
      </c>
      <c r="C893" t="str">
        <f>IF(A893=1,RIGHT(D893,LEN(D893)-2),IF(A893=2,RIGHT(D893,LEN(D893)-3),IF(A893=3,RIGHT(D893,LEN(D893)-5),RIGHT(D893,LEN(D893)-6))))</f>
        <v>Medical and dental practice activities</v>
      </c>
      <c r="D893" t="s">
        <v>1389</v>
      </c>
      <c r="E893" t="s">
        <v>604</v>
      </c>
      <c r="F893" t="s">
        <v>1390</v>
      </c>
    </row>
    <row r="894" spans="1:6" x14ac:dyDescent="0.35">
      <c r="A894">
        <v>4</v>
      </c>
      <c r="B894" t="s">
        <v>3155</v>
      </c>
      <c r="C894" t="str">
        <f>IF(A894=1,RIGHT(D894,LEN(D894)-2),IF(A894=2,RIGHT(D894,LEN(D894)-3),IF(A894=3,RIGHT(D894,LEN(D894)-5),RIGHT(D894,LEN(D894)-6))))</f>
        <v>General medical practice activities</v>
      </c>
      <c r="D894" t="s">
        <v>3156</v>
      </c>
      <c r="E894" t="s">
        <v>1388</v>
      </c>
      <c r="F894" t="s">
        <v>3157</v>
      </c>
    </row>
    <row r="895" spans="1:6" x14ac:dyDescent="0.35">
      <c r="A895">
        <v>4</v>
      </c>
      <c r="B895" t="s">
        <v>3158</v>
      </c>
      <c r="C895" t="str">
        <f>IF(A895=1,RIGHT(D895,LEN(D895)-2),IF(A895=2,RIGHT(D895,LEN(D895)-3),IF(A895=3,RIGHT(D895,LEN(D895)-5),RIGHT(D895,LEN(D895)-6))))</f>
        <v>Specialist medical practice activities</v>
      </c>
      <c r="D895" t="s">
        <v>3159</v>
      </c>
      <c r="E895" t="s">
        <v>1388</v>
      </c>
      <c r="F895" t="s">
        <v>3160</v>
      </c>
    </row>
    <row r="896" spans="1:6" x14ac:dyDescent="0.35">
      <c r="A896">
        <v>4</v>
      </c>
      <c r="B896" t="s">
        <v>3161</v>
      </c>
      <c r="C896" t="str">
        <f>IF(A896=1,RIGHT(D896,LEN(D896)-2),IF(A896=2,RIGHT(D896,LEN(D896)-3),IF(A896=3,RIGHT(D896,LEN(D896)-5),RIGHT(D896,LEN(D896)-6))))</f>
        <v>Dental practice activities</v>
      </c>
      <c r="D896" t="s">
        <v>3162</v>
      </c>
      <c r="E896" t="s">
        <v>1388</v>
      </c>
      <c r="F896" t="s">
        <v>3163</v>
      </c>
    </row>
    <row r="897" spans="1:6" x14ac:dyDescent="0.35">
      <c r="A897">
        <v>3</v>
      </c>
      <c r="B897" t="s">
        <v>1391</v>
      </c>
      <c r="C897" t="str">
        <f>IF(A897=1,RIGHT(D897,LEN(D897)-2),IF(A897=2,RIGHT(D897,LEN(D897)-3),IF(A897=3,RIGHT(D897,LEN(D897)-5),RIGHT(D897,LEN(D897)-6))))</f>
        <v>Other human health activities</v>
      </c>
      <c r="D897" t="s">
        <v>1392</v>
      </c>
      <c r="E897" t="s">
        <v>604</v>
      </c>
      <c r="F897" t="s">
        <v>1393</v>
      </c>
    </row>
    <row r="898" spans="1:6" x14ac:dyDescent="0.35">
      <c r="A898">
        <v>4</v>
      </c>
      <c r="B898" t="s">
        <v>3164</v>
      </c>
      <c r="C898" t="str">
        <f>IF(A898=1,RIGHT(D898,LEN(D898)-2),IF(A898=2,RIGHT(D898,LEN(D898)-3),IF(A898=3,RIGHT(D898,LEN(D898)-5),RIGHT(D898,LEN(D898)-6))))</f>
        <v>Other human health activities</v>
      </c>
      <c r="D898" t="s">
        <v>3165</v>
      </c>
      <c r="E898" t="s">
        <v>1391</v>
      </c>
      <c r="F898" t="s">
        <v>3166</v>
      </c>
    </row>
    <row r="899" spans="1:6" x14ac:dyDescent="0.35">
      <c r="A899">
        <v>2</v>
      </c>
      <c r="B899" t="s">
        <v>607</v>
      </c>
      <c r="C899" t="str">
        <f>IF(A899=1,RIGHT(D899,LEN(D899)-2),IF(A899=2,RIGHT(D899,LEN(D899)-3),IF(A899=3,RIGHT(D899,LEN(D899)-5),RIGHT(D899,LEN(D899)-6))))</f>
        <v>Residential care activities</v>
      </c>
      <c r="D899" t="s">
        <v>608</v>
      </c>
      <c r="E899" t="s">
        <v>389</v>
      </c>
      <c r="F899" t="s">
        <v>609</v>
      </c>
    </row>
    <row r="900" spans="1:6" x14ac:dyDescent="0.35">
      <c r="A900">
        <v>3</v>
      </c>
      <c r="B900" t="s">
        <v>1394</v>
      </c>
      <c r="C900" t="str">
        <f>IF(A900=1,RIGHT(D900,LEN(D900)-2),IF(A900=2,RIGHT(D900,LEN(D900)-3),IF(A900=3,RIGHT(D900,LEN(D900)-5),RIGHT(D900,LEN(D900)-6))))</f>
        <v>Residential nursing care activities</v>
      </c>
      <c r="D900" t="s">
        <v>1395</v>
      </c>
      <c r="E900" t="s">
        <v>607</v>
      </c>
      <c r="F900" t="s">
        <v>1396</v>
      </c>
    </row>
    <row r="901" spans="1:6" x14ac:dyDescent="0.35">
      <c r="A901">
        <v>4</v>
      </c>
      <c r="B901" t="s">
        <v>3167</v>
      </c>
      <c r="C901" t="str">
        <f>IF(A901=1,RIGHT(D901,LEN(D901)-2),IF(A901=2,RIGHT(D901,LEN(D901)-3),IF(A901=3,RIGHT(D901,LEN(D901)-5),RIGHT(D901,LEN(D901)-6))))</f>
        <v>Residential nursing care activities</v>
      </c>
      <c r="D901" t="s">
        <v>3168</v>
      </c>
      <c r="E901" t="s">
        <v>1394</v>
      </c>
      <c r="F901" t="s">
        <v>3169</v>
      </c>
    </row>
    <row r="902" spans="1:6" x14ac:dyDescent="0.35">
      <c r="A902">
        <v>3</v>
      </c>
      <c r="B902" t="s">
        <v>1397</v>
      </c>
      <c r="C902" t="str">
        <f>IF(A902=1,RIGHT(D902,LEN(D902)-2),IF(A902=2,RIGHT(D902,LEN(D902)-3),IF(A902=3,RIGHT(D902,LEN(D902)-5),RIGHT(D902,LEN(D902)-6))))</f>
        <v>Residential care activities for mental retardation, mental health and substance abuse</v>
      </c>
      <c r="D902" t="s">
        <v>1398</v>
      </c>
      <c r="E902" t="s">
        <v>607</v>
      </c>
      <c r="F902" t="s">
        <v>1399</v>
      </c>
    </row>
    <row r="903" spans="1:6" x14ac:dyDescent="0.35">
      <c r="A903">
        <v>4</v>
      </c>
      <c r="B903" t="s">
        <v>3170</v>
      </c>
      <c r="C903" t="str">
        <f>IF(A903=1,RIGHT(D903,LEN(D903)-2),IF(A903=2,RIGHT(D903,LEN(D903)-3),IF(A903=3,RIGHT(D903,LEN(D903)-5),RIGHT(D903,LEN(D903)-6))))</f>
        <v>Residential care activities for mental retardation, mental health and substance abuse</v>
      </c>
      <c r="D903" t="s">
        <v>3171</v>
      </c>
      <c r="E903" t="s">
        <v>1397</v>
      </c>
      <c r="F903" t="s">
        <v>3172</v>
      </c>
    </row>
    <row r="904" spans="1:6" x14ac:dyDescent="0.35">
      <c r="A904">
        <v>3</v>
      </c>
      <c r="B904" t="s">
        <v>1400</v>
      </c>
      <c r="C904" t="str">
        <f>IF(A904=1,RIGHT(D904,LEN(D904)-2),IF(A904=2,RIGHT(D904,LEN(D904)-3),IF(A904=3,RIGHT(D904,LEN(D904)-5),RIGHT(D904,LEN(D904)-6))))</f>
        <v>Residential care activities for the elderly and disabled</v>
      </c>
      <c r="D904" t="s">
        <v>1401</v>
      </c>
      <c r="E904" t="s">
        <v>607</v>
      </c>
      <c r="F904" t="s">
        <v>1402</v>
      </c>
    </row>
    <row r="905" spans="1:6" x14ac:dyDescent="0.35">
      <c r="A905">
        <v>4</v>
      </c>
      <c r="B905" t="s">
        <v>3173</v>
      </c>
      <c r="C905" t="str">
        <f>IF(A905=1,RIGHT(D905,LEN(D905)-2),IF(A905=2,RIGHT(D905,LEN(D905)-3),IF(A905=3,RIGHT(D905,LEN(D905)-5),RIGHT(D905,LEN(D905)-6))))</f>
        <v>Residential care activities for the elderly and disabled</v>
      </c>
      <c r="D905" t="s">
        <v>3174</v>
      </c>
      <c r="E905" t="s">
        <v>1400</v>
      </c>
      <c r="F905" t="s">
        <v>3175</v>
      </c>
    </row>
    <row r="906" spans="1:6" x14ac:dyDescent="0.35">
      <c r="A906">
        <v>3</v>
      </c>
      <c r="B906" t="s">
        <v>1403</v>
      </c>
      <c r="C906" t="str">
        <f>IF(A906=1,RIGHT(D906,LEN(D906)-2),IF(A906=2,RIGHT(D906,LEN(D906)-3),IF(A906=3,RIGHT(D906,LEN(D906)-5),RIGHT(D906,LEN(D906)-6))))</f>
        <v>Other residential care activities</v>
      </c>
      <c r="D906" t="s">
        <v>1404</v>
      </c>
      <c r="E906" t="s">
        <v>607</v>
      </c>
      <c r="F906" t="s">
        <v>1405</v>
      </c>
    </row>
    <row r="907" spans="1:6" x14ac:dyDescent="0.35">
      <c r="A907">
        <v>4</v>
      </c>
      <c r="B907" t="s">
        <v>3176</v>
      </c>
      <c r="C907" t="str">
        <f>IF(A907=1,RIGHT(D907,LEN(D907)-2),IF(A907=2,RIGHT(D907,LEN(D907)-3),IF(A907=3,RIGHT(D907,LEN(D907)-5),RIGHT(D907,LEN(D907)-6))))</f>
        <v>Other residential care activities</v>
      </c>
      <c r="D907" t="s">
        <v>3177</v>
      </c>
      <c r="E907" t="s">
        <v>1403</v>
      </c>
      <c r="F907" t="s">
        <v>3178</v>
      </c>
    </row>
    <row r="908" spans="1:6" x14ac:dyDescent="0.35">
      <c r="A908">
        <v>2</v>
      </c>
      <c r="B908" t="s">
        <v>610</v>
      </c>
      <c r="C908" t="str">
        <f>IF(A908=1,RIGHT(D908,LEN(D908)-2),IF(A908=2,RIGHT(D908,LEN(D908)-3),IF(A908=3,RIGHT(D908,LEN(D908)-5),RIGHT(D908,LEN(D908)-6))))</f>
        <v>Social work activities without accommodation</v>
      </c>
      <c r="D908" t="s">
        <v>611</v>
      </c>
      <c r="E908" t="s">
        <v>389</v>
      </c>
      <c r="F908" t="s">
        <v>612</v>
      </c>
    </row>
    <row r="909" spans="1:6" x14ac:dyDescent="0.35">
      <c r="A909">
        <v>3</v>
      </c>
      <c r="B909" t="s">
        <v>1406</v>
      </c>
      <c r="C909" t="str">
        <f>IF(A909=1,RIGHT(D909,LEN(D909)-2),IF(A909=2,RIGHT(D909,LEN(D909)-3),IF(A909=3,RIGHT(D909,LEN(D909)-5),RIGHT(D909,LEN(D909)-6))))</f>
        <v>Social work activities without accommodation for the elderly and disabled</v>
      </c>
      <c r="D909" t="s">
        <v>1407</v>
      </c>
      <c r="E909" t="s">
        <v>610</v>
      </c>
      <c r="F909" t="s">
        <v>1408</v>
      </c>
    </row>
    <row r="910" spans="1:6" x14ac:dyDescent="0.35">
      <c r="A910">
        <v>4</v>
      </c>
      <c r="B910" t="s">
        <v>3179</v>
      </c>
      <c r="C910" t="str">
        <f>IF(A910=1,RIGHT(D910,LEN(D910)-2),IF(A910=2,RIGHT(D910,LEN(D910)-3),IF(A910=3,RIGHT(D910,LEN(D910)-5),RIGHT(D910,LEN(D910)-6))))</f>
        <v>Social work activities without accommodation for the elderly and disabled</v>
      </c>
      <c r="D910" t="s">
        <v>3180</v>
      </c>
      <c r="E910" t="s">
        <v>1406</v>
      </c>
      <c r="F910" t="s">
        <v>3181</v>
      </c>
    </row>
    <row r="911" spans="1:6" x14ac:dyDescent="0.35">
      <c r="A911">
        <v>3</v>
      </c>
      <c r="B911" t="s">
        <v>1409</v>
      </c>
      <c r="C911" t="str">
        <f>IF(A911=1,RIGHT(D911,LEN(D911)-2),IF(A911=2,RIGHT(D911,LEN(D911)-3),IF(A911=3,RIGHT(D911,LEN(D911)-5),RIGHT(D911,LEN(D911)-6))))</f>
        <v>Other social work activities without accommodation</v>
      </c>
      <c r="D911" t="s">
        <v>1410</v>
      </c>
      <c r="E911" t="s">
        <v>610</v>
      </c>
      <c r="F911" t="s">
        <v>1411</v>
      </c>
    </row>
    <row r="912" spans="1:6" x14ac:dyDescent="0.35">
      <c r="A912">
        <v>4</v>
      </c>
      <c r="B912" t="s">
        <v>3182</v>
      </c>
      <c r="C912" t="str">
        <f>IF(A912=1,RIGHT(D912,LEN(D912)-2),IF(A912=2,RIGHT(D912,LEN(D912)-3),IF(A912=3,RIGHT(D912,LEN(D912)-5),RIGHT(D912,LEN(D912)-6))))</f>
        <v>Child day-care activities</v>
      </c>
      <c r="D912" t="s">
        <v>3183</v>
      </c>
      <c r="E912" t="s">
        <v>1409</v>
      </c>
      <c r="F912" t="s">
        <v>3184</v>
      </c>
    </row>
    <row r="913" spans="1:6" x14ac:dyDescent="0.35">
      <c r="A913">
        <v>4</v>
      </c>
      <c r="B913" t="s">
        <v>3185</v>
      </c>
      <c r="C913" t="str">
        <f>IF(A913=1,RIGHT(D913,LEN(D913)-2),IF(A913=2,RIGHT(D913,LEN(D913)-3),IF(A913=3,RIGHT(D913,LEN(D913)-5),RIGHT(D913,LEN(D913)-6))))</f>
        <v>Other social work activities without accommodation n.e.c.</v>
      </c>
      <c r="D913" t="s">
        <v>3186</v>
      </c>
      <c r="E913" t="s">
        <v>1409</v>
      </c>
      <c r="F913" t="s">
        <v>3187</v>
      </c>
    </row>
    <row r="914" spans="1:6" x14ac:dyDescent="0.35">
      <c r="A914">
        <v>2</v>
      </c>
      <c r="B914" t="s">
        <v>613</v>
      </c>
      <c r="C914" t="str">
        <f>IF(A914=1,RIGHT(D914,LEN(D914)-2),IF(A914=2,RIGHT(D914,LEN(D914)-3),IF(A914=3,RIGHT(D914,LEN(D914)-5),RIGHT(D914,LEN(D914)-6))))</f>
        <v>Creative, arts and entertainment activities</v>
      </c>
      <c r="D914" t="s">
        <v>614</v>
      </c>
      <c r="E914" t="s">
        <v>392</v>
      </c>
      <c r="F914" t="s">
        <v>615</v>
      </c>
    </row>
    <row r="915" spans="1:6" x14ac:dyDescent="0.35">
      <c r="A915">
        <v>3</v>
      </c>
      <c r="B915" t="s">
        <v>1412</v>
      </c>
      <c r="C915" t="str">
        <f>IF(A915=1,RIGHT(D915,LEN(D915)-2),IF(A915=2,RIGHT(D915,LEN(D915)-3),IF(A915=3,RIGHT(D915,LEN(D915)-5),RIGHT(D915,LEN(D915)-6))))</f>
        <v>Creative, arts and entertainment activities</v>
      </c>
      <c r="D915" t="s">
        <v>1413</v>
      </c>
      <c r="E915" t="s">
        <v>613</v>
      </c>
      <c r="F915" t="s">
        <v>1414</v>
      </c>
    </row>
    <row r="916" spans="1:6" x14ac:dyDescent="0.35">
      <c r="A916">
        <v>4</v>
      </c>
      <c r="B916" t="s">
        <v>3188</v>
      </c>
      <c r="C916" t="str">
        <f>IF(A916=1,RIGHT(D916,LEN(D916)-2),IF(A916=2,RIGHT(D916,LEN(D916)-3),IF(A916=3,RIGHT(D916,LEN(D916)-5),RIGHT(D916,LEN(D916)-6))))</f>
        <v>Performing arts</v>
      </c>
      <c r="D916" t="s">
        <v>3189</v>
      </c>
      <c r="E916" t="s">
        <v>1412</v>
      </c>
      <c r="F916" t="s">
        <v>3190</v>
      </c>
    </row>
    <row r="917" spans="1:6" x14ac:dyDescent="0.35">
      <c r="A917">
        <v>4</v>
      </c>
      <c r="B917" t="s">
        <v>3191</v>
      </c>
      <c r="C917" t="str">
        <f>IF(A917=1,RIGHT(D917,LEN(D917)-2),IF(A917=2,RIGHT(D917,LEN(D917)-3),IF(A917=3,RIGHT(D917,LEN(D917)-5),RIGHT(D917,LEN(D917)-6))))</f>
        <v>Support activities to performing arts</v>
      </c>
      <c r="D917" t="s">
        <v>3192</v>
      </c>
      <c r="E917" t="s">
        <v>1412</v>
      </c>
      <c r="F917" t="s">
        <v>3193</v>
      </c>
    </row>
    <row r="918" spans="1:6" x14ac:dyDescent="0.35">
      <c r="A918">
        <v>4</v>
      </c>
      <c r="B918" t="s">
        <v>3194</v>
      </c>
      <c r="C918" t="str">
        <f>IF(A918=1,RIGHT(D918,LEN(D918)-2),IF(A918=2,RIGHT(D918,LEN(D918)-3),IF(A918=3,RIGHT(D918,LEN(D918)-5),RIGHT(D918,LEN(D918)-6))))</f>
        <v>Artistic creation</v>
      </c>
      <c r="D918" t="s">
        <v>3195</v>
      </c>
      <c r="E918" t="s">
        <v>1412</v>
      </c>
      <c r="F918" t="s">
        <v>3196</v>
      </c>
    </row>
    <row r="919" spans="1:6" x14ac:dyDescent="0.35">
      <c r="A919">
        <v>4</v>
      </c>
      <c r="B919" t="s">
        <v>3197</v>
      </c>
      <c r="C919" t="str">
        <f>IF(A919=1,RIGHT(D919,LEN(D919)-2),IF(A919=2,RIGHT(D919,LEN(D919)-3),IF(A919=3,RIGHT(D919,LEN(D919)-5),RIGHT(D919,LEN(D919)-6))))</f>
        <v>Operation of arts facilities</v>
      </c>
      <c r="D919" t="s">
        <v>3198</v>
      </c>
      <c r="E919" t="s">
        <v>1412</v>
      </c>
      <c r="F919" t="s">
        <v>3199</v>
      </c>
    </row>
    <row r="920" spans="1:6" x14ac:dyDescent="0.35">
      <c r="A920">
        <v>2</v>
      </c>
      <c r="B920" t="s">
        <v>616</v>
      </c>
      <c r="C920" t="str">
        <f>IF(A920=1,RIGHT(D920,LEN(D920)-2),IF(A920=2,RIGHT(D920,LEN(D920)-3),IF(A920=3,RIGHT(D920,LEN(D920)-5),RIGHT(D920,LEN(D920)-6))))</f>
        <v>Libraries, archives, museums and other cultural activities</v>
      </c>
      <c r="D920" t="s">
        <v>617</v>
      </c>
      <c r="E920" t="s">
        <v>392</v>
      </c>
      <c r="F920" t="s">
        <v>618</v>
      </c>
    </row>
    <row r="921" spans="1:6" x14ac:dyDescent="0.35">
      <c r="A921">
        <v>3</v>
      </c>
      <c r="B921" t="s">
        <v>1415</v>
      </c>
      <c r="C921" t="str">
        <f>IF(A921=1,RIGHT(D921,LEN(D921)-2),IF(A921=2,RIGHT(D921,LEN(D921)-3),IF(A921=3,RIGHT(D921,LEN(D921)-5),RIGHT(D921,LEN(D921)-6))))</f>
        <v>Libraries, archives, museums and other cultural activities</v>
      </c>
      <c r="D921" t="s">
        <v>1416</v>
      </c>
      <c r="E921" t="s">
        <v>616</v>
      </c>
      <c r="F921" t="s">
        <v>1417</v>
      </c>
    </row>
    <row r="922" spans="1:6" x14ac:dyDescent="0.35">
      <c r="A922">
        <v>4</v>
      </c>
      <c r="B922" t="s">
        <v>3200</v>
      </c>
      <c r="C922" t="str">
        <f>IF(A922=1,RIGHT(D922,LEN(D922)-2),IF(A922=2,RIGHT(D922,LEN(D922)-3),IF(A922=3,RIGHT(D922,LEN(D922)-5),RIGHT(D922,LEN(D922)-6))))</f>
        <v>Library and archives activities</v>
      </c>
      <c r="D922" t="s">
        <v>3201</v>
      </c>
      <c r="E922" t="s">
        <v>1415</v>
      </c>
      <c r="F922" t="s">
        <v>3202</v>
      </c>
    </row>
    <row r="923" spans="1:6" x14ac:dyDescent="0.35">
      <c r="A923">
        <v>4</v>
      </c>
      <c r="B923" t="s">
        <v>3203</v>
      </c>
      <c r="C923" t="str">
        <f>IF(A923=1,RIGHT(D923,LEN(D923)-2),IF(A923=2,RIGHT(D923,LEN(D923)-3),IF(A923=3,RIGHT(D923,LEN(D923)-5),RIGHT(D923,LEN(D923)-6))))</f>
        <v>Museums activities</v>
      </c>
      <c r="D923" t="s">
        <v>3204</v>
      </c>
      <c r="E923" t="s">
        <v>1415</v>
      </c>
      <c r="F923" t="s">
        <v>3205</v>
      </c>
    </row>
    <row r="924" spans="1:6" x14ac:dyDescent="0.35">
      <c r="A924">
        <v>4</v>
      </c>
      <c r="B924" t="s">
        <v>3206</v>
      </c>
      <c r="C924" t="str">
        <f>IF(A924=1,RIGHT(D924,LEN(D924)-2),IF(A924=2,RIGHT(D924,LEN(D924)-3),IF(A924=3,RIGHT(D924,LEN(D924)-5),RIGHT(D924,LEN(D924)-6))))</f>
        <v>Operation of historical sites and buildings and similar visitor attractions</v>
      </c>
      <c r="D924" t="s">
        <v>3207</v>
      </c>
      <c r="E924" t="s">
        <v>1415</v>
      </c>
      <c r="F924" t="s">
        <v>3208</v>
      </c>
    </row>
    <row r="925" spans="1:6" x14ac:dyDescent="0.35">
      <c r="A925">
        <v>4</v>
      </c>
      <c r="B925" t="s">
        <v>3209</v>
      </c>
      <c r="C925" t="str">
        <f>IF(A925=1,RIGHT(D925,LEN(D925)-2),IF(A925=2,RIGHT(D925,LEN(D925)-3),IF(A925=3,RIGHT(D925,LEN(D925)-5),RIGHT(D925,LEN(D925)-6))))</f>
        <v>Botanical and zoological gardens and nature reserves activities</v>
      </c>
      <c r="D925" t="s">
        <v>3210</v>
      </c>
      <c r="E925" t="s">
        <v>1415</v>
      </c>
      <c r="F925" t="s">
        <v>3211</v>
      </c>
    </row>
    <row r="926" spans="1:6" x14ac:dyDescent="0.35">
      <c r="A926">
        <v>2</v>
      </c>
      <c r="B926" t="s">
        <v>619</v>
      </c>
      <c r="C926" t="str">
        <f>IF(A926=1,RIGHT(D926,LEN(D926)-2),IF(A926=2,RIGHT(D926,LEN(D926)-3),IF(A926=3,RIGHT(D926,LEN(D926)-5),RIGHT(D926,LEN(D926)-6))))</f>
        <v>Gambling and betting activities</v>
      </c>
      <c r="D926" t="s">
        <v>620</v>
      </c>
      <c r="E926" t="s">
        <v>392</v>
      </c>
      <c r="F926" t="s">
        <v>621</v>
      </c>
    </row>
    <row r="927" spans="1:6" x14ac:dyDescent="0.35">
      <c r="A927">
        <v>3</v>
      </c>
      <c r="B927" t="s">
        <v>1418</v>
      </c>
      <c r="C927" t="str">
        <f>IF(A927=1,RIGHT(D927,LEN(D927)-2),IF(A927=2,RIGHT(D927,LEN(D927)-3),IF(A927=3,RIGHT(D927,LEN(D927)-5),RIGHT(D927,LEN(D927)-6))))</f>
        <v>Gambling and betting activities</v>
      </c>
      <c r="D927" t="s">
        <v>1419</v>
      </c>
      <c r="E927" t="s">
        <v>619</v>
      </c>
      <c r="F927" t="s">
        <v>1420</v>
      </c>
    </row>
    <row r="928" spans="1:6" x14ac:dyDescent="0.35">
      <c r="A928">
        <v>4</v>
      </c>
      <c r="B928" t="s">
        <v>3212</v>
      </c>
      <c r="C928" t="str">
        <f>IF(A928=1,RIGHT(D928,LEN(D928)-2),IF(A928=2,RIGHT(D928,LEN(D928)-3),IF(A928=3,RIGHT(D928,LEN(D928)-5),RIGHT(D928,LEN(D928)-6))))</f>
        <v>Gambling and betting activities</v>
      </c>
      <c r="D928" t="s">
        <v>3213</v>
      </c>
      <c r="E928" t="s">
        <v>1418</v>
      </c>
      <c r="F928" t="s">
        <v>3214</v>
      </c>
    </row>
    <row r="929" spans="1:6" x14ac:dyDescent="0.35">
      <c r="A929">
        <v>2</v>
      </c>
      <c r="B929" t="s">
        <v>622</v>
      </c>
      <c r="C929" t="str">
        <f>IF(A929=1,RIGHT(D929,LEN(D929)-2),IF(A929=2,RIGHT(D929,LEN(D929)-3),IF(A929=3,RIGHT(D929,LEN(D929)-5),RIGHT(D929,LEN(D929)-6))))</f>
        <v>Sports activities and amusement and recreation activities</v>
      </c>
      <c r="D929" t="s">
        <v>623</v>
      </c>
      <c r="E929" t="s">
        <v>392</v>
      </c>
      <c r="F929" t="s">
        <v>624</v>
      </c>
    </row>
    <row r="930" spans="1:6" x14ac:dyDescent="0.35">
      <c r="A930">
        <v>3</v>
      </c>
      <c r="B930" t="s">
        <v>1421</v>
      </c>
      <c r="C930" t="str">
        <f>IF(A930=1,RIGHT(D930,LEN(D930)-2),IF(A930=2,RIGHT(D930,LEN(D930)-3),IF(A930=3,RIGHT(D930,LEN(D930)-5),RIGHT(D930,LEN(D930)-6))))</f>
        <v>Sports activities</v>
      </c>
      <c r="D930" t="s">
        <v>1422</v>
      </c>
      <c r="E930" t="s">
        <v>622</v>
      </c>
      <c r="F930" t="s">
        <v>1423</v>
      </c>
    </row>
    <row r="931" spans="1:6" x14ac:dyDescent="0.35">
      <c r="A931">
        <v>4</v>
      </c>
      <c r="B931" t="s">
        <v>3215</v>
      </c>
      <c r="C931" t="str">
        <f>IF(A931=1,RIGHT(D931,LEN(D931)-2),IF(A931=2,RIGHT(D931,LEN(D931)-3),IF(A931=3,RIGHT(D931,LEN(D931)-5),RIGHT(D931,LEN(D931)-6))))</f>
        <v>Operation of sports facilities</v>
      </c>
      <c r="D931" t="s">
        <v>3216</v>
      </c>
      <c r="E931" t="s">
        <v>1421</v>
      </c>
      <c r="F931" t="s">
        <v>3217</v>
      </c>
    </row>
    <row r="932" spans="1:6" x14ac:dyDescent="0.35">
      <c r="A932">
        <v>4</v>
      </c>
      <c r="B932" t="s">
        <v>3218</v>
      </c>
      <c r="C932" t="str">
        <f>IF(A932=1,RIGHT(D932,LEN(D932)-2),IF(A932=2,RIGHT(D932,LEN(D932)-3),IF(A932=3,RIGHT(D932,LEN(D932)-5),RIGHT(D932,LEN(D932)-6))))</f>
        <v>Activities of sports clubs</v>
      </c>
      <c r="D932" t="s">
        <v>3219</v>
      </c>
      <c r="E932" t="s">
        <v>1421</v>
      </c>
      <c r="F932" t="s">
        <v>3220</v>
      </c>
    </row>
    <row r="933" spans="1:6" x14ac:dyDescent="0.35">
      <c r="A933">
        <v>4</v>
      </c>
      <c r="B933" t="s">
        <v>3221</v>
      </c>
      <c r="C933" t="str">
        <f>IF(A933=1,RIGHT(D933,LEN(D933)-2),IF(A933=2,RIGHT(D933,LEN(D933)-3),IF(A933=3,RIGHT(D933,LEN(D933)-5),RIGHT(D933,LEN(D933)-6))))</f>
        <v>Fitness facilities</v>
      </c>
      <c r="D933" t="s">
        <v>3222</v>
      </c>
      <c r="E933" t="s">
        <v>1421</v>
      </c>
      <c r="F933" t="s">
        <v>3223</v>
      </c>
    </row>
    <row r="934" spans="1:6" x14ac:dyDescent="0.35">
      <c r="A934">
        <v>4</v>
      </c>
      <c r="B934" t="s">
        <v>3224</v>
      </c>
      <c r="C934" t="str">
        <f>IF(A934=1,RIGHT(D934,LEN(D934)-2),IF(A934=2,RIGHT(D934,LEN(D934)-3),IF(A934=3,RIGHT(D934,LEN(D934)-5),RIGHT(D934,LEN(D934)-6))))</f>
        <v>Other sports activities</v>
      </c>
      <c r="D934" t="s">
        <v>3225</v>
      </c>
      <c r="E934" t="s">
        <v>1421</v>
      </c>
      <c r="F934" t="s">
        <v>3226</v>
      </c>
    </row>
    <row r="935" spans="1:6" x14ac:dyDescent="0.35">
      <c r="A935">
        <v>3</v>
      </c>
      <c r="B935" t="s">
        <v>1424</v>
      </c>
      <c r="C935" t="str">
        <f>IF(A935=1,RIGHT(D935,LEN(D935)-2),IF(A935=2,RIGHT(D935,LEN(D935)-3),IF(A935=3,RIGHT(D935,LEN(D935)-5),RIGHT(D935,LEN(D935)-6))))</f>
        <v>Amusement and recreation activities</v>
      </c>
      <c r="D935" t="s">
        <v>1425</v>
      </c>
      <c r="E935" t="s">
        <v>622</v>
      </c>
      <c r="F935" t="s">
        <v>1426</v>
      </c>
    </row>
    <row r="936" spans="1:6" x14ac:dyDescent="0.35">
      <c r="A936">
        <v>4</v>
      </c>
      <c r="B936" t="s">
        <v>3227</v>
      </c>
      <c r="C936" t="str">
        <f>IF(A936=1,RIGHT(D936,LEN(D936)-2),IF(A936=2,RIGHT(D936,LEN(D936)-3),IF(A936=3,RIGHT(D936,LEN(D936)-5),RIGHT(D936,LEN(D936)-6))))</f>
        <v>Activities of amusement parks and theme parks</v>
      </c>
      <c r="D936" t="s">
        <v>3228</v>
      </c>
      <c r="E936" t="s">
        <v>1424</v>
      </c>
      <c r="F936" t="s">
        <v>3229</v>
      </c>
    </row>
    <row r="937" spans="1:6" x14ac:dyDescent="0.35">
      <c r="A937">
        <v>4</v>
      </c>
      <c r="B937" t="s">
        <v>3230</v>
      </c>
      <c r="C937" t="str">
        <f>IF(A937=1,RIGHT(D937,LEN(D937)-2),IF(A937=2,RIGHT(D937,LEN(D937)-3),IF(A937=3,RIGHT(D937,LEN(D937)-5),RIGHT(D937,LEN(D937)-6))))</f>
        <v>Other amusement and recreation activities</v>
      </c>
      <c r="D937" t="s">
        <v>3231</v>
      </c>
      <c r="E937" t="s">
        <v>1424</v>
      </c>
      <c r="F937" t="s">
        <v>3232</v>
      </c>
    </row>
    <row r="938" spans="1:6" x14ac:dyDescent="0.35">
      <c r="A938">
        <v>2</v>
      </c>
      <c r="B938" t="s">
        <v>625</v>
      </c>
      <c r="C938" t="str">
        <f>IF(A938=1,RIGHT(D938,LEN(D938)-2),IF(A938=2,RIGHT(D938,LEN(D938)-3),IF(A938=3,RIGHT(D938,LEN(D938)-5),RIGHT(D938,LEN(D938)-6))))</f>
        <v>Activities of membership organisations</v>
      </c>
      <c r="D938" t="s">
        <v>626</v>
      </c>
      <c r="E938" t="s">
        <v>395</v>
      </c>
      <c r="F938" t="s">
        <v>627</v>
      </c>
    </row>
    <row r="939" spans="1:6" x14ac:dyDescent="0.35">
      <c r="A939">
        <v>3</v>
      </c>
      <c r="B939" t="s">
        <v>1427</v>
      </c>
      <c r="C939" t="str">
        <f>IF(A939=1,RIGHT(D939,LEN(D939)-2),IF(A939=2,RIGHT(D939,LEN(D939)-3),IF(A939=3,RIGHT(D939,LEN(D939)-5),RIGHT(D939,LEN(D939)-6))))</f>
        <v>Activities of business, employers and professional membership organisations</v>
      </c>
      <c r="D939" t="s">
        <v>1428</v>
      </c>
      <c r="E939" t="s">
        <v>625</v>
      </c>
      <c r="F939" t="s">
        <v>1429</v>
      </c>
    </row>
    <row r="940" spans="1:6" x14ac:dyDescent="0.35">
      <c r="A940">
        <v>4</v>
      </c>
      <c r="B940" t="s">
        <v>3233</v>
      </c>
      <c r="C940" t="str">
        <f>IF(A940=1,RIGHT(D940,LEN(D940)-2),IF(A940=2,RIGHT(D940,LEN(D940)-3),IF(A940=3,RIGHT(D940,LEN(D940)-5),RIGHT(D940,LEN(D940)-6))))</f>
        <v>Activities of business and employers membership organisations</v>
      </c>
      <c r="D940" t="s">
        <v>3234</v>
      </c>
      <c r="E940" t="s">
        <v>1427</v>
      </c>
      <c r="F940" t="s">
        <v>3235</v>
      </c>
    </row>
    <row r="941" spans="1:6" x14ac:dyDescent="0.35">
      <c r="A941">
        <v>4</v>
      </c>
      <c r="B941" t="s">
        <v>3236</v>
      </c>
      <c r="C941" t="str">
        <f>IF(A941=1,RIGHT(D941,LEN(D941)-2),IF(A941=2,RIGHT(D941,LEN(D941)-3),IF(A941=3,RIGHT(D941,LEN(D941)-5),RIGHT(D941,LEN(D941)-6))))</f>
        <v>Activities of professional membership organisations</v>
      </c>
      <c r="D941" t="s">
        <v>3237</v>
      </c>
      <c r="E941" t="s">
        <v>1427</v>
      </c>
      <c r="F941" t="s">
        <v>3238</v>
      </c>
    </row>
    <row r="942" spans="1:6" x14ac:dyDescent="0.35">
      <c r="A942">
        <v>3</v>
      </c>
      <c r="B942" t="s">
        <v>1430</v>
      </c>
      <c r="C942" t="str">
        <f>IF(A942=1,RIGHT(D942,LEN(D942)-2),IF(A942=2,RIGHT(D942,LEN(D942)-3),IF(A942=3,RIGHT(D942,LEN(D942)-5),RIGHT(D942,LEN(D942)-6))))</f>
        <v>Activities of trade unions</v>
      </c>
      <c r="D942" t="s">
        <v>1431</v>
      </c>
      <c r="E942" t="s">
        <v>625</v>
      </c>
      <c r="F942" t="s">
        <v>1432</v>
      </c>
    </row>
    <row r="943" spans="1:6" x14ac:dyDescent="0.35">
      <c r="A943">
        <v>4</v>
      </c>
      <c r="B943" t="s">
        <v>3239</v>
      </c>
      <c r="C943" t="str">
        <f>IF(A943=1,RIGHT(D943,LEN(D943)-2),IF(A943=2,RIGHT(D943,LEN(D943)-3),IF(A943=3,RIGHT(D943,LEN(D943)-5),RIGHT(D943,LEN(D943)-6))))</f>
        <v>Activities of trade unions</v>
      </c>
      <c r="D943" t="s">
        <v>3240</v>
      </c>
      <c r="E943" t="s">
        <v>1430</v>
      </c>
      <c r="F943" t="s">
        <v>3241</v>
      </c>
    </row>
    <row r="944" spans="1:6" x14ac:dyDescent="0.35">
      <c r="A944">
        <v>3</v>
      </c>
      <c r="B944" t="s">
        <v>1433</v>
      </c>
      <c r="C944" t="str">
        <f>IF(A944=1,RIGHT(D944,LEN(D944)-2),IF(A944=2,RIGHT(D944,LEN(D944)-3),IF(A944=3,RIGHT(D944,LEN(D944)-5),RIGHT(D944,LEN(D944)-6))))</f>
        <v>Activities of other membership organisations</v>
      </c>
      <c r="D944" t="s">
        <v>1434</v>
      </c>
      <c r="E944" t="s">
        <v>625</v>
      </c>
      <c r="F944" t="s">
        <v>1435</v>
      </c>
    </row>
    <row r="945" spans="1:6" x14ac:dyDescent="0.35">
      <c r="A945">
        <v>4</v>
      </c>
      <c r="B945" t="s">
        <v>3242</v>
      </c>
      <c r="C945" t="str">
        <f>IF(A945=1,RIGHT(D945,LEN(D945)-2),IF(A945=2,RIGHT(D945,LEN(D945)-3),IF(A945=3,RIGHT(D945,LEN(D945)-5),RIGHT(D945,LEN(D945)-6))))</f>
        <v>Activities of religious organisations</v>
      </c>
      <c r="D945" t="s">
        <v>3243</v>
      </c>
      <c r="E945" t="s">
        <v>1433</v>
      </c>
      <c r="F945" t="s">
        <v>3244</v>
      </c>
    </row>
    <row r="946" spans="1:6" x14ac:dyDescent="0.35">
      <c r="A946">
        <v>4</v>
      </c>
      <c r="B946" t="s">
        <v>3245</v>
      </c>
      <c r="C946" t="str">
        <f>IF(A946=1,RIGHT(D946,LEN(D946)-2),IF(A946=2,RIGHT(D946,LEN(D946)-3),IF(A946=3,RIGHT(D946,LEN(D946)-5),RIGHT(D946,LEN(D946)-6))))</f>
        <v>Activities of political organisations</v>
      </c>
      <c r="D946" t="s">
        <v>3246</v>
      </c>
      <c r="E946" t="s">
        <v>1433</v>
      </c>
      <c r="F946" t="s">
        <v>3247</v>
      </c>
    </row>
    <row r="947" spans="1:6" x14ac:dyDescent="0.35">
      <c r="A947">
        <v>4</v>
      </c>
      <c r="B947" t="s">
        <v>3248</v>
      </c>
      <c r="C947" t="str">
        <f>IF(A947=1,RIGHT(D947,LEN(D947)-2),IF(A947=2,RIGHT(D947,LEN(D947)-3),IF(A947=3,RIGHT(D947,LEN(D947)-5),RIGHT(D947,LEN(D947)-6))))</f>
        <v>Activities of other membership organisations n.e.c.</v>
      </c>
      <c r="D947" t="s">
        <v>3249</v>
      </c>
      <c r="E947" t="s">
        <v>1433</v>
      </c>
      <c r="F947" t="s">
        <v>3250</v>
      </c>
    </row>
    <row r="948" spans="1:6" x14ac:dyDescent="0.35">
      <c r="A948">
        <v>2</v>
      </c>
      <c r="B948" t="s">
        <v>628</v>
      </c>
      <c r="C948" t="str">
        <f>IF(A948=1,RIGHT(D948,LEN(D948)-2),IF(A948=2,RIGHT(D948,LEN(D948)-3),IF(A948=3,RIGHT(D948,LEN(D948)-5),RIGHT(D948,LEN(D948)-6))))</f>
        <v>Repair of computers and personal and household goods</v>
      </c>
      <c r="D948" t="s">
        <v>629</v>
      </c>
      <c r="E948" t="s">
        <v>395</v>
      </c>
      <c r="F948" t="s">
        <v>630</v>
      </c>
    </row>
    <row r="949" spans="1:6" x14ac:dyDescent="0.35">
      <c r="A949">
        <v>3</v>
      </c>
      <c r="B949" t="s">
        <v>1436</v>
      </c>
      <c r="C949" t="str">
        <f>IF(A949=1,RIGHT(D949,LEN(D949)-2),IF(A949=2,RIGHT(D949,LEN(D949)-3),IF(A949=3,RIGHT(D949,LEN(D949)-5),RIGHT(D949,LEN(D949)-6))))</f>
        <v>Repair of computers and communication equipment</v>
      </c>
      <c r="D949" t="s">
        <v>1437</v>
      </c>
      <c r="E949" t="s">
        <v>628</v>
      </c>
      <c r="F949" t="s">
        <v>1438</v>
      </c>
    </row>
    <row r="950" spans="1:6" x14ac:dyDescent="0.35">
      <c r="A950">
        <v>4</v>
      </c>
      <c r="B950" t="s">
        <v>3251</v>
      </c>
      <c r="C950" t="str">
        <f>IF(A950=1,RIGHT(D950,LEN(D950)-2),IF(A950=2,RIGHT(D950,LEN(D950)-3),IF(A950=3,RIGHT(D950,LEN(D950)-5),RIGHT(D950,LEN(D950)-6))))</f>
        <v>Repair of computers and peripheral equipment</v>
      </c>
      <c r="D950" t="s">
        <v>3252</v>
      </c>
      <c r="E950" t="s">
        <v>1436</v>
      </c>
      <c r="F950" t="s">
        <v>3253</v>
      </c>
    </row>
    <row r="951" spans="1:6" x14ac:dyDescent="0.35">
      <c r="A951">
        <v>4</v>
      </c>
      <c r="B951" t="s">
        <v>3254</v>
      </c>
      <c r="C951" t="str">
        <f>IF(A951=1,RIGHT(D951,LEN(D951)-2),IF(A951=2,RIGHT(D951,LEN(D951)-3),IF(A951=3,RIGHT(D951,LEN(D951)-5),RIGHT(D951,LEN(D951)-6))))</f>
        <v>Repair of communication equipment</v>
      </c>
      <c r="D951" t="s">
        <v>3255</v>
      </c>
      <c r="E951" t="s">
        <v>1436</v>
      </c>
      <c r="F951" t="s">
        <v>3256</v>
      </c>
    </row>
    <row r="952" spans="1:6" x14ac:dyDescent="0.35">
      <c r="A952">
        <v>3</v>
      </c>
      <c r="B952" t="s">
        <v>1439</v>
      </c>
      <c r="C952" t="str">
        <f>IF(A952=1,RIGHT(D952,LEN(D952)-2),IF(A952=2,RIGHT(D952,LEN(D952)-3),IF(A952=3,RIGHT(D952,LEN(D952)-5),RIGHT(D952,LEN(D952)-6))))</f>
        <v>Repair of personal and household goods</v>
      </c>
      <c r="D952" t="s">
        <v>1440</v>
      </c>
      <c r="E952" t="s">
        <v>628</v>
      </c>
      <c r="F952" t="s">
        <v>1441</v>
      </c>
    </row>
    <row r="953" spans="1:6" x14ac:dyDescent="0.35">
      <c r="A953">
        <v>4</v>
      </c>
      <c r="B953" t="s">
        <v>3257</v>
      </c>
      <c r="C953" t="str">
        <f>IF(A953=1,RIGHT(D953,LEN(D953)-2),IF(A953=2,RIGHT(D953,LEN(D953)-3),IF(A953=3,RIGHT(D953,LEN(D953)-5),RIGHT(D953,LEN(D953)-6))))</f>
        <v>Repair of consumer electronics</v>
      </c>
      <c r="D953" t="s">
        <v>3258</v>
      </c>
      <c r="E953" t="s">
        <v>1439</v>
      </c>
      <c r="F953" t="s">
        <v>3259</v>
      </c>
    </row>
    <row r="954" spans="1:6" x14ac:dyDescent="0.35">
      <c r="A954">
        <v>4</v>
      </c>
      <c r="B954" t="s">
        <v>3260</v>
      </c>
      <c r="C954" t="str">
        <f>IF(A954=1,RIGHT(D954,LEN(D954)-2),IF(A954=2,RIGHT(D954,LEN(D954)-3),IF(A954=3,RIGHT(D954,LEN(D954)-5),RIGHT(D954,LEN(D954)-6))))</f>
        <v>Repair of household appliances and home and garden equipment</v>
      </c>
      <c r="D954" t="s">
        <v>3261</v>
      </c>
      <c r="E954" t="s">
        <v>1439</v>
      </c>
      <c r="F954" t="s">
        <v>3262</v>
      </c>
    </row>
    <row r="955" spans="1:6" x14ac:dyDescent="0.35">
      <c r="A955">
        <v>4</v>
      </c>
      <c r="B955" t="s">
        <v>3263</v>
      </c>
      <c r="C955" t="str">
        <f>IF(A955=1,RIGHT(D955,LEN(D955)-2),IF(A955=2,RIGHT(D955,LEN(D955)-3),IF(A955=3,RIGHT(D955,LEN(D955)-5),RIGHT(D955,LEN(D955)-6))))</f>
        <v>Repair of footwear and leather goods</v>
      </c>
      <c r="D955" t="s">
        <v>3264</v>
      </c>
      <c r="E955" t="s">
        <v>1439</v>
      </c>
      <c r="F955" t="s">
        <v>3265</v>
      </c>
    </row>
    <row r="956" spans="1:6" x14ac:dyDescent="0.35">
      <c r="A956">
        <v>4</v>
      </c>
      <c r="B956" t="s">
        <v>3266</v>
      </c>
      <c r="C956" t="str">
        <f>IF(A956=1,RIGHT(D956,LEN(D956)-2),IF(A956=2,RIGHT(D956,LEN(D956)-3),IF(A956=3,RIGHT(D956,LEN(D956)-5),RIGHT(D956,LEN(D956)-6))))</f>
        <v>Repair of furniture and home furnishings</v>
      </c>
      <c r="D956" t="s">
        <v>3267</v>
      </c>
      <c r="E956" t="s">
        <v>1439</v>
      </c>
      <c r="F956" t="s">
        <v>3268</v>
      </c>
    </row>
    <row r="957" spans="1:6" x14ac:dyDescent="0.35">
      <c r="A957">
        <v>4</v>
      </c>
      <c r="B957" t="s">
        <v>3269</v>
      </c>
      <c r="C957" t="str">
        <f>IF(A957=1,RIGHT(D957,LEN(D957)-2),IF(A957=2,RIGHT(D957,LEN(D957)-3),IF(A957=3,RIGHT(D957,LEN(D957)-5),RIGHT(D957,LEN(D957)-6))))</f>
        <v>Repair of watches, clocks and jewellery</v>
      </c>
      <c r="D957" t="s">
        <v>3270</v>
      </c>
      <c r="E957" t="s">
        <v>1439</v>
      </c>
      <c r="F957" t="s">
        <v>3271</v>
      </c>
    </row>
    <row r="958" spans="1:6" x14ac:dyDescent="0.35">
      <c r="A958">
        <v>4</v>
      </c>
      <c r="B958" t="s">
        <v>3272</v>
      </c>
      <c r="C958" t="str">
        <f>IF(A958=1,RIGHT(D958,LEN(D958)-2),IF(A958=2,RIGHT(D958,LEN(D958)-3),IF(A958=3,RIGHT(D958,LEN(D958)-5),RIGHT(D958,LEN(D958)-6))))</f>
        <v>Repair of other personal and household goods</v>
      </c>
      <c r="D958" t="s">
        <v>3273</v>
      </c>
      <c r="E958" t="s">
        <v>1439</v>
      </c>
      <c r="F958" t="s">
        <v>3274</v>
      </c>
    </row>
    <row r="959" spans="1:6" x14ac:dyDescent="0.35">
      <c r="A959">
        <v>2</v>
      </c>
      <c r="B959" t="s">
        <v>631</v>
      </c>
      <c r="C959" t="str">
        <f>IF(A959=1,RIGHT(D959,LEN(D959)-2),IF(A959=2,RIGHT(D959,LEN(D959)-3),IF(A959=3,RIGHT(D959,LEN(D959)-5),RIGHT(D959,LEN(D959)-6))))</f>
        <v>Other personal service activities</v>
      </c>
      <c r="D959" t="s">
        <v>632</v>
      </c>
      <c r="E959" t="s">
        <v>395</v>
      </c>
      <c r="F959" t="s">
        <v>633</v>
      </c>
    </row>
    <row r="960" spans="1:6" x14ac:dyDescent="0.35">
      <c r="A960">
        <v>3</v>
      </c>
      <c r="B960" t="s">
        <v>1442</v>
      </c>
      <c r="C960" t="str">
        <f>IF(A960=1,RIGHT(D960,LEN(D960)-2),IF(A960=2,RIGHT(D960,LEN(D960)-3),IF(A960=3,RIGHT(D960,LEN(D960)-5),RIGHT(D960,LEN(D960)-6))))</f>
        <v>Other personal service activities</v>
      </c>
      <c r="D960" t="s">
        <v>1443</v>
      </c>
      <c r="E960" t="s">
        <v>631</v>
      </c>
      <c r="F960" t="s">
        <v>1444</v>
      </c>
    </row>
    <row r="961" spans="1:6" x14ac:dyDescent="0.35">
      <c r="A961">
        <v>4</v>
      </c>
      <c r="B961" t="s">
        <v>3275</v>
      </c>
      <c r="C961" t="str">
        <f>IF(A961=1,RIGHT(D961,LEN(D961)-2),IF(A961=2,RIGHT(D961,LEN(D961)-3),IF(A961=3,RIGHT(D961,LEN(D961)-5),RIGHT(D961,LEN(D961)-6))))</f>
        <v>Washing and (dry-)cleaning of textile and fur products</v>
      </c>
      <c r="D961" t="s">
        <v>3276</v>
      </c>
      <c r="E961" t="s">
        <v>1442</v>
      </c>
      <c r="F961" t="s">
        <v>3277</v>
      </c>
    </row>
    <row r="962" spans="1:6" x14ac:dyDescent="0.35">
      <c r="A962">
        <v>4</v>
      </c>
      <c r="B962" t="s">
        <v>3278</v>
      </c>
      <c r="C962" t="str">
        <f>IF(A962=1,RIGHT(D962,LEN(D962)-2),IF(A962=2,RIGHT(D962,LEN(D962)-3),IF(A962=3,RIGHT(D962,LEN(D962)-5),RIGHT(D962,LEN(D962)-6))))</f>
        <v>Hairdressing and other beauty treatment</v>
      </c>
      <c r="D962" t="s">
        <v>3279</v>
      </c>
      <c r="E962" t="s">
        <v>1442</v>
      </c>
      <c r="F962" t="s">
        <v>3280</v>
      </c>
    </row>
    <row r="963" spans="1:6" x14ac:dyDescent="0.35">
      <c r="A963">
        <v>4</v>
      </c>
      <c r="B963" t="s">
        <v>3281</v>
      </c>
      <c r="C963" t="str">
        <f>IF(A963=1,RIGHT(D963,LEN(D963)-2),IF(A963=2,RIGHT(D963,LEN(D963)-3),IF(A963=3,RIGHT(D963,LEN(D963)-5),RIGHT(D963,LEN(D963)-6))))</f>
        <v>Funeral and related activities</v>
      </c>
      <c r="D963" t="s">
        <v>3282</v>
      </c>
      <c r="E963" t="s">
        <v>1442</v>
      </c>
      <c r="F963" t="s">
        <v>3283</v>
      </c>
    </row>
    <row r="964" spans="1:6" x14ac:dyDescent="0.35">
      <c r="A964">
        <v>4</v>
      </c>
      <c r="B964" t="s">
        <v>3284</v>
      </c>
      <c r="C964" t="str">
        <f>IF(A964=1,RIGHT(D964,LEN(D964)-2),IF(A964=2,RIGHT(D964,LEN(D964)-3),IF(A964=3,RIGHT(D964,LEN(D964)-5),RIGHT(D964,LEN(D964)-6))))</f>
        <v>Physical well-being activities</v>
      </c>
      <c r="D964" t="s">
        <v>3285</v>
      </c>
      <c r="E964" t="s">
        <v>1442</v>
      </c>
      <c r="F964" t="s">
        <v>3286</v>
      </c>
    </row>
    <row r="965" spans="1:6" x14ac:dyDescent="0.35">
      <c r="A965">
        <v>4</v>
      </c>
      <c r="B965" t="s">
        <v>3287</v>
      </c>
      <c r="C965" t="str">
        <f>IF(A965=1,RIGHT(D965,LEN(D965)-2),IF(A965=2,RIGHT(D965,LEN(D965)-3),IF(A965=3,RIGHT(D965,LEN(D965)-5),RIGHT(D965,LEN(D965)-6))))</f>
        <v>Other personal service activities n.e.c.</v>
      </c>
      <c r="D965" t="s">
        <v>3288</v>
      </c>
      <c r="E965" t="s">
        <v>1442</v>
      </c>
      <c r="F965" t="s">
        <v>3289</v>
      </c>
    </row>
    <row r="966" spans="1:6" x14ac:dyDescent="0.35">
      <c r="A966">
        <v>2</v>
      </c>
      <c r="B966" t="s">
        <v>634</v>
      </c>
      <c r="C966" t="str">
        <f>IF(A966=1,RIGHT(D966,LEN(D966)-2),IF(A966=2,RIGHT(D966,LEN(D966)-3),IF(A966=3,RIGHT(D966,LEN(D966)-5),RIGHT(D966,LEN(D966)-6))))</f>
        <v>Activities of households as employers of domestic personnel</v>
      </c>
      <c r="D966" t="s">
        <v>635</v>
      </c>
      <c r="E966" t="s">
        <v>398</v>
      </c>
      <c r="F966" t="s">
        <v>636</v>
      </c>
    </row>
    <row r="967" spans="1:6" x14ac:dyDescent="0.35">
      <c r="A967">
        <v>3</v>
      </c>
      <c r="B967" t="s">
        <v>1445</v>
      </c>
      <c r="C967" t="str">
        <f>IF(A967=1,RIGHT(D967,LEN(D967)-2),IF(A967=2,RIGHT(D967,LEN(D967)-3),IF(A967=3,RIGHT(D967,LEN(D967)-5),RIGHT(D967,LEN(D967)-6))))</f>
        <v>Activities of households as employers of domestic personnel</v>
      </c>
      <c r="D967" t="s">
        <v>1446</v>
      </c>
      <c r="E967" t="s">
        <v>634</v>
      </c>
      <c r="F967" t="s">
        <v>1447</v>
      </c>
    </row>
    <row r="968" spans="1:6" x14ac:dyDescent="0.35">
      <c r="A968">
        <v>4</v>
      </c>
      <c r="B968" t="s">
        <v>3290</v>
      </c>
      <c r="C968" t="str">
        <f>IF(A968=1,RIGHT(D968,LEN(D968)-2),IF(A968=2,RIGHT(D968,LEN(D968)-3),IF(A968=3,RIGHT(D968,LEN(D968)-5),RIGHT(D968,LEN(D968)-6))))</f>
        <v>Activities of households as employers of domestic personnel</v>
      </c>
      <c r="D968" t="s">
        <v>3291</v>
      </c>
      <c r="E968" t="s">
        <v>1445</v>
      </c>
      <c r="F968" t="s">
        <v>3292</v>
      </c>
    </row>
    <row r="969" spans="1:6" x14ac:dyDescent="0.35">
      <c r="A969">
        <v>2</v>
      </c>
      <c r="B969" t="s">
        <v>637</v>
      </c>
      <c r="C969" t="str">
        <f>IF(A969=1,RIGHT(D969,LEN(D969)-2),IF(A969=2,RIGHT(D969,LEN(D969)-3),IF(A969=3,RIGHT(D969,LEN(D969)-5),RIGHT(D969,LEN(D969)-6))))</f>
        <v>Undifferentiated goods- and services-producing activities of private households for own use</v>
      </c>
      <c r="D969" t="s">
        <v>638</v>
      </c>
      <c r="E969" t="s">
        <v>398</v>
      </c>
      <c r="F969" t="s">
        <v>639</v>
      </c>
    </row>
    <row r="970" spans="1:6" x14ac:dyDescent="0.35">
      <c r="A970">
        <v>3</v>
      </c>
      <c r="B970" t="s">
        <v>1448</v>
      </c>
      <c r="C970" t="str">
        <f>IF(A970=1,RIGHT(D970,LEN(D970)-2),IF(A970=2,RIGHT(D970,LEN(D970)-3),IF(A970=3,RIGHT(D970,LEN(D970)-5),RIGHT(D970,LEN(D970)-6))))</f>
        <v>Undifferentiated goods-producing activities of private households for own use</v>
      </c>
      <c r="D970" t="s">
        <v>1449</v>
      </c>
      <c r="E970" t="s">
        <v>637</v>
      </c>
      <c r="F970" t="s">
        <v>1450</v>
      </c>
    </row>
    <row r="971" spans="1:6" x14ac:dyDescent="0.35">
      <c r="A971">
        <v>4</v>
      </c>
      <c r="B971" t="s">
        <v>3293</v>
      </c>
      <c r="C971" t="str">
        <f>IF(A971=1,RIGHT(D971,LEN(D971)-2),IF(A971=2,RIGHT(D971,LEN(D971)-3),IF(A971=3,RIGHT(D971,LEN(D971)-5),RIGHT(D971,LEN(D971)-6))))</f>
        <v>Undifferentiated goods-producing activities of private households for own use</v>
      </c>
      <c r="D971" t="s">
        <v>3294</v>
      </c>
      <c r="E971" t="s">
        <v>1448</v>
      </c>
      <c r="F971" t="s">
        <v>3295</v>
      </c>
    </row>
    <row r="972" spans="1:6" x14ac:dyDescent="0.35">
      <c r="A972">
        <v>3</v>
      </c>
      <c r="B972" t="s">
        <v>1451</v>
      </c>
      <c r="C972" t="str">
        <f>IF(A972=1,RIGHT(D972,LEN(D972)-2),IF(A972=2,RIGHT(D972,LEN(D972)-3),IF(A972=3,RIGHT(D972,LEN(D972)-5),RIGHT(D972,LEN(D972)-6))))</f>
        <v>Undifferentiated service-producing activities of private households for own use</v>
      </c>
      <c r="D972" t="s">
        <v>1452</v>
      </c>
      <c r="E972" t="s">
        <v>637</v>
      </c>
      <c r="F972" t="s">
        <v>1453</v>
      </c>
    </row>
    <row r="973" spans="1:6" x14ac:dyDescent="0.35">
      <c r="A973">
        <v>4</v>
      </c>
      <c r="B973" t="s">
        <v>3296</v>
      </c>
      <c r="C973" t="str">
        <f>IF(A973=1,RIGHT(D973,LEN(D973)-2),IF(A973=2,RIGHT(D973,LEN(D973)-3),IF(A973=3,RIGHT(D973,LEN(D973)-5),RIGHT(D973,LEN(D973)-6))))</f>
        <v>Undifferentiated service-producing activities of private households for own use</v>
      </c>
      <c r="D973" t="s">
        <v>3297</v>
      </c>
      <c r="E973" t="s">
        <v>1451</v>
      </c>
      <c r="F973" t="s">
        <v>3298</v>
      </c>
    </row>
    <row r="974" spans="1:6" x14ac:dyDescent="0.35">
      <c r="A974">
        <v>2</v>
      </c>
      <c r="B974" t="s">
        <v>60</v>
      </c>
      <c r="C974" t="str">
        <f>IF(A974=1,RIGHT(D974,LEN(D974)-2),IF(A974=2,RIGHT(D974,LEN(D974)-3),IF(A974=3,RIGHT(D974,LEN(D974)-5),RIGHT(D974,LEN(D974)-6))))</f>
        <v>Activities of extraterritorial organisations and bodies</v>
      </c>
      <c r="D974" t="s">
        <v>640</v>
      </c>
      <c r="E974" t="s">
        <v>401</v>
      </c>
      <c r="F974" t="s">
        <v>641</v>
      </c>
    </row>
    <row r="975" spans="1:6" x14ac:dyDescent="0.35">
      <c r="A975">
        <v>3</v>
      </c>
      <c r="B975" t="s">
        <v>1454</v>
      </c>
      <c r="C975" t="str">
        <f>IF(A975=1,RIGHT(D975,LEN(D975)-2),IF(A975=2,RIGHT(D975,LEN(D975)-3),IF(A975=3,RIGHT(D975,LEN(D975)-5),RIGHT(D975,LEN(D975)-6))))</f>
        <v>Activities of extraterritorial organisations and bodies</v>
      </c>
      <c r="D975" t="s">
        <v>1455</v>
      </c>
      <c r="E975" t="s">
        <v>60</v>
      </c>
      <c r="F975" t="s">
        <v>1456</v>
      </c>
    </row>
    <row r="976" spans="1:6" x14ac:dyDescent="0.35">
      <c r="A976">
        <v>4</v>
      </c>
      <c r="B976" t="s">
        <v>3299</v>
      </c>
      <c r="C976" t="str">
        <f>IF(A976=1,RIGHT(D976,LEN(D976)-2),IF(A976=2,RIGHT(D976,LEN(D976)-3),IF(A976=3,RIGHT(D976,LEN(D976)-5),RIGHT(D976,LEN(D976)-6))))</f>
        <v>Activities of extraterritorial organisations and bodies</v>
      </c>
      <c r="D976" t="s">
        <v>3300</v>
      </c>
      <c r="E976" t="s">
        <v>1454</v>
      </c>
      <c r="F976" t="s">
        <v>3301</v>
      </c>
    </row>
    <row r="977" spans="1:6" x14ac:dyDescent="0.35">
      <c r="A977">
        <v>1</v>
      </c>
      <c r="B977" t="s">
        <v>341</v>
      </c>
      <c r="C977" t="str">
        <f>IF(A977=1,RIGHT(D977,LEN(D977)-2),IF(A977=2,RIGHT(D977,LEN(D977)-3),IF(A977=3,RIGHT(D977,LEN(D977)-5),RIGHT(D977,LEN(D977)-6))))</f>
        <v>AGRICULTURE, FORESTRY AND FISHING</v>
      </c>
      <c r="D977" t="s">
        <v>342</v>
      </c>
      <c r="F977" t="s">
        <v>343</v>
      </c>
    </row>
    <row r="978" spans="1:6" x14ac:dyDescent="0.35">
      <c r="A978">
        <v>1</v>
      </c>
      <c r="B978" t="s">
        <v>344</v>
      </c>
      <c r="C978" t="str">
        <f>IF(A978=1,RIGHT(D978,LEN(D978)-2),IF(A978=2,RIGHT(D978,LEN(D978)-3),IF(A978=3,RIGHT(D978,LEN(D978)-5),RIGHT(D978,LEN(D978)-6))))</f>
        <v>MINING AND QUARRYING</v>
      </c>
      <c r="D978" t="s">
        <v>345</v>
      </c>
      <c r="F978" t="s">
        <v>346</v>
      </c>
    </row>
    <row r="979" spans="1:6" x14ac:dyDescent="0.35">
      <c r="A979">
        <v>1</v>
      </c>
      <c r="B979" t="s">
        <v>347</v>
      </c>
      <c r="C979" t="str">
        <f>IF(A979=1,RIGHT(D979,LEN(D979)-2),IF(A979=2,RIGHT(D979,LEN(D979)-3),IF(A979=3,RIGHT(D979,LEN(D979)-5),RIGHT(D979,LEN(D979)-6))))</f>
        <v>MANUFACTURING</v>
      </c>
      <c r="D979" t="s">
        <v>348</v>
      </c>
      <c r="F979" t="s">
        <v>349</v>
      </c>
    </row>
    <row r="980" spans="1:6" x14ac:dyDescent="0.35">
      <c r="A980">
        <v>1</v>
      </c>
      <c r="B980" t="s">
        <v>350</v>
      </c>
      <c r="C980" t="str">
        <f>IF(A980=1,RIGHT(D980,LEN(D980)-2),IF(A980=2,RIGHT(D980,LEN(D980)-3),IF(A980=3,RIGHT(D980,LEN(D980)-5),RIGHT(D980,LEN(D980)-6))))</f>
        <v>ELECTRICITY, GAS, STEAM AND AIR CONDITIONING SUPPLY</v>
      </c>
      <c r="D980" t="s">
        <v>351</v>
      </c>
      <c r="F980" t="s">
        <v>352</v>
      </c>
    </row>
    <row r="981" spans="1:6" x14ac:dyDescent="0.35">
      <c r="A981">
        <v>1</v>
      </c>
      <c r="B981" t="s">
        <v>353</v>
      </c>
      <c r="C981" t="str">
        <f>IF(A981=1,RIGHT(D981,LEN(D981)-2),IF(A981=2,RIGHT(D981,LEN(D981)-3),IF(A981=3,RIGHT(D981,LEN(D981)-5),RIGHT(D981,LEN(D981)-6))))</f>
        <v>WATER SUPPLY; SEWERAGE, WASTE MANAGEMENT AND REMEDIATION ACTIVITIES</v>
      </c>
      <c r="D981" t="s">
        <v>354</v>
      </c>
      <c r="F981" t="s">
        <v>355</v>
      </c>
    </row>
    <row r="982" spans="1:6" x14ac:dyDescent="0.35">
      <c r="A982">
        <v>1</v>
      </c>
      <c r="B982" t="s">
        <v>356</v>
      </c>
      <c r="C982" t="str">
        <f>IF(A982=1,RIGHT(D982,LEN(D982)-2),IF(A982=2,RIGHT(D982,LEN(D982)-3),IF(A982=3,RIGHT(D982,LEN(D982)-5),RIGHT(D982,LEN(D982)-6))))</f>
        <v>CONSTRUCTION</v>
      </c>
      <c r="D982" t="s">
        <v>357</v>
      </c>
      <c r="F982" t="s">
        <v>358</v>
      </c>
    </row>
    <row r="983" spans="1:6" x14ac:dyDescent="0.35">
      <c r="A983">
        <v>1</v>
      </c>
      <c r="B983" t="s">
        <v>359</v>
      </c>
      <c r="C983" t="str">
        <f>IF(A983=1,RIGHT(D983,LEN(D983)-2),IF(A983=2,RIGHT(D983,LEN(D983)-3),IF(A983=3,RIGHT(D983,LEN(D983)-5),RIGHT(D983,LEN(D983)-6))))</f>
        <v>WHOLESALE AND RETAIL TRADE; REPAIR OF MOTOR VEHICLES AND MOTORCYCLES</v>
      </c>
      <c r="D983" t="s">
        <v>360</v>
      </c>
      <c r="F983" t="s">
        <v>361</v>
      </c>
    </row>
    <row r="984" spans="1:6" x14ac:dyDescent="0.35">
      <c r="A984">
        <v>1</v>
      </c>
      <c r="B984" t="s">
        <v>362</v>
      </c>
      <c r="C984" t="str">
        <f>IF(A984=1,RIGHT(D984,LEN(D984)-2),IF(A984=2,RIGHT(D984,LEN(D984)-3),IF(A984=3,RIGHT(D984,LEN(D984)-5),RIGHT(D984,LEN(D984)-6))))</f>
        <v>TRANSPORTATION AND STORAGE</v>
      </c>
      <c r="D984" t="s">
        <v>363</v>
      </c>
      <c r="F984" t="s">
        <v>364</v>
      </c>
    </row>
    <row r="985" spans="1:6" x14ac:dyDescent="0.35">
      <c r="A985">
        <v>1</v>
      </c>
      <c r="B985" t="s">
        <v>365</v>
      </c>
      <c r="C985" t="str">
        <f>IF(A985=1,RIGHT(D985,LEN(D985)-2),IF(A985=2,RIGHT(D985,LEN(D985)-3),IF(A985=3,RIGHT(D985,LEN(D985)-5),RIGHT(D985,LEN(D985)-6))))</f>
        <v>ACCOMMODATION AND FOOD SERVICE ACTIVITIES</v>
      </c>
      <c r="D985" t="s">
        <v>366</v>
      </c>
      <c r="F985" t="s">
        <v>367</v>
      </c>
    </row>
    <row r="986" spans="1:6" x14ac:dyDescent="0.35">
      <c r="A986">
        <v>1</v>
      </c>
      <c r="B986" t="s">
        <v>368</v>
      </c>
      <c r="C986" t="str">
        <f>IF(A986=1,RIGHT(D986,LEN(D986)-2),IF(A986=2,RIGHT(D986,LEN(D986)-3),IF(A986=3,RIGHT(D986,LEN(D986)-5),RIGHT(D986,LEN(D986)-6))))</f>
        <v>INFORMATION AND COMMUNICATION</v>
      </c>
      <c r="D986" t="s">
        <v>369</v>
      </c>
      <c r="F986" t="s">
        <v>370</v>
      </c>
    </row>
    <row r="987" spans="1:6" x14ac:dyDescent="0.35">
      <c r="A987">
        <v>1</v>
      </c>
      <c r="B987" t="s">
        <v>371</v>
      </c>
      <c r="C987" t="str">
        <f>IF(A987=1,RIGHT(D987,LEN(D987)-2),IF(A987=2,RIGHT(D987,LEN(D987)-3),IF(A987=3,RIGHT(D987,LEN(D987)-5),RIGHT(D987,LEN(D987)-6))))</f>
        <v>FINANCIAL AND INSURANCE ACTIVITIES</v>
      </c>
      <c r="D987" t="s">
        <v>372</v>
      </c>
      <c r="F987" t="s">
        <v>373</v>
      </c>
    </row>
    <row r="988" spans="1:6" x14ac:dyDescent="0.35">
      <c r="A988">
        <v>1</v>
      </c>
      <c r="B988" t="s">
        <v>374</v>
      </c>
      <c r="C988" t="str">
        <f>IF(A988=1,RIGHT(D988,LEN(D988)-2),IF(A988=2,RIGHT(D988,LEN(D988)-3),IF(A988=3,RIGHT(D988,LEN(D988)-5),RIGHT(D988,LEN(D988)-6))))</f>
        <v>REAL ESTATE ACTIVITIES</v>
      </c>
      <c r="D988" t="s">
        <v>375</v>
      </c>
      <c r="F988" t="s">
        <v>376</v>
      </c>
    </row>
    <row r="989" spans="1:6" x14ac:dyDescent="0.35">
      <c r="A989">
        <v>1</v>
      </c>
      <c r="B989" t="s">
        <v>377</v>
      </c>
      <c r="C989" t="str">
        <f>IF(A989=1,RIGHT(D989,LEN(D989)-2),IF(A989=2,RIGHT(D989,LEN(D989)-3),IF(A989=3,RIGHT(D989,LEN(D989)-5),RIGHT(D989,LEN(D989)-6))))</f>
        <v>PROFESSIONAL, SCIENTIFIC AND TECHNICAL ACTIVITIES</v>
      </c>
      <c r="D989" t="s">
        <v>378</v>
      </c>
      <c r="F989" t="s">
        <v>379</v>
      </c>
    </row>
    <row r="990" spans="1:6" x14ac:dyDescent="0.35">
      <c r="A990">
        <v>1</v>
      </c>
      <c r="B990" t="s">
        <v>380</v>
      </c>
      <c r="C990" t="str">
        <f>IF(A990=1,RIGHT(D990,LEN(D990)-2),IF(A990=2,RIGHT(D990,LEN(D990)-3),IF(A990=3,RIGHT(D990,LEN(D990)-5),RIGHT(D990,LEN(D990)-6))))</f>
        <v>ADMINISTRATIVE AND SUPPORT SERVICE ACTIVITIES</v>
      </c>
      <c r="D990" t="s">
        <v>381</v>
      </c>
      <c r="F990" t="s">
        <v>382</v>
      </c>
    </row>
    <row r="991" spans="1:6" x14ac:dyDescent="0.35">
      <c r="A991">
        <v>1</v>
      </c>
      <c r="B991" t="s">
        <v>383</v>
      </c>
      <c r="C991" t="str">
        <f>IF(A991=1,RIGHT(D991,LEN(D991)-2),IF(A991=2,RIGHT(D991,LEN(D991)-3),IF(A991=3,RIGHT(D991,LEN(D991)-5),RIGHT(D991,LEN(D991)-6))))</f>
        <v>PUBLIC ADMINISTRATION AND DEFENCE; COMPULSORY SOCIAL SECURITY</v>
      </c>
      <c r="D991" t="s">
        <v>384</v>
      </c>
      <c r="F991" t="s">
        <v>385</v>
      </c>
    </row>
    <row r="992" spans="1:6" x14ac:dyDescent="0.35">
      <c r="A992">
        <v>1</v>
      </c>
      <c r="B992" t="s">
        <v>386</v>
      </c>
      <c r="C992" t="str">
        <f>IF(A992=1,RIGHT(D992,LEN(D992)-2),IF(A992=2,RIGHT(D992,LEN(D992)-3),IF(A992=3,RIGHT(D992,LEN(D992)-5),RIGHT(D992,LEN(D992)-6))))</f>
        <v>EDUCATION</v>
      </c>
      <c r="D992" t="s">
        <v>387</v>
      </c>
      <c r="F992" t="s">
        <v>388</v>
      </c>
    </row>
    <row r="993" spans="1:6" x14ac:dyDescent="0.35">
      <c r="A993">
        <v>1</v>
      </c>
      <c r="B993" t="s">
        <v>389</v>
      </c>
      <c r="C993" t="str">
        <f>IF(A993=1,RIGHT(D993,LEN(D993)-2),IF(A993=2,RIGHT(D993,LEN(D993)-3),IF(A993=3,RIGHT(D993,LEN(D993)-5),RIGHT(D993,LEN(D993)-6))))</f>
        <v>HUMAN HEALTH AND SOCIAL WORK ACTIVITIES</v>
      </c>
      <c r="D993" t="s">
        <v>390</v>
      </c>
      <c r="F993" t="s">
        <v>391</v>
      </c>
    </row>
    <row r="994" spans="1:6" x14ac:dyDescent="0.35">
      <c r="A994">
        <v>1</v>
      </c>
      <c r="B994" t="s">
        <v>392</v>
      </c>
      <c r="C994" t="str">
        <f>IF(A994=1,RIGHT(D994,LEN(D994)-2),IF(A994=2,RIGHT(D994,LEN(D994)-3),IF(A994=3,RIGHT(D994,LEN(D994)-5),RIGHT(D994,LEN(D994)-6))))</f>
        <v>ARTS, ENTERTAINMENT AND RECREATION</v>
      </c>
      <c r="D994" t="s">
        <v>393</v>
      </c>
      <c r="F994" t="s">
        <v>394</v>
      </c>
    </row>
    <row r="995" spans="1:6" x14ac:dyDescent="0.35">
      <c r="A995">
        <v>1</v>
      </c>
      <c r="B995" t="s">
        <v>395</v>
      </c>
      <c r="C995" t="str">
        <f>IF(A995=1,RIGHT(D995,LEN(D995)-2),IF(A995=2,RIGHT(D995,LEN(D995)-3),IF(A995=3,RIGHT(D995,LEN(D995)-5),RIGHT(D995,LEN(D995)-6))))</f>
        <v>OTHER SERVICE ACTIVITIES</v>
      </c>
      <c r="D995" t="s">
        <v>396</v>
      </c>
      <c r="F995" t="s">
        <v>397</v>
      </c>
    </row>
    <row r="996" spans="1:6" x14ac:dyDescent="0.35">
      <c r="A996">
        <v>1</v>
      </c>
      <c r="B996" t="s">
        <v>398</v>
      </c>
      <c r="C996" t="str">
        <f>IF(A996=1,RIGHT(D996,LEN(D996)-2),IF(A996=2,RIGHT(D996,LEN(D996)-3),IF(A996=3,RIGHT(D996,LEN(D996)-5),RIGHT(D996,LEN(D996)-6))))</f>
        <v>ACTIVITIES OF HOUSEHOLDS AS EMPLOYERS; UNDIFFERENTIATED GOODS- AND SERVICES-PRODUCING ACTIVITIES OF HOUSEHOLDS FOR OWN USE</v>
      </c>
      <c r="D996" t="s">
        <v>399</v>
      </c>
      <c r="F996" t="s">
        <v>400</v>
      </c>
    </row>
    <row r="997" spans="1:6" x14ac:dyDescent="0.35">
      <c r="A997">
        <v>1</v>
      </c>
      <c r="B997" t="s">
        <v>401</v>
      </c>
      <c r="C997" t="str">
        <f>IF(A997=1,RIGHT(D997,LEN(D997)-2),IF(A997=2,RIGHT(D997,LEN(D997)-3),IF(A997=3,RIGHT(D997,LEN(D997)-5),RIGHT(D997,LEN(D997)-6))))</f>
        <v>ACTIVITIES OF EXTRATERRITORIAL ORGANISATIONS AND BODIES</v>
      </c>
      <c r="D997" t="s">
        <v>402</v>
      </c>
      <c r="F997" t="s">
        <v>403</v>
      </c>
    </row>
  </sheetData>
  <autoFilter ref="A1:F997" xr:uid="{EC8A1AFA-8805-4032-A494-86D01B6DF9C3}">
    <sortState xmlns:xlrd2="http://schemas.microsoft.com/office/spreadsheetml/2017/richdata2" ref="A2:F997">
      <sortCondition ref="B1:B99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D719-B4D8-4552-BABC-D9729FE35C38}">
  <dimension ref="A1:C32"/>
  <sheetViews>
    <sheetView workbookViewId="0">
      <pane ySplit="1" topLeftCell="A2" activePane="bottomLeft" state="frozen"/>
      <selection pane="bottomLeft" activeCell="B19" sqref="B19"/>
    </sheetView>
  </sheetViews>
  <sheetFormatPr defaultRowHeight="14.5" x14ac:dyDescent="0.35"/>
  <cols>
    <col min="1" max="1" width="15.36328125" bestFit="1" customWidth="1"/>
    <col min="2" max="2" width="48.453125" bestFit="1" customWidth="1"/>
    <col min="3" max="3" width="7.7265625" style="4" bestFit="1" customWidth="1"/>
  </cols>
  <sheetData>
    <row r="1" spans="1:3" x14ac:dyDescent="0.35">
      <c r="A1" s="1" t="s">
        <v>340</v>
      </c>
      <c r="B1" s="1" t="s">
        <v>339</v>
      </c>
      <c r="C1" s="3" t="s">
        <v>338</v>
      </c>
    </row>
    <row r="2" spans="1:3" x14ac:dyDescent="0.35">
      <c r="A2" t="s">
        <v>0</v>
      </c>
      <c r="B2" t="s">
        <v>1</v>
      </c>
      <c r="C2" s="8" t="e">
        <f>_xlfn.IFNA(IF(_xlfn.XLOOKUP(A2,#REF!,#REF!)&lt;&gt;"",1,0),0)</f>
        <v>#REF!</v>
      </c>
    </row>
    <row r="3" spans="1:3" x14ac:dyDescent="0.35">
      <c r="A3" t="s">
        <v>2</v>
      </c>
      <c r="B3" t="s">
        <v>3</v>
      </c>
      <c r="C3" s="8" t="e">
        <f>_xlfn.IFNA(IF(_xlfn.XLOOKUP(A3,#REF!,#REF!)&lt;&gt;"",1,0),0)</f>
        <v>#REF!</v>
      </c>
    </row>
    <row r="4" spans="1:3" x14ac:dyDescent="0.35">
      <c r="A4" s="2" t="s">
        <v>4</v>
      </c>
      <c r="B4" s="2" t="s">
        <v>5</v>
      </c>
      <c r="C4" s="8" t="e">
        <f>_xlfn.IFNA(IF(_xlfn.XLOOKUP(A4,#REF!,#REF!)&lt;&gt;"",1,0),0)</f>
        <v>#REF!</v>
      </c>
    </row>
    <row r="5" spans="1:3" x14ac:dyDescent="0.35">
      <c r="A5" t="s">
        <v>6</v>
      </c>
      <c r="B5" s="2" t="s">
        <v>7</v>
      </c>
      <c r="C5" s="8" t="e">
        <f>_xlfn.IFNA(IF(_xlfn.XLOOKUP(A5,#REF!,#REF!)&lt;&gt;"",1,0),0)</f>
        <v>#REF!</v>
      </c>
    </row>
    <row r="6" spans="1:3" x14ac:dyDescent="0.35">
      <c r="A6" s="2" t="s">
        <v>8</v>
      </c>
      <c r="B6" s="2" t="s">
        <v>9</v>
      </c>
      <c r="C6" s="8" t="e">
        <f>_xlfn.IFNA(IF(_xlfn.XLOOKUP(A6,#REF!,#REF!)&lt;&gt;"",1,0),0)</f>
        <v>#REF!</v>
      </c>
    </row>
    <row r="7" spans="1:3" x14ac:dyDescent="0.35">
      <c r="A7" t="s">
        <v>10</v>
      </c>
      <c r="B7" s="2" t="s">
        <v>11</v>
      </c>
      <c r="C7" s="8" t="e">
        <f>_xlfn.IFNA(IF(_xlfn.XLOOKUP(A7,#REF!,#REF!)&lt;&gt;"",1,0),0)</f>
        <v>#REF!</v>
      </c>
    </row>
    <row r="8" spans="1:3" x14ac:dyDescent="0.35">
      <c r="A8" t="s">
        <v>12</v>
      </c>
      <c r="B8" t="s">
        <v>13</v>
      </c>
      <c r="C8" s="8" t="e">
        <f>_xlfn.IFNA(IF(_xlfn.XLOOKUP(A8,#REF!,#REF!)&lt;&gt;"",1,0),0)</f>
        <v>#REF!</v>
      </c>
    </row>
    <row r="9" spans="1:3" x14ac:dyDescent="0.35">
      <c r="A9" t="s">
        <v>14</v>
      </c>
      <c r="B9" s="2" t="s">
        <v>15</v>
      </c>
      <c r="C9" s="8" t="e">
        <f>_xlfn.IFNA(IF(_xlfn.XLOOKUP(A9,#REF!,#REF!)&lt;&gt;"",1,0),0)</f>
        <v>#REF!</v>
      </c>
    </row>
    <row r="10" spans="1:3" x14ac:dyDescent="0.35">
      <c r="A10" t="s">
        <v>16</v>
      </c>
      <c r="B10" t="s">
        <v>17</v>
      </c>
      <c r="C10" s="8" t="e">
        <f>_xlfn.IFNA(IF(_xlfn.XLOOKUP(A10,#REF!,#REF!)&lt;&gt;"",1,0),0)</f>
        <v>#REF!</v>
      </c>
    </row>
    <row r="11" spans="1:3" x14ac:dyDescent="0.35">
      <c r="A11" t="s">
        <v>18</v>
      </c>
      <c r="B11" t="s">
        <v>19</v>
      </c>
      <c r="C11" s="8" t="e">
        <f>_xlfn.IFNA(IF(_xlfn.XLOOKUP(A11,#REF!,#REF!)&lt;&gt;"",1,0),0)</f>
        <v>#REF!</v>
      </c>
    </row>
    <row r="12" spans="1:3" x14ac:dyDescent="0.35">
      <c r="A12" t="s">
        <v>20</v>
      </c>
      <c r="B12" t="s">
        <v>21</v>
      </c>
      <c r="C12" s="8" t="e">
        <f>_xlfn.IFNA(IF(_xlfn.XLOOKUP(A12,#REF!,#REF!)&lt;&gt;"",1,0),0)</f>
        <v>#REF!</v>
      </c>
    </row>
    <row r="13" spans="1:3" x14ac:dyDescent="0.35">
      <c r="A13" t="s">
        <v>22</v>
      </c>
      <c r="B13" t="s">
        <v>23</v>
      </c>
      <c r="C13" s="8" t="e">
        <f>_xlfn.IFNA(IF(_xlfn.XLOOKUP(A13,#REF!,#REF!)&lt;&gt;"",1,0),0)</f>
        <v>#REF!</v>
      </c>
    </row>
    <row r="14" spans="1:3" x14ac:dyDescent="0.35">
      <c r="A14" t="s">
        <v>24</v>
      </c>
      <c r="B14" t="s">
        <v>25</v>
      </c>
      <c r="C14" s="8" t="e">
        <f>_xlfn.IFNA(IF(_xlfn.XLOOKUP(A14,#REF!,#REF!)&lt;&gt;"",1,0),0)</f>
        <v>#REF!</v>
      </c>
    </row>
    <row r="15" spans="1:3" x14ac:dyDescent="0.35">
      <c r="A15" t="s">
        <v>26</v>
      </c>
      <c r="B15" t="s">
        <v>27</v>
      </c>
      <c r="C15" s="8" t="e">
        <f>_xlfn.IFNA(IF(_xlfn.XLOOKUP(A15,#REF!,#REF!)&lt;&gt;"",1,0),0)</f>
        <v>#REF!</v>
      </c>
    </row>
    <row r="16" spans="1:3" x14ac:dyDescent="0.35">
      <c r="A16" t="s">
        <v>28</v>
      </c>
      <c r="B16" t="s">
        <v>29</v>
      </c>
      <c r="C16" s="8" t="e">
        <f>_xlfn.IFNA(IF(_xlfn.XLOOKUP(A16,#REF!,#REF!)&lt;&gt;"",1,0),0)</f>
        <v>#REF!</v>
      </c>
    </row>
    <row r="17" spans="1:3" x14ac:dyDescent="0.35">
      <c r="A17" t="s">
        <v>30</v>
      </c>
      <c r="B17" t="s">
        <v>31</v>
      </c>
      <c r="C17" s="8" t="e">
        <f>_xlfn.IFNA(IF(_xlfn.XLOOKUP(A17,#REF!,#REF!)&lt;&gt;"",1,0),0)</f>
        <v>#REF!</v>
      </c>
    </row>
    <row r="18" spans="1:3" x14ac:dyDescent="0.35">
      <c r="A18" t="s">
        <v>32</v>
      </c>
      <c r="B18" t="s">
        <v>33</v>
      </c>
      <c r="C18" s="8" t="e">
        <f>_xlfn.IFNA(IF(_xlfn.XLOOKUP(A18,#REF!,#REF!)&lt;&gt;"",1,0),0)</f>
        <v>#REF!</v>
      </c>
    </row>
    <row r="19" spans="1:3" x14ac:dyDescent="0.35">
      <c r="A19" t="s">
        <v>34</v>
      </c>
      <c r="B19" t="s">
        <v>35</v>
      </c>
      <c r="C19" s="8" t="e">
        <f>_xlfn.IFNA(IF(_xlfn.XLOOKUP(A19,#REF!,#REF!)&lt;&gt;"",1,0),0)</f>
        <v>#REF!</v>
      </c>
    </row>
    <row r="20" spans="1:3" x14ac:dyDescent="0.35">
      <c r="A20" t="s">
        <v>36</v>
      </c>
      <c r="B20" t="s">
        <v>37</v>
      </c>
      <c r="C20" s="8" t="e">
        <f>_xlfn.IFNA(IF(_xlfn.XLOOKUP(A20,#REF!,#REF!)&lt;&gt;"",1,0),0)</f>
        <v>#REF!</v>
      </c>
    </row>
    <row r="21" spans="1:3" x14ac:dyDescent="0.35">
      <c r="A21" t="s">
        <v>38</v>
      </c>
      <c r="B21" t="s">
        <v>39</v>
      </c>
      <c r="C21" s="8" t="e">
        <f>_xlfn.IFNA(IF(_xlfn.XLOOKUP(A21,#REF!,#REF!)&lt;&gt;"",1,0),0)</f>
        <v>#REF!</v>
      </c>
    </row>
    <row r="22" spans="1:3" x14ac:dyDescent="0.35">
      <c r="A22" t="s">
        <v>40</v>
      </c>
      <c r="B22" t="s">
        <v>41</v>
      </c>
      <c r="C22" s="8" t="e">
        <f>_xlfn.IFNA(IF(_xlfn.XLOOKUP(A22,#REF!,#REF!)&lt;&gt;"",1,0),0)</f>
        <v>#REF!</v>
      </c>
    </row>
    <row r="23" spans="1:3" x14ac:dyDescent="0.35">
      <c r="A23" t="s">
        <v>42</v>
      </c>
      <c r="B23" t="s">
        <v>43</v>
      </c>
      <c r="C23" s="8" t="e">
        <f>_xlfn.IFNA(IF(_xlfn.XLOOKUP(A23,#REF!,#REF!)&lt;&gt;"",1,0),0)</f>
        <v>#REF!</v>
      </c>
    </row>
    <row r="24" spans="1:3" x14ac:dyDescent="0.35">
      <c r="A24" t="s">
        <v>44</v>
      </c>
      <c r="B24" t="s">
        <v>45</v>
      </c>
      <c r="C24" s="8" t="e">
        <f>_xlfn.IFNA(IF(_xlfn.XLOOKUP(A24,#REF!,#REF!)&lt;&gt;"",1,0),0)</f>
        <v>#REF!</v>
      </c>
    </row>
    <row r="25" spans="1:3" x14ac:dyDescent="0.35">
      <c r="A25" t="s">
        <v>46</v>
      </c>
      <c r="B25" t="s">
        <v>47</v>
      </c>
      <c r="C25" s="8" t="e">
        <f>_xlfn.IFNA(IF(_xlfn.XLOOKUP(A25,#REF!,#REF!)&lt;&gt;"",1,0),0)</f>
        <v>#REF!</v>
      </c>
    </row>
    <row r="26" spans="1:3" x14ac:dyDescent="0.35">
      <c r="A26" t="s">
        <v>48</v>
      </c>
      <c r="B26" t="s">
        <v>49</v>
      </c>
      <c r="C26" s="8" t="e">
        <f>_xlfn.IFNA(IF(_xlfn.XLOOKUP(A26,#REF!,#REF!)&lt;&gt;"",1,0),0)</f>
        <v>#REF!</v>
      </c>
    </row>
    <row r="27" spans="1:3" x14ac:dyDescent="0.35">
      <c r="A27" t="s">
        <v>50</v>
      </c>
      <c r="B27" t="s">
        <v>51</v>
      </c>
      <c r="C27" s="8" t="e">
        <f>_xlfn.IFNA(IF(_xlfn.XLOOKUP(A27,#REF!,#REF!)&lt;&gt;"",1,0),0)</f>
        <v>#REF!</v>
      </c>
    </row>
    <row r="28" spans="1:3" x14ac:dyDescent="0.35">
      <c r="A28" t="s">
        <v>52</v>
      </c>
      <c r="B28" t="s">
        <v>53</v>
      </c>
      <c r="C28" s="8" t="e">
        <f>_xlfn.IFNA(IF(_xlfn.XLOOKUP(A28,#REF!,#REF!)&lt;&gt;"",1,0),0)</f>
        <v>#REF!</v>
      </c>
    </row>
    <row r="29" spans="1:3" x14ac:dyDescent="0.35">
      <c r="A29" t="s">
        <v>54</v>
      </c>
      <c r="B29" t="s">
        <v>55</v>
      </c>
      <c r="C29" s="8" t="e">
        <f>_xlfn.IFNA(IF(_xlfn.XLOOKUP(A29,#REF!,#REF!)&lt;&gt;"",1,0),0)</f>
        <v>#REF!</v>
      </c>
    </row>
    <row r="30" spans="1:3" x14ac:dyDescent="0.35">
      <c r="A30" t="s">
        <v>56</v>
      </c>
      <c r="B30" t="s">
        <v>57</v>
      </c>
      <c r="C30" s="8" t="e">
        <f>_xlfn.IFNA(IF(_xlfn.XLOOKUP(A30,#REF!,#REF!)&lt;&gt;"",1,0),0)</f>
        <v>#REF!</v>
      </c>
    </row>
    <row r="31" spans="1:3" x14ac:dyDescent="0.35">
      <c r="A31" t="s">
        <v>58</v>
      </c>
      <c r="B31" t="s">
        <v>59</v>
      </c>
      <c r="C31" s="8" t="e">
        <f>_xlfn.IFNA(IF(_xlfn.XLOOKUP(A31,#REF!,#REF!)&lt;&gt;"",1,0),0)</f>
        <v>#REF!</v>
      </c>
    </row>
    <row r="32" spans="1:3" x14ac:dyDescent="0.35">
      <c r="A32" t="s">
        <v>60</v>
      </c>
      <c r="B32" t="s">
        <v>61</v>
      </c>
      <c r="C32" s="8" t="e">
        <f>_xlfn.IFNA(IF(_xlfn.XLOOKUP(A32,#REF!,#REF!)&lt;&gt;"",1,0),0)</f>
        <v>#REF!</v>
      </c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2B6E-DB0A-4CF9-85B2-703C5168ECBD}">
  <dimension ref="A1:D273"/>
  <sheetViews>
    <sheetView workbookViewId="0">
      <selection activeCell="E5" sqref="E5"/>
    </sheetView>
  </sheetViews>
  <sheetFormatPr defaultRowHeight="14.5" x14ac:dyDescent="0.35"/>
  <cols>
    <col min="1" max="1" width="4.36328125" style="5" bestFit="1" customWidth="1"/>
    <col min="2" max="2" width="61.90625" style="5" customWidth="1"/>
    <col min="3" max="3" width="12.453125" style="5" bestFit="1" customWidth="1"/>
    <col min="4" max="4" width="67.36328125" style="5" customWidth="1"/>
  </cols>
  <sheetData>
    <row r="1" spans="1:4" x14ac:dyDescent="0.35">
      <c r="A1" s="5" t="s">
        <v>335</v>
      </c>
      <c r="B1" s="5" t="s">
        <v>336</v>
      </c>
      <c r="C1" s="5" t="s">
        <v>337</v>
      </c>
      <c r="D1" s="5" t="s">
        <v>334</v>
      </c>
    </row>
    <row r="2" spans="1:4" x14ac:dyDescent="0.35">
      <c r="A2" s="5" t="str">
        <f t="shared" ref="A2:A65" si="0">LEFT(D2,4)</f>
        <v>01.1</v>
      </c>
      <c r="B2" s="5" t="str">
        <f>SUBSTITUTE(SUBSTITUTE(D2,A2&amp;" ",""),RIGHT(D2,5),"")</f>
        <v>Growing of non-perennial crops</v>
      </c>
      <c r="C2" s="5" t="b">
        <f>ISNUMBER(MATCH(A2, #REF!, 0))</f>
        <v>0</v>
      </c>
      <c r="D2" s="5" t="s">
        <v>62</v>
      </c>
    </row>
    <row r="3" spans="1:4" x14ac:dyDescent="0.35">
      <c r="A3" s="5" t="str">
        <f t="shared" si="0"/>
        <v>01.2</v>
      </c>
      <c r="B3" s="5" t="str">
        <f t="shared" ref="B3:B66" si="1">SUBSTITUTE(SUBSTITUTE(D3,A3&amp;" ",""),RIGHT(D3,5),"")</f>
        <v>Growing of perennial crops</v>
      </c>
      <c r="C3" s="5" t="b">
        <f>ISNUMBER(MATCH(A3, #REF!, 0))</f>
        <v>0</v>
      </c>
      <c r="D3" s="5" t="s">
        <v>63</v>
      </c>
    </row>
    <row r="4" spans="1:4" x14ac:dyDescent="0.35">
      <c r="A4" s="5" t="str">
        <f t="shared" si="0"/>
        <v>01.3</v>
      </c>
      <c r="B4" s="5" t="str">
        <f t="shared" si="1"/>
        <v>Plant propagation</v>
      </c>
      <c r="C4" s="5" t="b">
        <f>ISNUMBER(MATCH(A4, #REF!, 0))</f>
        <v>0</v>
      </c>
      <c r="D4" s="5" t="s">
        <v>64</v>
      </c>
    </row>
    <row r="5" spans="1:4" x14ac:dyDescent="0.35">
      <c r="A5" s="5" t="str">
        <f t="shared" si="0"/>
        <v>01.4</v>
      </c>
      <c r="B5" s="5" t="str">
        <f t="shared" si="1"/>
        <v>Animal production</v>
      </c>
      <c r="C5" s="5" t="b">
        <f>ISNUMBER(MATCH(A5, #REF!, 0))</f>
        <v>0</v>
      </c>
      <c r="D5" s="5" t="s">
        <v>65</v>
      </c>
    </row>
    <row r="6" spans="1:4" x14ac:dyDescent="0.35">
      <c r="A6" s="5" t="str">
        <f t="shared" si="0"/>
        <v>01.5</v>
      </c>
      <c r="B6" s="5" t="str">
        <f t="shared" si="1"/>
        <v>Mixed farming</v>
      </c>
      <c r="C6" s="5" t="b">
        <f>ISNUMBER(MATCH(A6, #REF!, 0))</f>
        <v>0</v>
      </c>
      <c r="D6" s="5" t="s">
        <v>66</v>
      </c>
    </row>
    <row r="7" spans="1:4" x14ac:dyDescent="0.35">
      <c r="A7" s="5" t="str">
        <f t="shared" si="0"/>
        <v>01.6</v>
      </c>
      <c r="B7" s="5" t="str">
        <f t="shared" si="1"/>
        <v>Support activities to agriculture and post-harvest crop activities</v>
      </c>
      <c r="C7" s="5" t="b">
        <f>ISNUMBER(MATCH(A7, #REF!, 0))</f>
        <v>0</v>
      </c>
      <c r="D7" s="5" t="s">
        <v>67</v>
      </c>
    </row>
    <row r="8" spans="1:4" x14ac:dyDescent="0.35">
      <c r="A8" s="5" t="str">
        <f t="shared" si="0"/>
        <v>01.7</v>
      </c>
      <c r="B8" s="5" t="str">
        <f t="shared" si="1"/>
        <v>Hunting, trapping and related service activities</v>
      </c>
      <c r="C8" s="5" t="b">
        <f>ISNUMBER(MATCH(A8, #REF!, 0))</f>
        <v>0</v>
      </c>
      <c r="D8" s="5" t="s">
        <v>68</v>
      </c>
    </row>
    <row r="9" spans="1:4" x14ac:dyDescent="0.35">
      <c r="A9" s="5" t="str">
        <f t="shared" si="0"/>
        <v>02.1</v>
      </c>
      <c r="B9" s="5" t="str">
        <f t="shared" si="1"/>
        <v>Silviculture and other forestry activities</v>
      </c>
      <c r="C9" s="5" t="b">
        <f>ISNUMBER(MATCH(A9, #REF!, 0))</f>
        <v>0</v>
      </c>
      <c r="D9" s="5" t="s">
        <v>69</v>
      </c>
    </row>
    <row r="10" spans="1:4" x14ac:dyDescent="0.35">
      <c r="A10" s="5" t="str">
        <f t="shared" si="0"/>
        <v>02.2</v>
      </c>
      <c r="B10" s="5" t="str">
        <f t="shared" si="1"/>
        <v>Logging</v>
      </c>
      <c r="C10" s="5" t="b">
        <f>ISNUMBER(MATCH(A10, #REF!, 0))</f>
        <v>0</v>
      </c>
      <c r="D10" s="5" t="s">
        <v>70</v>
      </c>
    </row>
    <row r="11" spans="1:4" x14ac:dyDescent="0.35">
      <c r="A11" s="5" t="str">
        <f t="shared" si="0"/>
        <v>02.3</v>
      </c>
      <c r="B11" s="5" t="str">
        <f t="shared" si="1"/>
        <v>Gathering of wild growing non-wood products</v>
      </c>
      <c r="C11" s="5" t="b">
        <f>ISNUMBER(MATCH(A11, #REF!, 0))</f>
        <v>0</v>
      </c>
      <c r="D11" s="5" t="s">
        <v>71</v>
      </c>
    </row>
    <row r="12" spans="1:4" x14ac:dyDescent="0.35">
      <c r="A12" s="5" t="str">
        <f t="shared" si="0"/>
        <v>02.4</v>
      </c>
      <c r="B12" s="5" t="str">
        <f t="shared" si="1"/>
        <v>Support services to forestry</v>
      </c>
      <c r="C12" s="5" t="b">
        <f>ISNUMBER(MATCH(A12, #REF!, 0))</f>
        <v>0</v>
      </c>
      <c r="D12" s="5" t="s">
        <v>72</v>
      </c>
    </row>
    <row r="13" spans="1:4" x14ac:dyDescent="0.35">
      <c r="A13" s="5" t="str">
        <f t="shared" si="0"/>
        <v>03.1</v>
      </c>
      <c r="B13" s="5" t="str">
        <f t="shared" si="1"/>
        <v>Fishing</v>
      </c>
      <c r="C13" s="5" t="b">
        <f>ISNUMBER(MATCH(A13, #REF!, 0))</f>
        <v>0</v>
      </c>
      <c r="D13" s="5" t="s">
        <v>73</v>
      </c>
    </row>
    <row r="14" spans="1:4" x14ac:dyDescent="0.35">
      <c r="A14" s="5" t="str">
        <f t="shared" si="0"/>
        <v>03.2</v>
      </c>
      <c r="B14" s="5" t="str">
        <f t="shared" si="1"/>
        <v>Aquaculture</v>
      </c>
      <c r="C14" s="5" t="b">
        <f>ISNUMBER(MATCH(A14, #REF!, 0))</f>
        <v>0</v>
      </c>
      <c r="D14" s="5" t="s">
        <v>74</v>
      </c>
    </row>
    <row r="15" spans="1:4" x14ac:dyDescent="0.35">
      <c r="A15" s="5" t="str">
        <f t="shared" si="0"/>
        <v>05.1</v>
      </c>
      <c r="B15" s="5" t="str">
        <f t="shared" si="1"/>
        <v>Mining of hard coal</v>
      </c>
      <c r="C15" s="5" t="b">
        <f>ISNUMBER(MATCH(A15, #REF!, 0))</f>
        <v>0</v>
      </c>
      <c r="D15" s="5" t="s">
        <v>75</v>
      </c>
    </row>
    <row r="16" spans="1:4" x14ac:dyDescent="0.35">
      <c r="A16" s="5" t="str">
        <f t="shared" si="0"/>
        <v>05.2</v>
      </c>
      <c r="B16" s="5" t="str">
        <f t="shared" si="1"/>
        <v>Mining of lignite</v>
      </c>
      <c r="C16" s="5" t="b">
        <f>ISNUMBER(MATCH(A16, #REF!, 0))</f>
        <v>0</v>
      </c>
      <c r="D16" s="5" t="s">
        <v>76</v>
      </c>
    </row>
    <row r="17" spans="1:4" x14ac:dyDescent="0.35">
      <c r="A17" s="5" t="str">
        <f t="shared" si="0"/>
        <v>06.1</v>
      </c>
      <c r="B17" s="5" t="str">
        <f t="shared" si="1"/>
        <v>Extraction of crude petroleum</v>
      </c>
      <c r="C17" s="5" t="b">
        <f>ISNUMBER(MATCH(A17, #REF!, 0))</f>
        <v>0</v>
      </c>
      <c r="D17" s="5" t="s">
        <v>77</v>
      </c>
    </row>
    <row r="18" spans="1:4" x14ac:dyDescent="0.35">
      <c r="A18" s="5" t="str">
        <f t="shared" si="0"/>
        <v>06.2</v>
      </c>
      <c r="B18" s="5" t="str">
        <f t="shared" si="1"/>
        <v>Extraction of natural gas</v>
      </c>
      <c r="C18" s="5" t="b">
        <f>ISNUMBER(MATCH(A18, #REF!, 0))</f>
        <v>0</v>
      </c>
      <c r="D18" s="5" t="s">
        <v>78</v>
      </c>
    </row>
    <row r="19" spans="1:4" x14ac:dyDescent="0.35">
      <c r="A19" s="5" t="str">
        <f t="shared" si="0"/>
        <v>07.1</v>
      </c>
      <c r="B19" s="5" t="str">
        <f t="shared" si="1"/>
        <v>Mining of iron ores</v>
      </c>
      <c r="C19" s="5" t="b">
        <f>ISNUMBER(MATCH(A19, #REF!, 0))</f>
        <v>0</v>
      </c>
      <c r="D19" s="5" t="s">
        <v>79</v>
      </c>
    </row>
    <row r="20" spans="1:4" x14ac:dyDescent="0.35">
      <c r="A20" s="5" t="str">
        <f t="shared" si="0"/>
        <v>07.2</v>
      </c>
      <c r="B20" s="5" t="str">
        <f t="shared" si="1"/>
        <v>Mining of non-ferrous metal ores</v>
      </c>
      <c r="C20" s="5" t="b">
        <f>ISNUMBER(MATCH(A20, #REF!, 0))</f>
        <v>0</v>
      </c>
      <c r="D20" s="5" t="s">
        <v>80</v>
      </c>
    </row>
    <row r="21" spans="1:4" x14ac:dyDescent="0.35">
      <c r="A21" s="5" t="str">
        <f t="shared" si="0"/>
        <v>08.1</v>
      </c>
      <c r="B21" s="5" t="str">
        <f t="shared" si="1"/>
        <v>Quarrying of stone, sand and clay</v>
      </c>
      <c r="C21" s="5" t="b">
        <f>ISNUMBER(MATCH(A21, #REF!, 0))</f>
        <v>0</v>
      </c>
      <c r="D21" s="5" t="s">
        <v>81</v>
      </c>
    </row>
    <row r="22" spans="1:4" x14ac:dyDescent="0.35">
      <c r="A22" s="5" t="str">
        <f t="shared" si="0"/>
        <v>08.9</v>
      </c>
      <c r="B22" s="5" t="str">
        <f t="shared" si="1"/>
        <v>Mining and quarrying n.e.c.</v>
      </c>
      <c r="C22" s="5" t="b">
        <f>ISNUMBER(MATCH(A22, #REF!, 0))</f>
        <v>0</v>
      </c>
      <c r="D22" s="5" t="s">
        <v>82</v>
      </c>
    </row>
    <row r="23" spans="1:4" x14ac:dyDescent="0.35">
      <c r="A23" s="5" t="str">
        <f t="shared" si="0"/>
        <v>09.1</v>
      </c>
      <c r="B23" s="5" t="str">
        <f t="shared" si="1"/>
        <v>Support activities for petroleum and natural gas extraction</v>
      </c>
      <c r="C23" s="5" t="b">
        <f>ISNUMBER(MATCH(A23, #REF!, 0))</f>
        <v>0</v>
      </c>
      <c r="D23" s="5" t="s">
        <v>83</v>
      </c>
    </row>
    <row r="24" spans="1:4" x14ac:dyDescent="0.35">
      <c r="A24" s="5" t="str">
        <f t="shared" si="0"/>
        <v>09.9</v>
      </c>
      <c r="B24" s="5" t="str">
        <f t="shared" si="1"/>
        <v>Support activities for other mining and quarrying</v>
      </c>
      <c r="C24" s="5" t="b">
        <f>ISNUMBER(MATCH(A24, #REF!, 0))</f>
        <v>0</v>
      </c>
      <c r="D24" s="5" t="s">
        <v>84</v>
      </c>
    </row>
    <row r="25" spans="1:4" x14ac:dyDescent="0.35">
      <c r="A25" s="5" t="str">
        <f t="shared" si="0"/>
        <v>10.1</v>
      </c>
      <c r="B25" s="5" t="str">
        <f t="shared" si="1"/>
        <v>Processing and preserving of meat and production of meat products</v>
      </c>
      <c r="C25" s="5" t="b">
        <f>ISNUMBER(MATCH(A25, #REF!, 0))</f>
        <v>0</v>
      </c>
      <c r="D25" s="5" t="s">
        <v>85</v>
      </c>
    </row>
    <row r="26" spans="1:4" x14ac:dyDescent="0.35">
      <c r="A26" s="5" t="str">
        <f t="shared" si="0"/>
        <v>10.2</v>
      </c>
      <c r="B26" s="5" t="str">
        <f t="shared" si="1"/>
        <v>Processing and preserving of fish, crustaceans and molluscs</v>
      </c>
      <c r="C26" s="5" t="b">
        <f>ISNUMBER(MATCH(A26, #REF!, 0))</f>
        <v>0</v>
      </c>
      <c r="D26" s="5" t="s">
        <v>86</v>
      </c>
    </row>
    <row r="27" spans="1:4" x14ac:dyDescent="0.35">
      <c r="A27" s="5" t="str">
        <f t="shared" si="0"/>
        <v>10.3</v>
      </c>
      <c r="B27" s="5" t="str">
        <f t="shared" si="1"/>
        <v>Processing and preserving of fruit and vegetables</v>
      </c>
      <c r="C27" s="5" t="b">
        <f>ISNUMBER(MATCH(A27, #REF!, 0))</f>
        <v>0</v>
      </c>
      <c r="D27" s="5" t="s">
        <v>87</v>
      </c>
    </row>
    <row r="28" spans="1:4" x14ac:dyDescent="0.35">
      <c r="A28" s="5" t="str">
        <f t="shared" si="0"/>
        <v>10.4</v>
      </c>
      <c r="B28" s="5" t="str">
        <f t="shared" si="1"/>
        <v>Manufacture of vegetable and animal oils and fats</v>
      </c>
      <c r="C28" s="5" t="b">
        <f>ISNUMBER(MATCH(A28, #REF!, 0))</f>
        <v>0</v>
      </c>
      <c r="D28" s="5" t="s">
        <v>88</v>
      </c>
    </row>
    <row r="29" spans="1:4" x14ac:dyDescent="0.35">
      <c r="A29" s="5" t="str">
        <f t="shared" si="0"/>
        <v>10.5</v>
      </c>
      <c r="B29" s="5" t="str">
        <f t="shared" si="1"/>
        <v>Manufacture of dairy products</v>
      </c>
      <c r="C29" s="5" t="b">
        <f>ISNUMBER(MATCH(A29, #REF!, 0))</f>
        <v>0</v>
      </c>
      <c r="D29" s="5" t="s">
        <v>89</v>
      </c>
    </row>
    <row r="30" spans="1:4" x14ac:dyDescent="0.35">
      <c r="A30" s="5" t="str">
        <f t="shared" si="0"/>
        <v>10.6</v>
      </c>
      <c r="B30" s="5" t="str">
        <f t="shared" si="1"/>
        <v>Manufacture of grain mill products, starches and starch products</v>
      </c>
      <c r="C30" s="5" t="b">
        <f>ISNUMBER(MATCH(A30, #REF!, 0))</f>
        <v>0</v>
      </c>
      <c r="D30" s="5" t="s">
        <v>90</v>
      </c>
    </row>
    <row r="31" spans="1:4" x14ac:dyDescent="0.35">
      <c r="A31" s="5" t="str">
        <f t="shared" si="0"/>
        <v>10.7</v>
      </c>
      <c r="B31" s="5" t="str">
        <f t="shared" si="1"/>
        <v>Manufacture of bakery and farinaceous products</v>
      </c>
      <c r="C31" s="5" t="b">
        <f>ISNUMBER(MATCH(A31, #REF!, 0))</f>
        <v>0</v>
      </c>
      <c r="D31" s="5" t="s">
        <v>91</v>
      </c>
    </row>
    <row r="32" spans="1:4" x14ac:dyDescent="0.35">
      <c r="A32" s="5" t="str">
        <f t="shared" si="0"/>
        <v>10.8</v>
      </c>
      <c r="B32" s="5" t="str">
        <f t="shared" si="1"/>
        <v>Manufacture of other food products</v>
      </c>
      <c r="C32" s="5" t="b">
        <f>ISNUMBER(MATCH(A32, #REF!, 0))</f>
        <v>0</v>
      </c>
      <c r="D32" s="5" t="s">
        <v>92</v>
      </c>
    </row>
    <row r="33" spans="1:4" x14ac:dyDescent="0.35">
      <c r="A33" s="5" t="str">
        <f t="shared" si="0"/>
        <v>10.9</v>
      </c>
      <c r="B33" s="5" t="str">
        <f t="shared" si="1"/>
        <v>Manufacture of prepared animal feeds</v>
      </c>
      <c r="C33" s="5" t="b">
        <f>ISNUMBER(MATCH(A33, #REF!, 0))</f>
        <v>0</v>
      </c>
      <c r="D33" s="5" t="s">
        <v>93</v>
      </c>
    </row>
    <row r="34" spans="1:4" x14ac:dyDescent="0.35">
      <c r="A34" s="5" t="str">
        <f t="shared" si="0"/>
        <v>11.0</v>
      </c>
      <c r="B34" s="5" t="str">
        <f t="shared" si="1"/>
        <v>Manufacture of beverages</v>
      </c>
      <c r="C34" s="5" t="b">
        <f>ISNUMBER(MATCH(A34, #REF!, 0))</f>
        <v>0</v>
      </c>
      <c r="D34" s="5" t="s">
        <v>94</v>
      </c>
    </row>
    <row r="35" spans="1:4" x14ac:dyDescent="0.35">
      <c r="A35" s="5" t="str">
        <f t="shared" si="0"/>
        <v>12.0</v>
      </c>
      <c r="B35" s="5" t="str">
        <f t="shared" si="1"/>
        <v>Manufacture of tobacco products</v>
      </c>
      <c r="C35" s="5" t="b">
        <f>ISNUMBER(MATCH(A35, #REF!, 0))</f>
        <v>0</v>
      </c>
      <c r="D35" s="5" t="s">
        <v>95</v>
      </c>
    </row>
    <row r="36" spans="1:4" x14ac:dyDescent="0.35">
      <c r="A36" s="5" t="str">
        <f t="shared" si="0"/>
        <v>13.1</v>
      </c>
      <c r="B36" s="5" t="str">
        <f t="shared" si="1"/>
        <v>Preparation and spinning of textile fibres</v>
      </c>
      <c r="C36" s="5" t="b">
        <f>ISNUMBER(MATCH(A36, #REF!, 0))</f>
        <v>0</v>
      </c>
      <c r="D36" s="5" t="s">
        <v>96</v>
      </c>
    </row>
    <row r="37" spans="1:4" x14ac:dyDescent="0.35">
      <c r="A37" s="5" t="str">
        <f t="shared" si="0"/>
        <v>13.2</v>
      </c>
      <c r="B37" s="5" t="str">
        <f t="shared" si="1"/>
        <v>Weaving of textiles</v>
      </c>
      <c r="C37" s="5" t="b">
        <f>ISNUMBER(MATCH(A37, #REF!, 0))</f>
        <v>0</v>
      </c>
      <c r="D37" s="5" t="s">
        <v>97</v>
      </c>
    </row>
    <row r="38" spans="1:4" x14ac:dyDescent="0.35">
      <c r="A38" s="5" t="str">
        <f t="shared" si="0"/>
        <v>13.3</v>
      </c>
      <c r="B38" s="5" t="str">
        <f t="shared" si="1"/>
        <v>Finishing of textiles</v>
      </c>
      <c r="C38" s="5" t="b">
        <f>ISNUMBER(MATCH(A38, #REF!, 0))</f>
        <v>0</v>
      </c>
      <c r="D38" s="5" t="s">
        <v>98</v>
      </c>
    </row>
    <row r="39" spans="1:4" x14ac:dyDescent="0.35">
      <c r="A39" s="5" t="str">
        <f t="shared" si="0"/>
        <v>13.9</v>
      </c>
      <c r="B39" s="5" t="str">
        <f t="shared" si="1"/>
        <v>Manufacture of other textiles</v>
      </c>
      <c r="C39" s="5" t="b">
        <f>ISNUMBER(MATCH(A39, #REF!, 0))</f>
        <v>0</v>
      </c>
      <c r="D39" s="5" t="s">
        <v>99</v>
      </c>
    </row>
    <row r="40" spans="1:4" x14ac:dyDescent="0.35">
      <c r="A40" s="5" t="str">
        <f t="shared" si="0"/>
        <v>14.1</v>
      </c>
      <c r="B40" s="5" t="str">
        <f t="shared" si="1"/>
        <v>Manufacture of wearing apparel, except fur apparel</v>
      </c>
      <c r="C40" s="5" t="b">
        <f>ISNUMBER(MATCH(A40, #REF!, 0))</f>
        <v>0</v>
      </c>
      <c r="D40" s="5" t="s">
        <v>100</v>
      </c>
    </row>
    <row r="41" spans="1:4" x14ac:dyDescent="0.35">
      <c r="A41" s="5" t="str">
        <f t="shared" si="0"/>
        <v>14.2</v>
      </c>
      <c r="B41" s="5" t="str">
        <f t="shared" si="1"/>
        <v>Manufacture of articles of fur</v>
      </c>
      <c r="C41" s="5" t="b">
        <f>ISNUMBER(MATCH(A41, #REF!, 0))</f>
        <v>0</v>
      </c>
      <c r="D41" s="5" t="s">
        <v>101</v>
      </c>
    </row>
    <row r="42" spans="1:4" x14ac:dyDescent="0.35">
      <c r="A42" s="5" t="str">
        <f t="shared" si="0"/>
        <v>14.3</v>
      </c>
      <c r="B42" s="5" t="str">
        <f t="shared" si="1"/>
        <v>Manufacture of knitted and crocheted apparel</v>
      </c>
      <c r="C42" s="5" t="b">
        <f>ISNUMBER(MATCH(A42, #REF!, 0))</f>
        <v>0</v>
      </c>
      <c r="D42" s="5" t="s">
        <v>102</v>
      </c>
    </row>
    <row r="43" spans="1:4" x14ac:dyDescent="0.35">
      <c r="A43" s="5" t="str">
        <f t="shared" si="0"/>
        <v>15.1</v>
      </c>
      <c r="B43" s="5" t="str">
        <f t="shared" si="1"/>
        <v>Tanning and dressing of leather; manufacture of luggage, handbags, saddlery and harness; dressing and dyeing of fur</v>
      </c>
      <c r="C43" s="5" t="b">
        <f>ISNUMBER(MATCH(A43, #REF!, 0))</f>
        <v>0</v>
      </c>
      <c r="D43" s="5" t="s">
        <v>103</v>
      </c>
    </row>
    <row r="44" spans="1:4" x14ac:dyDescent="0.35">
      <c r="A44" s="5" t="str">
        <f t="shared" si="0"/>
        <v>15.2</v>
      </c>
      <c r="B44" s="5" t="str">
        <f t="shared" si="1"/>
        <v>Manufacture of footwear</v>
      </c>
      <c r="C44" s="5" t="b">
        <f>ISNUMBER(MATCH(A44, #REF!, 0))</f>
        <v>0</v>
      </c>
      <c r="D44" s="5" t="s">
        <v>104</v>
      </c>
    </row>
    <row r="45" spans="1:4" x14ac:dyDescent="0.35">
      <c r="A45" s="5" t="str">
        <f t="shared" si="0"/>
        <v>16.1</v>
      </c>
      <c r="B45" s="5" t="str">
        <f t="shared" si="1"/>
        <v>Sawmilling and planing of wood</v>
      </c>
      <c r="C45" s="5" t="b">
        <f>ISNUMBER(MATCH(A45, #REF!, 0))</f>
        <v>0</v>
      </c>
      <c r="D45" s="5" t="s">
        <v>105</v>
      </c>
    </row>
    <row r="46" spans="1:4" x14ac:dyDescent="0.35">
      <c r="A46" s="5" t="str">
        <f t="shared" si="0"/>
        <v>16.2</v>
      </c>
      <c r="B46" s="5" t="str">
        <f t="shared" si="1"/>
        <v>Manufacture of products of wood, cork, straw and plaiting materials</v>
      </c>
      <c r="C46" s="5" t="b">
        <f>ISNUMBER(MATCH(A46, #REF!, 0))</f>
        <v>0</v>
      </c>
      <c r="D46" s="5" t="s">
        <v>106</v>
      </c>
    </row>
    <row r="47" spans="1:4" x14ac:dyDescent="0.35">
      <c r="A47" s="5" t="str">
        <f t="shared" si="0"/>
        <v>17.1</v>
      </c>
      <c r="B47" s="5" t="str">
        <f t="shared" si="1"/>
        <v>Manufacture of pulp, paper and paperboard</v>
      </c>
      <c r="C47" s="5" t="b">
        <f>ISNUMBER(MATCH(A47, #REF!, 0))</f>
        <v>0</v>
      </c>
      <c r="D47" s="5" t="s">
        <v>107</v>
      </c>
    </row>
    <row r="48" spans="1:4" x14ac:dyDescent="0.35">
      <c r="A48" s="5" t="str">
        <f t="shared" si="0"/>
        <v>17.2</v>
      </c>
      <c r="B48" s="5" t="str">
        <f t="shared" si="1"/>
        <v>Manufacture of articles of paper and paperboard</v>
      </c>
      <c r="C48" s="5" t="b">
        <f>ISNUMBER(MATCH(A48, #REF!, 0))</f>
        <v>0</v>
      </c>
      <c r="D48" s="5" t="s">
        <v>108</v>
      </c>
    </row>
    <row r="49" spans="1:4" x14ac:dyDescent="0.35">
      <c r="A49" s="5" t="str">
        <f t="shared" si="0"/>
        <v>18.1</v>
      </c>
      <c r="B49" s="5" t="str">
        <f t="shared" si="1"/>
        <v>Printing and service activities related to printing</v>
      </c>
      <c r="C49" s="5" t="b">
        <f>ISNUMBER(MATCH(A49, #REF!, 0))</f>
        <v>0</v>
      </c>
      <c r="D49" s="5" t="s">
        <v>109</v>
      </c>
    </row>
    <row r="50" spans="1:4" x14ac:dyDescent="0.35">
      <c r="A50" s="5" t="str">
        <f t="shared" si="0"/>
        <v>18.2</v>
      </c>
      <c r="B50" s="5" t="str">
        <f t="shared" si="1"/>
        <v>Reproduction of recorded media</v>
      </c>
      <c r="C50" s="5" t="b">
        <f>ISNUMBER(MATCH(A50, #REF!, 0))</f>
        <v>0</v>
      </c>
      <c r="D50" s="5" t="s">
        <v>110</v>
      </c>
    </row>
    <row r="51" spans="1:4" x14ac:dyDescent="0.35">
      <c r="A51" s="5" t="str">
        <f t="shared" si="0"/>
        <v>19.1</v>
      </c>
      <c r="B51" s="5" t="str">
        <f t="shared" si="1"/>
        <v>Manufacture of coke oven products</v>
      </c>
      <c r="C51" s="5" t="b">
        <f>ISNUMBER(MATCH(A51, #REF!, 0))</f>
        <v>0</v>
      </c>
      <c r="D51" s="5" t="s">
        <v>111</v>
      </c>
    </row>
    <row r="52" spans="1:4" x14ac:dyDescent="0.35">
      <c r="A52" s="5" t="str">
        <f t="shared" si="0"/>
        <v>19.2</v>
      </c>
      <c r="B52" s="5" t="str">
        <f t="shared" si="1"/>
        <v>Manufacture of refined petroleum products</v>
      </c>
      <c r="C52" s="5" t="b">
        <f>ISNUMBER(MATCH(A52, #REF!, 0))</f>
        <v>0</v>
      </c>
      <c r="D52" s="5" t="s">
        <v>112</v>
      </c>
    </row>
    <row r="53" spans="1:4" x14ac:dyDescent="0.35">
      <c r="A53" s="5" t="str">
        <f t="shared" si="0"/>
        <v>20.1</v>
      </c>
      <c r="B53" s="5" t="str">
        <f t="shared" si="1"/>
        <v>Manufacture of basic chemicals, fertilisers and nitrogen compounds, plastics and synthetic rubber in primary forms</v>
      </c>
      <c r="C53" s="5" t="b">
        <f>ISNUMBER(MATCH(A53, #REF!, 0))</f>
        <v>0</v>
      </c>
      <c r="D53" s="5" t="s">
        <v>113</v>
      </c>
    </row>
    <row r="54" spans="1:4" x14ac:dyDescent="0.35">
      <c r="A54" s="5" t="str">
        <f t="shared" si="0"/>
        <v>20.2</v>
      </c>
      <c r="B54" s="5" t="str">
        <f t="shared" si="1"/>
        <v>Manufacture of pesticides and other agrochemical products</v>
      </c>
      <c r="C54" s="5" t="b">
        <f>ISNUMBER(MATCH(A54, #REF!, 0))</f>
        <v>0</v>
      </c>
      <c r="D54" s="5" t="s">
        <v>114</v>
      </c>
    </row>
    <row r="55" spans="1:4" x14ac:dyDescent="0.35">
      <c r="A55" s="5" t="str">
        <f t="shared" si="0"/>
        <v>20.3</v>
      </c>
      <c r="B55" s="5" t="str">
        <f t="shared" si="1"/>
        <v>Manufacture of paints, varnishes and similar coatings, printing ink and mastics</v>
      </c>
      <c r="C55" s="5" t="b">
        <f>ISNUMBER(MATCH(A55, #REF!, 0))</f>
        <v>0</v>
      </c>
      <c r="D55" s="5" t="s">
        <v>115</v>
      </c>
    </row>
    <row r="56" spans="1:4" x14ac:dyDescent="0.35">
      <c r="A56" s="5" t="str">
        <f t="shared" si="0"/>
        <v>20.4</v>
      </c>
      <c r="B56" s="5" t="str">
        <f t="shared" si="1"/>
        <v>Manufacture of soap and detergents, cleaning and polishing preparations, perfumes and toilet preparations</v>
      </c>
      <c r="C56" s="5" t="b">
        <f>ISNUMBER(MATCH(A56, #REF!, 0))</f>
        <v>0</v>
      </c>
      <c r="D56" s="5" t="s">
        <v>116</v>
      </c>
    </row>
    <row r="57" spans="1:4" x14ac:dyDescent="0.35">
      <c r="A57" s="5" t="str">
        <f t="shared" si="0"/>
        <v>20.5</v>
      </c>
      <c r="B57" s="5" t="str">
        <f t="shared" si="1"/>
        <v>Manufacture of other chemical products</v>
      </c>
      <c r="C57" s="5" t="b">
        <f>ISNUMBER(MATCH(A57, #REF!, 0))</f>
        <v>0</v>
      </c>
      <c r="D57" s="5" t="s">
        <v>117</v>
      </c>
    </row>
    <row r="58" spans="1:4" x14ac:dyDescent="0.35">
      <c r="A58" s="5" t="str">
        <f t="shared" si="0"/>
        <v>20.6</v>
      </c>
      <c r="B58" s="5" t="str">
        <f t="shared" si="1"/>
        <v>Manufacture of man-made fibres</v>
      </c>
      <c r="C58" s="5" t="b">
        <f>ISNUMBER(MATCH(A58, #REF!, 0))</f>
        <v>0</v>
      </c>
      <c r="D58" s="5" t="s">
        <v>118</v>
      </c>
    </row>
    <row r="59" spans="1:4" x14ac:dyDescent="0.35">
      <c r="A59" s="5" t="str">
        <f t="shared" si="0"/>
        <v>21.1</v>
      </c>
      <c r="B59" s="5" t="str">
        <f t="shared" si="1"/>
        <v>Manufacture of basic pharmaceutical products</v>
      </c>
      <c r="C59" s="5" t="b">
        <f>ISNUMBER(MATCH(A59, #REF!, 0))</f>
        <v>0</v>
      </c>
      <c r="D59" s="5" t="s">
        <v>119</v>
      </c>
    </row>
    <row r="60" spans="1:4" x14ac:dyDescent="0.35">
      <c r="A60" s="5" t="str">
        <f t="shared" si="0"/>
        <v>21.2</v>
      </c>
      <c r="B60" s="5" t="str">
        <f t="shared" si="1"/>
        <v>Manufacture of pharmaceutical preparations</v>
      </c>
      <c r="C60" s="5" t="b">
        <f>ISNUMBER(MATCH(A60, #REF!, 0))</f>
        <v>0</v>
      </c>
      <c r="D60" s="5" t="s">
        <v>120</v>
      </c>
    </row>
    <row r="61" spans="1:4" x14ac:dyDescent="0.35">
      <c r="A61" s="5" t="str">
        <f t="shared" si="0"/>
        <v>22.1</v>
      </c>
      <c r="B61" s="5" t="str">
        <f t="shared" si="1"/>
        <v>Manufacture of rubber products</v>
      </c>
      <c r="C61" s="5" t="b">
        <f>ISNUMBER(MATCH(A61, #REF!, 0))</f>
        <v>0</v>
      </c>
      <c r="D61" s="5" t="s">
        <v>121</v>
      </c>
    </row>
    <row r="62" spans="1:4" x14ac:dyDescent="0.35">
      <c r="A62" s="5" t="str">
        <f t="shared" si="0"/>
        <v>22.2</v>
      </c>
      <c r="B62" s="5" t="str">
        <f t="shared" si="1"/>
        <v>Manufacture of plastic products</v>
      </c>
      <c r="C62" s="5" t="b">
        <f>ISNUMBER(MATCH(A62, #REF!, 0))</f>
        <v>0</v>
      </c>
      <c r="D62" s="5" t="s">
        <v>122</v>
      </c>
    </row>
    <row r="63" spans="1:4" x14ac:dyDescent="0.35">
      <c r="A63" s="5" t="str">
        <f t="shared" si="0"/>
        <v>23.1</v>
      </c>
      <c r="B63" s="5" t="str">
        <f t="shared" si="1"/>
        <v>Manufacture of glass and glass products</v>
      </c>
      <c r="C63" s="5" t="b">
        <f>ISNUMBER(MATCH(A63, #REF!, 0))</f>
        <v>0</v>
      </c>
      <c r="D63" s="5" t="s">
        <v>123</v>
      </c>
    </row>
    <row r="64" spans="1:4" x14ac:dyDescent="0.35">
      <c r="A64" s="5" t="str">
        <f t="shared" si="0"/>
        <v>23.2</v>
      </c>
      <c r="B64" s="5" t="str">
        <f t="shared" si="1"/>
        <v>Manufacture of refractory products</v>
      </c>
      <c r="C64" s="5" t="b">
        <f>ISNUMBER(MATCH(A64, #REF!, 0))</f>
        <v>0</v>
      </c>
      <c r="D64" s="5" t="s">
        <v>124</v>
      </c>
    </row>
    <row r="65" spans="1:4" x14ac:dyDescent="0.35">
      <c r="A65" s="5" t="str">
        <f t="shared" si="0"/>
        <v>23.3</v>
      </c>
      <c r="B65" s="5" t="str">
        <f t="shared" si="1"/>
        <v>Manufacture of clay building materials</v>
      </c>
      <c r="C65" s="5" t="b">
        <f>ISNUMBER(MATCH(A65, #REF!, 0))</f>
        <v>0</v>
      </c>
      <c r="D65" s="5" t="s">
        <v>125</v>
      </c>
    </row>
    <row r="66" spans="1:4" x14ac:dyDescent="0.35">
      <c r="A66" s="5" t="str">
        <f t="shared" ref="A66:A129" si="2">LEFT(D66,4)</f>
        <v>23.4</v>
      </c>
      <c r="B66" s="5" t="str">
        <f t="shared" si="1"/>
        <v>Manufacture of other porcelain and ceramic products</v>
      </c>
      <c r="C66" s="5" t="b">
        <f>ISNUMBER(MATCH(A66, #REF!, 0))</f>
        <v>0</v>
      </c>
      <c r="D66" s="5" t="s">
        <v>126</v>
      </c>
    </row>
    <row r="67" spans="1:4" x14ac:dyDescent="0.35">
      <c r="A67" s="5" t="str">
        <f t="shared" si="2"/>
        <v>23.5</v>
      </c>
      <c r="B67" s="5" t="str">
        <f t="shared" ref="B67:B130" si="3">SUBSTITUTE(SUBSTITUTE(D67,A67&amp;" ",""),RIGHT(D67,5),"")</f>
        <v>Manufacture of cement, lime and plaster</v>
      </c>
      <c r="C67" s="5" t="b">
        <f>ISNUMBER(MATCH(A67, #REF!, 0))</f>
        <v>0</v>
      </c>
      <c r="D67" s="5" t="s">
        <v>127</v>
      </c>
    </row>
    <row r="68" spans="1:4" x14ac:dyDescent="0.35">
      <c r="A68" s="5" t="str">
        <f t="shared" si="2"/>
        <v>23.6</v>
      </c>
      <c r="B68" s="5" t="str">
        <f t="shared" si="3"/>
        <v>Manufacture of articles of concrete, cement and plaster</v>
      </c>
      <c r="C68" s="5" t="b">
        <f>ISNUMBER(MATCH(A68, #REF!, 0))</f>
        <v>0</v>
      </c>
      <c r="D68" s="5" t="s">
        <v>128</v>
      </c>
    </row>
    <row r="69" spans="1:4" x14ac:dyDescent="0.35">
      <c r="A69" s="5" t="str">
        <f t="shared" si="2"/>
        <v>23.7</v>
      </c>
      <c r="B69" s="5" t="str">
        <f t="shared" si="3"/>
        <v>Cutting, shaping and finishing of stone</v>
      </c>
      <c r="C69" s="5" t="b">
        <f>ISNUMBER(MATCH(A69, #REF!, 0))</f>
        <v>0</v>
      </c>
      <c r="D69" s="5" t="s">
        <v>129</v>
      </c>
    </row>
    <row r="70" spans="1:4" x14ac:dyDescent="0.35">
      <c r="A70" s="5" t="str">
        <f t="shared" si="2"/>
        <v>23.9</v>
      </c>
      <c r="B70" s="5" t="str">
        <f t="shared" si="3"/>
        <v>Manufacture of abrasive products and non-metallic mineral products n.e.c.</v>
      </c>
      <c r="C70" s="5" t="b">
        <f>ISNUMBER(MATCH(A70, #REF!, 0))</f>
        <v>0</v>
      </c>
      <c r="D70" s="5" t="s">
        <v>130</v>
      </c>
    </row>
    <row r="71" spans="1:4" x14ac:dyDescent="0.35">
      <c r="A71" s="5" t="str">
        <f t="shared" si="2"/>
        <v>24.1</v>
      </c>
      <c r="B71" s="5" t="str">
        <f t="shared" si="3"/>
        <v>Manufacture of basic iron and steel and of ferro-alloys</v>
      </c>
      <c r="C71" s="5" t="b">
        <f>ISNUMBER(MATCH(A71, #REF!, 0))</f>
        <v>0</v>
      </c>
      <c r="D71" s="5" t="s">
        <v>131</v>
      </c>
    </row>
    <row r="72" spans="1:4" x14ac:dyDescent="0.35">
      <c r="A72" s="5" t="str">
        <f t="shared" si="2"/>
        <v>24.2</v>
      </c>
      <c r="B72" s="5" t="str">
        <f t="shared" si="3"/>
        <v>Manufacture of tubes, pipes, hollow profiles and related fittings, of steel</v>
      </c>
      <c r="C72" s="5" t="b">
        <f>ISNUMBER(MATCH(A72, #REF!, 0))</f>
        <v>0</v>
      </c>
      <c r="D72" s="5" t="s">
        <v>132</v>
      </c>
    </row>
    <row r="73" spans="1:4" x14ac:dyDescent="0.35">
      <c r="A73" s="5" t="str">
        <f t="shared" si="2"/>
        <v>24.3</v>
      </c>
      <c r="B73" s="5" t="str">
        <f t="shared" si="3"/>
        <v>Manufacture of other products of first processing of steel</v>
      </c>
      <c r="C73" s="5" t="b">
        <f>ISNUMBER(MATCH(A73, #REF!, 0))</f>
        <v>0</v>
      </c>
      <c r="D73" s="5" t="s">
        <v>133</v>
      </c>
    </row>
    <row r="74" spans="1:4" x14ac:dyDescent="0.35">
      <c r="A74" s="5" t="str">
        <f t="shared" si="2"/>
        <v>24.4</v>
      </c>
      <c r="B74" s="5" t="str">
        <f t="shared" si="3"/>
        <v>Manufacture of basic precious and other non-ferrous metals</v>
      </c>
      <c r="C74" s="5" t="b">
        <f>ISNUMBER(MATCH(A74, #REF!, 0))</f>
        <v>0</v>
      </c>
      <c r="D74" s="5" t="s">
        <v>134</v>
      </c>
    </row>
    <row r="75" spans="1:4" x14ac:dyDescent="0.35">
      <c r="A75" s="5" t="str">
        <f t="shared" si="2"/>
        <v>24.5</v>
      </c>
      <c r="B75" s="5" t="str">
        <f t="shared" si="3"/>
        <v>Casting of metals</v>
      </c>
      <c r="C75" s="5" t="b">
        <f>ISNUMBER(MATCH(A75, #REF!, 0))</f>
        <v>0</v>
      </c>
      <c r="D75" s="5" t="s">
        <v>135</v>
      </c>
    </row>
    <row r="76" spans="1:4" x14ac:dyDescent="0.35">
      <c r="A76" s="5" t="str">
        <f t="shared" si="2"/>
        <v>25.1</v>
      </c>
      <c r="B76" s="5" t="str">
        <f t="shared" si="3"/>
        <v>Manufacture of structural metal products</v>
      </c>
      <c r="C76" s="5" t="b">
        <f>ISNUMBER(MATCH(A76, #REF!, 0))</f>
        <v>0</v>
      </c>
      <c r="D76" s="5" t="s">
        <v>136</v>
      </c>
    </row>
    <row r="77" spans="1:4" x14ac:dyDescent="0.35">
      <c r="A77" s="5" t="str">
        <f t="shared" si="2"/>
        <v>25.2</v>
      </c>
      <c r="B77" s="5" t="str">
        <f t="shared" si="3"/>
        <v>Manufacture of tanks, reservoirs and containers of metal</v>
      </c>
      <c r="C77" s="5" t="b">
        <f>ISNUMBER(MATCH(A77, #REF!, 0))</f>
        <v>0</v>
      </c>
      <c r="D77" s="5" t="s">
        <v>137</v>
      </c>
    </row>
    <row r="78" spans="1:4" x14ac:dyDescent="0.35">
      <c r="A78" s="5" t="str">
        <f t="shared" si="2"/>
        <v>25.3</v>
      </c>
      <c r="B78" s="5" t="str">
        <f t="shared" si="3"/>
        <v>Manufacture of steam generators, except central heating hot water boilers</v>
      </c>
      <c r="C78" s="5" t="b">
        <f>ISNUMBER(MATCH(A78, #REF!, 0))</f>
        <v>0</v>
      </c>
      <c r="D78" s="5" t="s">
        <v>138</v>
      </c>
    </row>
    <row r="79" spans="1:4" x14ac:dyDescent="0.35">
      <c r="A79" s="5" t="str">
        <f t="shared" si="2"/>
        <v>25.4</v>
      </c>
      <c r="B79" s="5" t="str">
        <f t="shared" si="3"/>
        <v>Manufacture of weapons and ammunition</v>
      </c>
      <c r="C79" s="5" t="b">
        <f>ISNUMBER(MATCH(A79, #REF!, 0))</f>
        <v>0</v>
      </c>
      <c r="D79" s="5" t="s">
        <v>139</v>
      </c>
    </row>
    <row r="80" spans="1:4" x14ac:dyDescent="0.35">
      <c r="A80" s="5" t="str">
        <f t="shared" si="2"/>
        <v>25.5</v>
      </c>
      <c r="B80" s="5" t="str">
        <f t="shared" si="3"/>
        <v>Forging, pressing, stamping and roll-forming of metal; powder metallurgy</v>
      </c>
      <c r="C80" s="5" t="b">
        <f>ISNUMBER(MATCH(A80, #REF!, 0))</f>
        <v>0</v>
      </c>
      <c r="D80" s="5" t="s">
        <v>140</v>
      </c>
    </row>
    <row r="81" spans="1:4" x14ac:dyDescent="0.35">
      <c r="A81" s="5" t="str">
        <f t="shared" si="2"/>
        <v>25.6</v>
      </c>
      <c r="B81" s="5" t="str">
        <f t="shared" si="3"/>
        <v>Treatment and coating of metals; machining</v>
      </c>
      <c r="C81" s="5" t="b">
        <f>ISNUMBER(MATCH(A81, #REF!, 0))</f>
        <v>0</v>
      </c>
      <c r="D81" s="5" t="s">
        <v>141</v>
      </c>
    </row>
    <row r="82" spans="1:4" x14ac:dyDescent="0.35">
      <c r="A82" s="5" t="str">
        <f t="shared" si="2"/>
        <v>25.7</v>
      </c>
      <c r="B82" s="5" t="str">
        <f t="shared" si="3"/>
        <v>Manufacture of cutlery, tools and general hardware</v>
      </c>
      <c r="C82" s="5" t="b">
        <f>ISNUMBER(MATCH(A82, #REF!, 0))</f>
        <v>0</v>
      </c>
      <c r="D82" s="5" t="s">
        <v>142</v>
      </c>
    </row>
    <row r="83" spans="1:4" x14ac:dyDescent="0.35">
      <c r="A83" s="5" t="str">
        <f t="shared" si="2"/>
        <v>25.9</v>
      </c>
      <c r="B83" s="5" t="str">
        <f t="shared" si="3"/>
        <v>Manufacture of other fabricated metal products</v>
      </c>
      <c r="C83" s="5" t="b">
        <f>ISNUMBER(MATCH(A83, #REF!, 0))</f>
        <v>0</v>
      </c>
      <c r="D83" s="5" t="s">
        <v>143</v>
      </c>
    </row>
    <row r="84" spans="1:4" x14ac:dyDescent="0.35">
      <c r="A84" s="5" t="str">
        <f t="shared" si="2"/>
        <v>26.1</v>
      </c>
      <c r="B84" s="5" t="str">
        <f t="shared" si="3"/>
        <v>Manufacture of electronic components and boards</v>
      </c>
      <c r="C84" s="5" t="b">
        <f>ISNUMBER(MATCH(A84, #REF!, 0))</f>
        <v>0</v>
      </c>
      <c r="D84" s="5" t="s">
        <v>144</v>
      </c>
    </row>
    <row r="85" spans="1:4" x14ac:dyDescent="0.35">
      <c r="A85" s="5" t="str">
        <f t="shared" si="2"/>
        <v>26.2</v>
      </c>
      <c r="B85" s="5" t="str">
        <f t="shared" si="3"/>
        <v>Manufacture of computers and peripheral equipment</v>
      </c>
      <c r="C85" s="5" t="b">
        <f>ISNUMBER(MATCH(A85, #REF!, 0))</f>
        <v>0</v>
      </c>
      <c r="D85" s="5" t="s">
        <v>145</v>
      </c>
    </row>
    <row r="86" spans="1:4" x14ac:dyDescent="0.35">
      <c r="A86" s="5" t="str">
        <f t="shared" si="2"/>
        <v>26.3</v>
      </c>
      <c r="B86" s="5" t="str">
        <f t="shared" si="3"/>
        <v>Manufacture of communication equipment</v>
      </c>
      <c r="C86" s="5" t="b">
        <f>ISNUMBER(MATCH(A86, #REF!, 0))</f>
        <v>0</v>
      </c>
      <c r="D86" s="5" t="s">
        <v>146</v>
      </c>
    </row>
    <row r="87" spans="1:4" x14ac:dyDescent="0.35">
      <c r="A87" s="5" t="str">
        <f t="shared" si="2"/>
        <v>26.4</v>
      </c>
      <c r="B87" s="5" t="str">
        <f t="shared" si="3"/>
        <v>Manufacture of consumer electronics</v>
      </c>
      <c r="C87" s="5" t="b">
        <f>ISNUMBER(MATCH(A87, #REF!, 0))</f>
        <v>0</v>
      </c>
      <c r="D87" s="5" t="s">
        <v>147</v>
      </c>
    </row>
    <row r="88" spans="1:4" x14ac:dyDescent="0.35">
      <c r="A88" s="5" t="str">
        <f t="shared" si="2"/>
        <v>26.5</v>
      </c>
      <c r="B88" s="5" t="str">
        <f t="shared" si="3"/>
        <v>Manufacture of instruments and appliances for measuring, testing and navigation; watches and clocks</v>
      </c>
      <c r="C88" s="5" t="b">
        <f>ISNUMBER(MATCH(A88, #REF!, 0))</f>
        <v>0</v>
      </c>
      <c r="D88" s="5" t="s">
        <v>148</v>
      </c>
    </row>
    <row r="89" spans="1:4" x14ac:dyDescent="0.35">
      <c r="A89" s="5" t="str">
        <f t="shared" si="2"/>
        <v>26.6</v>
      </c>
      <c r="B89" s="5" t="str">
        <f t="shared" si="3"/>
        <v>Manufacture of irradiation, electromedical and electrotherapeutic equipment</v>
      </c>
      <c r="C89" s="5" t="b">
        <f>ISNUMBER(MATCH(A89, #REF!, 0))</f>
        <v>0</v>
      </c>
      <c r="D89" s="5" t="s">
        <v>149</v>
      </c>
    </row>
    <row r="90" spans="1:4" x14ac:dyDescent="0.35">
      <c r="A90" s="5" t="str">
        <f t="shared" si="2"/>
        <v>26.7</v>
      </c>
      <c r="B90" s="5" t="str">
        <f t="shared" si="3"/>
        <v>Manufacture of optical instruments and photographic equipment</v>
      </c>
      <c r="C90" s="5" t="b">
        <f>ISNUMBER(MATCH(A90, #REF!, 0))</f>
        <v>0</v>
      </c>
      <c r="D90" s="5" t="s">
        <v>150</v>
      </c>
    </row>
    <row r="91" spans="1:4" x14ac:dyDescent="0.35">
      <c r="A91" s="5" t="str">
        <f t="shared" si="2"/>
        <v>26.8</v>
      </c>
      <c r="B91" s="5" t="str">
        <f t="shared" si="3"/>
        <v>Manufacture of magnetic and optical media</v>
      </c>
      <c r="C91" s="5" t="b">
        <f>ISNUMBER(MATCH(A91, #REF!, 0))</f>
        <v>0</v>
      </c>
      <c r="D91" s="5" t="s">
        <v>151</v>
      </c>
    </row>
    <row r="92" spans="1:4" x14ac:dyDescent="0.35">
      <c r="A92" s="5" t="str">
        <f t="shared" si="2"/>
        <v>27.1</v>
      </c>
      <c r="B92" s="5" t="str">
        <f t="shared" si="3"/>
        <v>Manufacture of electric motors, generators, transformers and electricity distribution and control apparatus</v>
      </c>
      <c r="C92" s="5" t="b">
        <f>ISNUMBER(MATCH(A92, #REF!, 0))</f>
        <v>0</v>
      </c>
      <c r="D92" s="5" t="s">
        <v>152</v>
      </c>
    </row>
    <row r="93" spans="1:4" x14ac:dyDescent="0.35">
      <c r="A93" s="5" t="str">
        <f t="shared" si="2"/>
        <v>27.2</v>
      </c>
      <c r="B93" s="5" t="str">
        <f t="shared" si="3"/>
        <v>Manufacture of batteries and accumulators</v>
      </c>
      <c r="C93" s="5" t="b">
        <f>ISNUMBER(MATCH(A93, #REF!, 0))</f>
        <v>0</v>
      </c>
      <c r="D93" s="5" t="s">
        <v>153</v>
      </c>
    </row>
    <row r="94" spans="1:4" x14ac:dyDescent="0.35">
      <c r="A94" s="5" t="str">
        <f t="shared" si="2"/>
        <v>27.3</v>
      </c>
      <c r="B94" s="5" t="str">
        <f t="shared" si="3"/>
        <v>Manufacture of wiring and wiring devices</v>
      </c>
      <c r="C94" s="5" t="b">
        <f>ISNUMBER(MATCH(A94, #REF!, 0))</f>
        <v>0</v>
      </c>
      <c r="D94" s="5" t="s">
        <v>154</v>
      </c>
    </row>
    <row r="95" spans="1:4" x14ac:dyDescent="0.35">
      <c r="A95" s="5" t="str">
        <f t="shared" si="2"/>
        <v>27.4</v>
      </c>
      <c r="B95" s="5" t="str">
        <f t="shared" si="3"/>
        <v>Manufacture of electric lighting equipment</v>
      </c>
      <c r="C95" s="5" t="b">
        <f>ISNUMBER(MATCH(A95, #REF!, 0))</f>
        <v>0</v>
      </c>
      <c r="D95" s="5" t="s">
        <v>155</v>
      </c>
    </row>
    <row r="96" spans="1:4" x14ac:dyDescent="0.35">
      <c r="A96" s="5" t="str">
        <f t="shared" si="2"/>
        <v>27.5</v>
      </c>
      <c r="B96" s="5" t="str">
        <f t="shared" si="3"/>
        <v>Manufacture of domestic appliances</v>
      </c>
      <c r="C96" s="5" t="b">
        <f>ISNUMBER(MATCH(A96, #REF!, 0))</f>
        <v>0</v>
      </c>
      <c r="D96" s="5" t="s">
        <v>156</v>
      </c>
    </row>
    <row r="97" spans="1:4" x14ac:dyDescent="0.35">
      <c r="A97" s="5" t="str">
        <f t="shared" si="2"/>
        <v>27.9</v>
      </c>
      <c r="B97" s="5" t="str">
        <f t="shared" si="3"/>
        <v>Manufacture of other electrical equipment</v>
      </c>
      <c r="C97" s="5" t="b">
        <f>ISNUMBER(MATCH(A97, #REF!, 0))</f>
        <v>0</v>
      </c>
      <c r="D97" s="5" t="s">
        <v>157</v>
      </c>
    </row>
    <row r="98" spans="1:4" x14ac:dyDescent="0.35">
      <c r="A98" s="5" t="str">
        <f t="shared" si="2"/>
        <v>28.1</v>
      </c>
      <c r="B98" s="5" t="str">
        <f t="shared" si="3"/>
        <v>Manufacture of general-purpose machinery</v>
      </c>
      <c r="C98" s="5" t="b">
        <f>ISNUMBER(MATCH(A98, #REF!, 0))</f>
        <v>0</v>
      </c>
      <c r="D98" s="5" t="s">
        <v>158</v>
      </c>
    </row>
    <row r="99" spans="1:4" x14ac:dyDescent="0.35">
      <c r="A99" s="5" t="str">
        <f t="shared" si="2"/>
        <v>28.2</v>
      </c>
      <c r="B99" s="5" t="str">
        <f t="shared" si="3"/>
        <v>Manufacture of other general-purpose machinery</v>
      </c>
      <c r="C99" s="5" t="b">
        <f>ISNUMBER(MATCH(A99, #REF!, 0))</f>
        <v>0</v>
      </c>
      <c r="D99" s="5" t="s">
        <v>159</v>
      </c>
    </row>
    <row r="100" spans="1:4" x14ac:dyDescent="0.35">
      <c r="A100" s="5" t="str">
        <f t="shared" si="2"/>
        <v>28.3</v>
      </c>
      <c r="B100" s="5" t="str">
        <f t="shared" si="3"/>
        <v>Manufacture of agricultural and forestry machinery</v>
      </c>
      <c r="C100" s="5" t="b">
        <f>ISNUMBER(MATCH(A100, #REF!, 0))</f>
        <v>0</v>
      </c>
      <c r="D100" s="5" t="s">
        <v>160</v>
      </c>
    </row>
    <row r="101" spans="1:4" x14ac:dyDescent="0.35">
      <c r="A101" s="5" t="str">
        <f t="shared" si="2"/>
        <v>28.4</v>
      </c>
      <c r="B101" s="5" t="str">
        <f t="shared" si="3"/>
        <v>Manufacture of metal forming machinery and machine tools</v>
      </c>
      <c r="C101" s="5" t="b">
        <f>ISNUMBER(MATCH(A101, #REF!, 0))</f>
        <v>0</v>
      </c>
      <c r="D101" s="5" t="s">
        <v>161</v>
      </c>
    </row>
    <row r="102" spans="1:4" x14ac:dyDescent="0.35">
      <c r="A102" s="5" t="str">
        <f t="shared" si="2"/>
        <v>28.9</v>
      </c>
      <c r="B102" s="5" t="str">
        <f t="shared" si="3"/>
        <v>Manufacture of other special-purpose machinery</v>
      </c>
      <c r="C102" s="5" t="b">
        <f>ISNUMBER(MATCH(A102, #REF!, 0))</f>
        <v>0</v>
      </c>
      <c r="D102" s="5" t="s">
        <v>162</v>
      </c>
    </row>
    <row r="103" spans="1:4" x14ac:dyDescent="0.35">
      <c r="A103" s="5" t="str">
        <f t="shared" si="2"/>
        <v>29.1</v>
      </c>
      <c r="B103" s="5" t="str">
        <f t="shared" si="3"/>
        <v>Manufacture of motor vehicles</v>
      </c>
      <c r="C103" s="5" t="b">
        <f>ISNUMBER(MATCH(A103, #REF!, 0))</f>
        <v>0</v>
      </c>
      <c r="D103" s="5" t="s">
        <v>163</v>
      </c>
    </row>
    <row r="104" spans="1:4" x14ac:dyDescent="0.35">
      <c r="A104" s="5" t="str">
        <f t="shared" si="2"/>
        <v>29.2</v>
      </c>
      <c r="B104" s="5" t="str">
        <f t="shared" si="3"/>
        <v>Manufacture of bodies (coachwork) for motor vehicles; manufacture of trailers and semi-trailers</v>
      </c>
      <c r="C104" s="5" t="b">
        <f>ISNUMBER(MATCH(A104, #REF!, 0))</f>
        <v>0</v>
      </c>
      <c r="D104" s="5" t="s">
        <v>164</v>
      </c>
    </row>
    <row r="105" spans="1:4" x14ac:dyDescent="0.35">
      <c r="A105" s="5" t="str">
        <f t="shared" si="2"/>
        <v>29.3</v>
      </c>
      <c r="B105" s="5" t="str">
        <f t="shared" si="3"/>
        <v>Manufacture of parts and accessories for motor vehicles</v>
      </c>
      <c r="C105" s="5" t="b">
        <f>ISNUMBER(MATCH(A105, #REF!, 0))</f>
        <v>0</v>
      </c>
      <c r="D105" s="5" t="s">
        <v>165</v>
      </c>
    </row>
    <row r="106" spans="1:4" x14ac:dyDescent="0.35">
      <c r="A106" s="5" t="str">
        <f t="shared" si="2"/>
        <v>30.1</v>
      </c>
      <c r="B106" s="5" t="str">
        <f t="shared" si="3"/>
        <v>Building of ships and boats</v>
      </c>
      <c r="C106" s="5" t="b">
        <f>ISNUMBER(MATCH(A106, #REF!, 0))</f>
        <v>0</v>
      </c>
      <c r="D106" s="5" t="s">
        <v>166</v>
      </c>
    </row>
    <row r="107" spans="1:4" x14ac:dyDescent="0.35">
      <c r="A107" s="5" t="str">
        <f t="shared" si="2"/>
        <v>30.2</v>
      </c>
      <c r="B107" s="5" t="str">
        <f t="shared" si="3"/>
        <v>Manufacture of railway locomotives and rolling stock</v>
      </c>
      <c r="C107" s="5" t="b">
        <f>ISNUMBER(MATCH(A107, #REF!, 0))</f>
        <v>0</v>
      </c>
      <c r="D107" s="5" t="s">
        <v>167</v>
      </c>
    </row>
    <row r="108" spans="1:4" x14ac:dyDescent="0.35">
      <c r="A108" s="5" t="str">
        <f t="shared" si="2"/>
        <v>30.3</v>
      </c>
      <c r="B108" s="5" t="str">
        <f t="shared" si="3"/>
        <v>Manufacture of air and spacecraft and related machinery</v>
      </c>
      <c r="C108" s="5" t="b">
        <f>ISNUMBER(MATCH(A108, #REF!, 0))</f>
        <v>0</v>
      </c>
      <c r="D108" s="5" t="s">
        <v>168</v>
      </c>
    </row>
    <row r="109" spans="1:4" x14ac:dyDescent="0.35">
      <c r="A109" s="5" t="str">
        <f t="shared" si="2"/>
        <v>30.4</v>
      </c>
      <c r="B109" s="5" t="str">
        <f t="shared" si="3"/>
        <v>Manufacture of military fighting vehicles</v>
      </c>
      <c r="C109" s="5" t="b">
        <f>ISNUMBER(MATCH(A109, #REF!, 0))</f>
        <v>0</v>
      </c>
      <c r="D109" s="5" t="s">
        <v>169</v>
      </c>
    </row>
    <row r="110" spans="1:4" x14ac:dyDescent="0.35">
      <c r="A110" s="5" t="str">
        <f t="shared" si="2"/>
        <v>30.9</v>
      </c>
      <c r="B110" s="5" t="str">
        <f t="shared" si="3"/>
        <v>Manufacture of transport equipment n.e.c.</v>
      </c>
      <c r="C110" s="5" t="b">
        <f>ISNUMBER(MATCH(A110, #REF!, 0))</f>
        <v>0</v>
      </c>
      <c r="D110" s="5" t="s">
        <v>170</v>
      </c>
    </row>
    <row r="111" spans="1:4" x14ac:dyDescent="0.35">
      <c r="A111" s="5" t="str">
        <f t="shared" si="2"/>
        <v>31.0</v>
      </c>
      <c r="B111" s="5" t="str">
        <f t="shared" si="3"/>
        <v>Manufacture of furniture</v>
      </c>
      <c r="C111" s="5" t="b">
        <f>ISNUMBER(MATCH(A111, #REF!, 0))</f>
        <v>0</v>
      </c>
      <c r="D111" s="5" t="s">
        <v>171</v>
      </c>
    </row>
    <row r="112" spans="1:4" x14ac:dyDescent="0.35">
      <c r="A112" s="5" t="str">
        <f t="shared" si="2"/>
        <v>32.1</v>
      </c>
      <c r="B112" s="5" t="str">
        <f t="shared" si="3"/>
        <v>Manufacture of jewellery, bijouterie and related articles</v>
      </c>
      <c r="C112" s="5" t="b">
        <f>ISNUMBER(MATCH(A112, #REF!, 0))</f>
        <v>0</v>
      </c>
      <c r="D112" s="5" t="s">
        <v>172</v>
      </c>
    </row>
    <row r="113" spans="1:4" x14ac:dyDescent="0.35">
      <c r="A113" s="5" t="str">
        <f t="shared" si="2"/>
        <v>32.2</v>
      </c>
      <c r="B113" s="5" t="str">
        <f t="shared" si="3"/>
        <v>Manufacture of musical instruments</v>
      </c>
      <c r="C113" s="5" t="b">
        <f>ISNUMBER(MATCH(A113, #REF!, 0))</f>
        <v>0</v>
      </c>
      <c r="D113" s="5" t="s">
        <v>173</v>
      </c>
    </row>
    <row r="114" spans="1:4" x14ac:dyDescent="0.35">
      <c r="A114" s="5" t="str">
        <f t="shared" si="2"/>
        <v>32.3</v>
      </c>
      <c r="B114" s="5" t="str">
        <f t="shared" si="3"/>
        <v>Manufacture of sports goods</v>
      </c>
      <c r="C114" s="5" t="b">
        <f>ISNUMBER(MATCH(A114, #REF!, 0))</f>
        <v>0</v>
      </c>
      <c r="D114" s="5" t="s">
        <v>174</v>
      </c>
    </row>
    <row r="115" spans="1:4" x14ac:dyDescent="0.35">
      <c r="A115" s="5" t="str">
        <f t="shared" si="2"/>
        <v>32.4</v>
      </c>
      <c r="B115" s="5" t="str">
        <f t="shared" si="3"/>
        <v>Manufacture of games and toys</v>
      </c>
      <c r="C115" s="5" t="b">
        <f>ISNUMBER(MATCH(A115, #REF!, 0))</f>
        <v>0</v>
      </c>
      <c r="D115" s="5" t="s">
        <v>175</v>
      </c>
    </row>
    <row r="116" spans="1:4" x14ac:dyDescent="0.35">
      <c r="A116" s="5" t="str">
        <f t="shared" si="2"/>
        <v>32.5</v>
      </c>
      <c r="B116" s="5" t="str">
        <f t="shared" si="3"/>
        <v>Manufacture of medical and dental instruments and supplies</v>
      </c>
      <c r="C116" s="5" t="b">
        <f>ISNUMBER(MATCH(A116, #REF!, 0))</f>
        <v>0</v>
      </c>
      <c r="D116" s="5" t="s">
        <v>176</v>
      </c>
    </row>
    <row r="117" spans="1:4" x14ac:dyDescent="0.35">
      <c r="A117" s="5" t="str">
        <f t="shared" si="2"/>
        <v>32.9</v>
      </c>
      <c r="B117" s="5" t="str">
        <f t="shared" si="3"/>
        <v>Manufacturing n.e.c.</v>
      </c>
      <c r="C117" s="5" t="b">
        <f>ISNUMBER(MATCH(A117, #REF!, 0))</f>
        <v>0</v>
      </c>
      <c r="D117" s="5" t="s">
        <v>177</v>
      </c>
    </row>
    <row r="118" spans="1:4" x14ac:dyDescent="0.35">
      <c r="A118" s="5" t="str">
        <f t="shared" si="2"/>
        <v>33.1</v>
      </c>
      <c r="B118" s="5" t="str">
        <f t="shared" si="3"/>
        <v>Repair of fabricated metal products, machinery and equipment</v>
      </c>
      <c r="C118" s="5" t="b">
        <f>ISNUMBER(MATCH(A118, #REF!, 0))</f>
        <v>0</v>
      </c>
      <c r="D118" s="5" t="s">
        <v>178</v>
      </c>
    </row>
    <row r="119" spans="1:4" x14ac:dyDescent="0.35">
      <c r="A119" s="5" t="str">
        <f t="shared" si="2"/>
        <v>33.2</v>
      </c>
      <c r="B119" s="5" t="str">
        <f t="shared" si="3"/>
        <v>Installation of industrial machinery and equipment</v>
      </c>
      <c r="C119" s="5" t="b">
        <f>ISNUMBER(MATCH(A119, #REF!, 0))</f>
        <v>0</v>
      </c>
      <c r="D119" s="5" t="s">
        <v>179</v>
      </c>
    </row>
    <row r="120" spans="1:4" x14ac:dyDescent="0.35">
      <c r="A120" s="5" t="str">
        <f t="shared" si="2"/>
        <v>35.1</v>
      </c>
      <c r="B120" s="5" t="str">
        <f t="shared" si="3"/>
        <v>Electric power generation, transmission and distribution</v>
      </c>
      <c r="C120" s="5" t="b">
        <f>ISNUMBER(MATCH(A120, #REF!, 0))</f>
        <v>0</v>
      </c>
      <c r="D120" s="5" t="s">
        <v>180</v>
      </c>
    </row>
    <row r="121" spans="1:4" x14ac:dyDescent="0.35">
      <c r="A121" s="5" t="str">
        <f t="shared" si="2"/>
        <v>35.2</v>
      </c>
      <c r="B121" s="5" t="str">
        <f t="shared" si="3"/>
        <v>Manufacture of gas; distribution of gaseous fuels through mains</v>
      </c>
      <c r="C121" s="5" t="b">
        <f>ISNUMBER(MATCH(A121, #REF!, 0))</f>
        <v>0</v>
      </c>
      <c r="D121" s="5" t="s">
        <v>181</v>
      </c>
    </row>
    <row r="122" spans="1:4" x14ac:dyDescent="0.35">
      <c r="A122" s="5" t="str">
        <f t="shared" si="2"/>
        <v>35.3</v>
      </c>
      <c r="B122" s="5" t="str">
        <f t="shared" si="3"/>
        <v>Steam and air conditioning supply</v>
      </c>
      <c r="C122" s="5" t="b">
        <f>ISNUMBER(MATCH(A122, #REF!, 0))</f>
        <v>0</v>
      </c>
      <c r="D122" s="5" t="s">
        <v>182</v>
      </c>
    </row>
    <row r="123" spans="1:4" x14ac:dyDescent="0.35">
      <c r="A123" s="5" t="str">
        <f t="shared" si="2"/>
        <v>36.0</v>
      </c>
      <c r="B123" s="5" t="str">
        <f t="shared" si="3"/>
        <v>Water collection, treatment and supply</v>
      </c>
      <c r="C123" s="5" t="b">
        <f>ISNUMBER(MATCH(A123, #REF!, 0))</f>
        <v>0</v>
      </c>
      <c r="D123" s="5" t="s">
        <v>183</v>
      </c>
    </row>
    <row r="124" spans="1:4" x14ac:dyDescent="0.35">
      <c r="A124" s="5" t="str">
        <f t="shared" si="2"/>
        <v>37.0</v>
      </c>
      <c r="B124" s="5" t="str">
        <f t="shared" si="3"/>
        <v>Sewerage</v>
      </c>
      <c r="C124" s="5" t="b">
        <f>ISNUMBER(MATCH(A124, #REF!, 0))</f>
        <v>0</v>
      </c>
      <c r="D124" s="5" t="s">
        <v>184</v>
      </c>
    </row>
    <row r="125" spans="1:4" x14ac:dyDescent="0.35">
      <c r="A125" s="5" t="str">
        <f t="shared" si="2"/>
        <v>38.1</v>
      </c>
      <c r="B125" s="5" t="str">
        <f t="shared" si="3"/>
        <v>Waste collection</v>
      </c>
      <c r="C125" s="5" t="b">
        <f>ISNUMBER(MATCH(A125, #REF!, 0))</f>
        <v>0</v>
      </c>
      <c r="D125" s="5" t="s">
        <v>185</v>
      </c>
    </row>
    <row r="126" spans="1:4" x14ac:dyDescent="0.35">
      <c r="A126" s="5" t="str">
        <f t="shared" si="2"/>
        <v>38.2</v>
      </c>
      <c r="B126" s="5" t="str">
        <f t="shared" si="3"/>
        <v>Waste treatment and disposal</v>
      </c>
      <c r="C126" s="5" t="b">
        <f>ISNUMBER(MATCH(A126, #REF!, 0))</f>
        <v>0</v>
      </c>
      <c r="D126" s="5" t="s">
        <v>186</v>
      </c>
    </row>
    <row r="127" spans="1:4" x14ac:dyDescent="0.35">
      <c r="A127" s="5" t="str">
        <f t="shared" si="2"/>
        <v>38.3</v>
      </c>
      <c r="B127" s="5" t="str">
        <f t="shared" si="3"/>
        <v>Materials recovery</v>
      </c>
      <c r="C127" s="5" t="b">
        <f>ISNUMBER(MATCH(A127, #REF!, 0))</f>
        <v>0</v>
      </c>
      <c r="D127" s="5" t="s">
        <v>187</v>
      </c>
    </row>
    <row r="128" spans="1:4" x14ac:dyDescent="0.35">
      <c r="A128" s="5" t="str">
        <f t="shared" si="2"/>
        <v>39.0</v>
      </c>
      <c r="B128" s="5" t="str">
        <f t="shared" si="3"/>
        <v>Remediation activities and other waste management services</v>
      </c>
      <c r="C128" s="5" t="b">
        <f>ISNUMBER(MATCH(A128, #REF!, 0))</f>
        <v>0</v>
      </c>
      <c r="D128" s="5" t="s">
        <v>188</v>
      </c>
    </row>
    <row r="129" spans="1:4" x14ac:dyDescent="0.35">
      <c r="A129" s="5" t="str">
        <f t="shared" si="2"/>
        <v>41.1</v>
      </c>
      <c r="B129" s="5" t="str">
        <f t="shared" si="3"/>
        <v>Development of building projects</v>
      </c>
      <c r="C129" s="5" t="b">
        <f>ISNUMBER(MATCH(A129, #REF!, 0))</f>
        <v>0</v>
      </c>
      <c r="D129" s="5" t="s">
        <v>189</v>
      </c>
    </row>
    <row r="130" spans="1:4" x14ac:dyDescent="0.35">
      <c r="A130" s="5" t="str">
        <f t="shared" ref="A130:A193" si="4">LEFT(D130,4)</f>
        <v>41.2</v>
      </c>
      <c r="B130" s="5" t="str">
        <f t="shared" si="3"/>
        <v>Construction of residential and non-residential buildings</v>
      </c>
      <c r="C130" s="5" t="b">
        <f>ISNUMBER(MATCH(A130, #REF!, 0))</f>
        <v>0</v>
      </c>
      <c r="D130" s="5" t="s">
        <v>190</v>
      </c>
    </row>
    <row r="131" spans="1:4" x14ac:dyDescent="0.35">
      <c r="A131" s="5" t="str">
        <f t="shared" si="4"/>
        <v>42.1</v>
      </c>
      <c r="B131" s="5" t="str">
        <f t="shared" ref="B131:B194" si="5">SUBSTITUTE(SUBSTITUTE(D131,A131&amp;" ",""),RIGHT(D131,5),"")</f>
        <v>Construction of roads and railways</v>
      </c>
      <c r="C131" s="5" t="b">
        <f>ISNUMBER(MATCH(A131, #REF!, 0))</f>
        <v>0</v>
      </c>
      <c r="D131" s="5" t="s">
        <v>191</v>
      </c>
    </row>
    <row r="132" spans="1:4" x14ac:dyDescent="0.35">
      <c r="A132" s="5" t="str">
        <f t="shared" si="4"/>
        <v>42.2</v>
      </c>
      <c r="B132" s="5" t="str">
        <f t="shared" si="5"/>
        <v>Construction of utility projects</v>
      </c>
      <c r="C132" s="5" t="b">
        <f>ISNUMBER(MATCH(A132, #REF!, 0))</f>
        <v>0</v>
      </c>
      <c r="D132" s="5" t="s">
        <v>192</v>
      </c>
    </row>
    <row r="133" spans="1:4" x14ac:dyDescent="0.35">
      <c r="A133" s="5" t="str">
        <f t="shared" si="4"/>
        <v>42.9</v>
      </c>
      <c r="B133" s="5" t="str">
        <f t="shared" si="5"/>
        <v>Construction of other civil engineering projects</v>
      </c>
      <c r="C133" s="5" t="b">
        <f>ISNUMBER(MATCH(A133, #REF!, 0))</f>
        <v>0</v>
      </c>
      <c r="D133" s="5" t="s">
        <v>193</v>
      </c>
    </row>
    <row r="134" spans="1:4" x14ac:dyDescent="0.35">
      <c r="A134" s="5" t="str">
        <f t="shared" si="4"/>
        <v>43.1</v>
      </c>
      <c r="B134" s="5" t="str">
        <f t="shared" si="5"/>
        <v>Demolition and site preparation</v>
      </c>
      <c r="C134" s="5" t="b">
        <f>ISNUMBER(MATCH(A134, #REF!, 0))</f>
        <v>0</v>
      </c>
      <c r="D134" s="5" t="s">
        <v>194</v>
      </c>
    </row>
    <row r="135" spans="1:4" x14ac:dyDescent="0.35">
      <c r="A135" s="5" t="str">
        <f t="shared" si="4"/>
        <v>43.2</v>
      </c>
      <c r="B135" s="5" t="str">
        <f t="shared" si="5"/>
        <v>Electrical, plumbing and other construction installation activities</v>
      </c>
      <c r="C135" s="5" t="b">
        <f>ISNUMBER(MATCH(A135, #REF!, 0))</f>
        <v>0</v>
      </c>
      <c r="D135" s="5" t="s">
        <v>195</v>
      </c>
    </row>
    <row r="136" spans="1:4" x14ac:dyDescent="0.35">
      <c r="A136" s="5" t="str">
        <f t="shared" si="4"/>
        <v>43.3</v>
      </c>
      <c r="B136" s="5" t="str">
        <f t="shared" si="5"/>
        <v>Building completion and finishing</v>
      </c>
      <c r="C136" s="5" t="b">
        <f>ISNUMBER(MATCH(A136, #REF!, 0))</f>
        <v>0</v>
      </c>
      <c r="D136" s="5" t="s">
        <v>196</v>
      </c>
    </row>
    <row r="137" spans="1:4" x14ac:dyDescent="0.35">
      <c r="A137" s="5" t="str">
        <f t="shared" si="4"/>
        <v>43.9</v>
      </c>
      <c r="B137" s="5" t="str">
        <f t="shared" si="5"/>
        <v>Other specialised construction activities</v>
      </c>
      <c r="C137" s="5" t="b">
        <f>ISNUMBER(MATCH(A137, #REF!, 0))</f>
        <v>0</v>
      </c>
      <c r="D137" s="5" t="s">
        <v>197</v>
      </c>
    </row>
    <row r="138" spans="1:4" x14ac:dyDescent="0.35">
      <c r="A138" s="5" t="str">
        <f t="shared" si="4"/>
        <v>45.1</v>
      </c>
      <c r="B138" s="5" t="str">
        <f t="shared" si="5"/>
        <v>Sale of motor vehicles</v>
      </c>
      <c r="C138" s="5" t="b">
        <f>ISNUMBER(MATCH(A138, #REF!, 0))</f>
        <v>0</v>
      </c>
      <c r="D138" s="5" t="s">
        <v>198</v>
      </c>
    </row>
    <row r="139" spans="1:4" x14ac:dyDescent="0.35">
      <c r="A139" s="5" t="str">
        <f t="shared" si="4"/>
        <v>45.2</v>
      </c>
      <c r="B139" s="5" t="str">
        <f t="shared" si="5"/>
        <v>Maintenance and repair of motor vehicles</v>
      </c>
      <c r="C139" s="5" t="b">
        <f>ISNUMBER(MATCH(A139, #REF!, 0))</f>
        <v>0</v>
      </c>
      <c r="D139" s="5" t="s">
        <v>199</v>
      </c>
    </row>
    <row r="140" spans="1:4" x14ac:dyDescent="0.35">
      <c r="A140" s="5" t="str">
        <f t="shared" si="4"/>
        <v>45.3</v>
      </c>
      <c r="B140" s="5" t="str">
        <f t="shared" si="5"/>
        <v>Sale of motor vehicle parts and accessories</v>
      </c>
      <c r="C140" s="5" t="b">
        <f>ISNUMBER(MATCH(A140, #REF!, 0))</f>
        <v>0</v>
      </c>
      <c r="D140" s="5" t="s">
        <v>200</v>
      </c>
    </row>
    <row r="141" spans="1:4" x14ac:dyDescent="0.35">
      <c r="A141" s="5" t="str">
        <f t="shared" si="4"/>
        <v>45.4</v>
      </c>
      <c r="B141" s="5" t="str">
        <f t="shared" si="5"/>
        <v>Sale, maintenance and repair of motorcycles and related parts and accessories</v>
      </c>
      <c r="C141" s="5" t="b">
        <f>ISNUMBER(MATCH(A141, #REF!, 0))</f>
        <v>0</v>
      </c>
      <c r="D141" s="5" t="s">
        <v>201</v>
      </c>
    </row>
    <row r="142" spans="1:4" x14ac:dyDescent="0.35">
      <c r="A142" s="5" t="str">
        <f t="shared" si="4"/>
        <v>46.1</v>
      </c>
      <c r="B142" s="5" t="str">
        <f t="shared" si="5"/>
        <v>Wholesale on a fee or contract basis</v>
      </c>
      <c r="C142" s="5" t="b">
        <f>ISNUMBER(MATCH(A142, #REF!, 0))</f>
        <v>0</v>
      </c>
      <c r="D142" s="5" t="s">
        <v>202</v>
      </c>
    </row>
    <row r="143" spans="1:4" x14ac:dyDescent="0.35">
      <c r="A143" s="5" t="str">
        <f t="shared" si="4"/>
        <v>46.2</v>
      </c>
      <c r="B143" s="5" t="str">
        <f t="shared" si="5"/>
        <v>Wholesale of agricultural raw materials and live animals</v>
      </c>
      <c r="C143" s="5" t="b">
        <f>ISNUMBER(MATCH(A143, #REF!, 0))</f>
        <v>0</v>
      </c>
      <c r="D143" s="5" t="s">
        <v>203</v>
      </c>
    </row>
    <row r="144" spans="1:4" x14ac:dyDescent="0.35">
      <c r="A144" s="5" t="str">
        <f t="shared" si="4"/>
        <v>46.3</v>
      </c>
      <c r="B144" s="5" t="str">
        <f t="shared" si="5"/>
        <v>Wholesale of food, beverages and tobacco</v>
      </c>
      <c r="C144" s="5" t="b">
        <f>ISNUMBER(MATCH(A144, #REF!, 0))</f>
        <v>0</v>
      </c>
      <c r="D144" s="5" t="s">
        <v>204</v>
      </c>
    </row>
    <row r="145" spans="1:4" x14ac:dyDescent="0.35">
      <c r="A145" s="5" t="str">
        <f t="shared" si="4"/>
        <v>46.4</v>
      </c>
      <c r="B145" s="5" t="str">
        <f t="shared" si="5"/>
        <v>Wholesale of household goods</v>
      </c>
      <c r="C145" s="5" t="b">
        <f>ISNUMBER(MATCH(A145, #REF!, 0))</f>
        <v>0</v>
      </c>
      <c r="D145" s="5" t="s">
        <v>205</v>
      </c>
    </row>
    <row r="146" spans="1:4" x14ac:dyDescent="0.35">
      <c r="A146" s="5" t="str">
        <f t="shared" si="4"/>
        <v>46.5</v>
      </c>
      <c r="B146" s="5" t="str">
        <f t="shared" si="5"/>
        <v>Wholesale of information and communication equipment</v>
      </c>
      <c r="C146" s="5" t="b">
        <f>ISNUMBER(MATCH(A146, #REF!, 0))</f>
        <v>0</v>
      </c>
      <c r="D146" s="5" t="s">
        <v>206</v>
      </c>
    </row>
    <row r="147" spans="1:4" x14ac:dyDescent="0.35">
      <c r="A147" s="5" t="str">
        <f t="shared" si="4"/>
        <v>46.6</v>
      </c>
      <c r="B147" s="5" t="str">
        <f t="shared" si="5"/>
        <v>Wholesale of other machinery, equipment and supplies</v>
      </c>
      <c r="C147" s="5" t="b">
        <f>ISNUMBER(MATCH(A147, #REF!, 0))</f>
        <v>0</v>
      </c>
      <c r="D147" s="5" t="s">
        <v>207</v>
      </c>
    </row>
    <row r="148" spans="1:4" x14ac:dyDescent="0.35">
      <c r="A148" s="5" t="str">
        <f t="shared" si="4"/>
        <v>46.7</v>
      </c>
      <c r="B148" s="5" t="str">
        <f t="shared" si="5"/>
        <v>Other specialised wholesale</v>
      </c>
      <c r="C148" s="5" t="b">
        <f>ISNUMBER(MATCH(A148, #REF!, 0))</f>
        <v>0</v>
      </c>
      <c r="D148" s="5" t="s">
        <v>208</v>
      </c>
    </row>
    <row r="149" spans="1:4" x14ac:dyDescent="0.35">
      <c r="A149" s="5" t="str">
        <f t="shared" si="4"/>
        <v>46.9</v>
      </c>
      <c r="B149" s="5" t="str">
        <f t="shared" si="5"/>
        <v>Non-specialised wholesale trade</v>
      </c>
      <c r="C149" s="5" t="b">
        <f>ISNUMBER(MATCH(A149, #REF!, 0))</f>
        <v>0</v>
      </c>
      <c r="D149" s="5" t="s">
        <v>209</v>
      </c>
    </row>
    <row r="150" spans="1:4" x14ac:dyDescent="0.35">
      <c r="A150" s="5" t="str">
        <f t="shared" si="4"/>
        <v>47.1</v>
      </c>
      <c r="B150" s="5" t="str">
        <f t="shared" si="5"/>
        <v>Retail sale in non-specialised stores</v>
      </c>
      <c r="C150" s="5" t="b">
        <f>ISNUMBER(MATCH(A150, #REF!, 0))</f>
        <v>0</v>
      </c>
      <c r="D150" s="5" t="s">
        <v>210</v>
      </c>
    </row>
    <row r="151" spans="1:4" x14ac:dyDescent="0.35">
      <c r="A151" s="5" t="str">
        <f t="shared" si="4"/>
        <v>47.2</v>
      </c>
      <c r="B151" s="5" t="str">
        <f t="shared" si="5"/>
        <v>Retail sale of food, beverages and tobacco in specialised stores</v>
      </c>
      <c r="C151" s="5" t="b">
        <f>ISNUMBER(MATCH(A151, #REF!, 0))</f>
        <v>0</v>
      </c>
      <c r="D151" s="5" t="s">
        <v>211</v>
      </c>
    </row>
    <row r="152" spans="1:4" x14ac:dyDescent="0.35">
      <c r="A152" s="5" t="str">
        <f t="shared" si="4"/>
        <v>47.3</v>
      </c>
      <c r="B152" s="5" t="str">
        <f t="shared" si="5"/>
        <v>Retail sale of automotive fuel in specialised stores</v>
      </c>
      <c r="C152" s="5" t="b">
        <f>ISNUMBER(MATCH(A152, #REF!, 0))</f>
        <v>0</v>
      </c>
      <c r="D152" s="5" t="s">
        <v>212</v>
      </c>
    </row>
    <row r="153" spans="1:4" x14ac:dyDescent="0.35">
      <c r="A153" s="5" t="str">
        <f t="shared" si="4"/>
        <v>47.4</v>
      </c>
      <c r="B153" s="5" t="str">
        <f t="shared" si="5"/>
        <v>Retail sale of information and communication equipment in specialised stores</v>
      </c>
      <c r="C153" s="5" t="b">
        <f>ISNUMBER(MATCH(A153, #REF!, 0))</f>
        <v>0</v>
      </c>
      <c r="D153" s="5" t="s">
        <v>213</v>
      </c>
    </row>
    <row r="154" spans="1:4" x14ac:dyDescent="0.35">
      <c r="A154" s="5" t="str">
        <f t="shared" si="4"/>
        <v>47.5</v>
      </c>
      <c r="B154" s="5" t="str">
        <f t="shared" si="5"/>
        <v>Retail sale of other household equipment in specialised stores</v>
      </c>
      <c r="C154" s="5" t="b">
        <f>ISNUMBER(MATCH(A154, #REF!, 0))</f>
        <v>0</v>
      </c>
      <c r="D154" s="5" t="s">
        <v>214</v>
      </c>
    </row>
    <row r="155" spans="1:4" x14ac:dyDescent="0.35">
      <c r="A155" s="5" t="str">
        <f t="shared" si="4"/>
        <v>47.6</v>
      </c>
      <c r="B155" s="5" t="str">
        <f t="shared" si="5"/>
        <v>Retail sale of cultural and recreation goods in specialised stores</v>
      </c>
      <c r="C155" s="5" t="b">
        <f>ISNUMBER(MATCH(A155, #REF!, 0))</f>
        <v>0</v>
      </c>
      <c r="D155" s="5" t="s">
        <v>215</v>
      </c>
    </row>
    <row r="156" spans="1:4" x14ac:dyDescent="0.35">
      <c r="A156" s="5" t="str">
        <f t="shared" si="4"/>
        <v>47.7</v>
      </c>
      <c r="B156" s="5" t="str">
        <f t="shared" si="5"/>
        <v>Retail sale of other goods in specialised stores</v>
      </c>
      <c r="C156" s="5" t="b">
        <f>ISNUMBER(MATCH(A156, #REF!, 0))</f>
        <v>0</v>
      </c>
      <c r="D156" s="5" t="s">
        <v>216</v>
      </c>
    </row>
    <row r="157" spans="1:4" x14ac:dyDescent="0.35">
      <c r="A157" s="5" t="str">
        <f t="shared" si="4"/>
        <v>47.8</v>
      </c>
      <c r="B157" s="5" t="str">
        <f t="shared" si="5"/>
        <v>Retail sale via stalls and markets</v>
      </c>
      <c r="C157" s="5" t="b">
        <f>ISNUMBER(MATCH(A157, #REF!, 0))</f>
        <v>0</v>
      </c>
      <c r="D157" s="5" t="s">
        <v>217</v>
      </c>
    </row>
    <row r="158" spans="1:4" x14ac:dyDescent="0.35">
      <c r="A158" s="5" t="str">
        <f t="shared" si="4"/>
        <v>47.9</v>
      </c>
      <c r="B158" s="5" t="str">
        <f t="shared" si="5"/>
        <v>Retail trade not in stores, stalls or markets</v>
      </c>
      <c r="C158" s="5" t="b">
        <f>ISNUMBER(MATCH(A158, #REF!, 0))</f>
        <v>0</v>
      </c>
      <c r="D158" s="5" t="s">
        <v>218</v>
      </c>
    </row>
    <row r="159" spans="1:4" x14ac:dyDescent="0.35">
      <c r="A159" s="5" t="str">
        <f t="shared" si="4"/>
        <v>49.1</v>
      </c>
      <c r="B159" s="5" t="str">
        <f t="shared" si="5"/>
        <v>Passenger rail transport, interurban</v>
      </c>
      <c r="C159" s="5" t="b">
        <f>ISNUMBER(MATCH(A159, #REF!, 0))</f>
        <v>0</v>
      </c>
      <c r="D159" s="5" t="s">
        <v>219</v>
      </c>
    </row>
    <row r="160" spans="1:4" x14ac:dyDescent="0.35">
      <c r="A160" s="5" t="str">
        <f t="shared" si="4"/>
        <v>49.2</v>
      </c>
      <c r="B160" s="5" t="str">
        <f t="shared" si="5"/>
        <v>Freight rail transport</v>
      </c>
      <c r="C160" s="5" t="b">
        <f>ISNUMBER(MATCH(A160, #REF!, 0))</f>
        <v>0</v>
      </c>
      <c r="D160" s="5" t="s">
        <v>220</v>
      </c>
    </row>
    <row r="161" spans="1:4" x14ac:dyDescent="0.35">
      <c r="A161" s="5" t="str">
        <f t="shared" si="4"/>
        <v>49.3</v>
      </c>
      <c r="B161" s="5" t="str">
        <f t="shared" si="5"/>
        <v>Other passenger land transport</v>
      </c>
      <c r="C161" s="5" t="b">
        <f>ISNUMBER(MATCH(A161, #REF!, 0))</f>
        <v>0</v>
      </c>
      <c r="D161" s="5" t="s">
        <v>221</v>
      </c>
    </row>
    <row r="162" spans="1:4" x14ac:dyDescent="0.35">
      <c r="A162" s="5" t="str">
        <f t="shared" si="4"/>
        <v>49.4</v>
      </c>
      <c r="B162" s="5" t="str">
        <f t="shared" si="5"/>
        <v>Freight transport by road and removal services</v>
      </c>
      <c r="C162" s="5" t="b">
        <f>ISNUMBER(MATCH(A162, #REF!, 0))</f>
        <v>0</v>
      </c>
      <c r="D162" s="5" t="s">
        <v>222</v>
      </c>
    </row>
    <row r="163" spans="1:4" x14ac:dyDescent="0.35">
      <c r="A163" s="5" t="str">
        <f t="shared" si="4"/>
        <v>49.5</v>
      </c>
      <c r="B163" s="5" t="str">
        <f t="shared" si="5"/>
        <v>Transport via pipeline</v>
      </c>
      <c r="C163" s="5" t="b">
        <f>ISNUMBER(MATCH(A163, #REF!, 0))</f>
        <v>0</v>
      </c>
      <c r="D163" s="5" t="s">
        <v>223</v>
      </c>
    </row>
    <row r="164" spans="1:4" x14ac:dyDescent="0.35">
      <c r="A164" s="5" t="str">
        <f t="shared" si="4"/>
        <v>50.1</v>
      </c>
      <c r="B164" s="5" t="str">
        <f t="shared" si="5"/>
        <v>Sea and coastal passenger water transport</v>
      </c>
      <c r="C164" s="5" t="b">
        <f>ISNUMBER(MATCH(A164, #REF!, 0))</f>
        <v>0</v>
      </c>
      <c r="D164" s="5" t="s">
        <v>224</v>
      </c>
    </row>
    <row r="165" spans="1:4" x14ac:dyDescent="0.35">
      <c r="A165" s="5" t="str">
        <f t="shared" si="4"/>
        <v>50.2</v>
      </c>
      <c r="B165" s="5" t="str">
        <f t="shared" si="5"/>
        <v>Sea and coastal freight water transport</v>
      </c>
      <c r="C165" s="5" t="b">
        <f>ISNUMBER(MATCH(A165, #REF!, 0))</f>
        <v>0</v>
      </c>
      <c r="D165" s="5" t="s">
        <v>225</v>
      </c>
    </row>
    <row r="166" spans="1:4" x14ac:dyDescent="0.35">
      <c r="A166" s="5" t="str">
        <f t="shared" si="4"/>
        <v>50.3</v>
      </c>
      <c r="B166" s="5" t="str">
        <f t="shared" si="5"/>
        <v>Inland passenger water transport</v>
      </c>
      <c r="C166" s="5" t="b">
        <f>ISNUMBER(MATCH(A166, #REF!, 0))</f>
        <v>0</v>
      </c>
      <c r="D166" s="5" t="s">
        <v>226</v>
      </c>
    </row>
    <row r="167" spans="1:4" x14ac:dyDescent="0.35">
      <c r="A167" s="5" t="str">
        <f t="shared" si="4"/>
        <v>50.4</v>
      </c>
      <c r="B167" s="5" t="str">
        <f t="shared" si="5"/>
        <v>Inland freight water transport</v>
      </c>
      <c r="C167" s="5" t="b">
        <f>ISNUMBER(MATCH(A167, #REF!, 0))</f>
        <v>0</v>
      </c>
      <c r="D167" s="5" t="s">
        <v>227</v>
      </c>
    </row>
    <row r="168" spans="1:4" x14ac:dyDescent="0.35">
      <c r="A168" s="5" t="str">
        <f t="shared" si="4"/>
        <v>51.1</v>
      </c>
      <c r="B168" s="5" t="str">
        <f t="shared" si="5"/>
        <v>Passenger air transport</v>
      </c>
      <c r="C168" s="5" t="b">
        <f>ISNUMBER(MATCH(A168, #REF!, 0))</f>
        <v>0</v>
      </c>
      <c r="D168" s="5" t="s">
        <v>228</v>
      </c>
    </row>
    <row r="169" spans="1:4" x14ac:dyDescent="0.35">
      <c r="A169" s="5" t="str">
        <f t="shared" si="4"/>
        <v>51.2</v>
      </c>
      <c r="B169" s="5" t="str">
        <f t="shared" si="5"/>
        <v>Freight air transport and space transport</v>
      </c>
      <c r="C169" s="5" t="b">
        <f>ISNUMBER(MATCH(A169, #REF!, 0))</f>
        <v>0</v>
      </c>
      <c r="D169" s="5" t="s">
        <v>229</v>
      </c>
    </row>
    <row r="170" spans="1:4" x14ac:dyDescent="0.35">
      <c r="A170" s="5" t="str">
        <f t="shared" si="4"/>
        <v>52.1</v>
      </c>
      <c r="B170" s="5" t="str">
        <f t="shared" si="5"/>
        <v>Warehousing and storage</v>
      </c>
      <c r="C170" s="5" t="b">
        <f>ISNUMBER(MATCH(A170, #REF!, 0))</f>
        <v>0</v>
      </c>
      <c r="D170" s="5" t="s">
        <v>230</v>
      </c>
    </row>
    <row r="171" spans="1:4" x14ac:dyDescent="0.35">
      <c r="A171" s="5" t="str">
        <f t="shared" si="4"/>
        <v>52.2</v>
      </c>
      <c r="B171" s="5" t="str">
        <f t="shared" si="5"/>
        <v>Support activities for transportation</v>
      </c>
      <c r="C171" s="5" t="b">
        <f>ISNUMBER(MATCH(A171, #REF!, 0))</f>
        <v>0</v>
      </c>
      <c r="D171" s="5" t="s">
        <v>231</v>
      </c>
    </row>
    <row r="172" spans="1:4" x14ac:dyDescent="0.35">
      <c r="A172" s="5" t="str">
        <f t="shared" si="4"/>
        <v>53.1</v>
      </c>
      <c r="B172" s="5" t="str">
        <f t="shared" si="5"/>
        <v>Postal activities under universal service obligation</v>
      </c>
      <c r="C172" s="5" t="b">
        <f>ISNUMBER(MATCH(A172, #REF!, 0))</f>
        <v>0</v>
      </c>
      <c r="D172" s="5" t="s">
        <v>232</v>
      </c>
    </row>
    <row r="173" spans="1:4" x14ac:dyDescent="0.35">
      <c r="A173" s="5" t="str">
        <f t="shared" si="4"/>
        <v>53.2</v>
      </c>
      <c r="B173" s="5" t="str">
        <f t="shared" si="5"/>
        <v>Other postal and courier activities</v>
      </c>
      <c r="C173" s="5" t="b">
        <f>ISNUMBER(MATCH(A173, #REF!, 0))</f>
        <v>0</v>
      </c>
      <c r="D173" s="5" t="s">
        <v>233</v>
      </c>
    </row>
    <row r="174" spans="1:4" x14ac:dyDescent="0.35">
      <c r="A174" s="5" t="str">
        <f t="shared" si="4"/>
        <v>55.1</v>
      </c>
      <c r="B174" s="5" t="str">
        <f t="shared" si="5"/>
        <v>Hotels and similar accommodation</v>
      </c>
      <c r="C174" s="5" t="b">
        <f>ISNUMBER(MATCH(A174, #REF!, 0))</f>
        <v>0</v>
      </c>
      <c r="D174" s="5" t="s">
        <v>234</v>
      </c>
    </row>
    <row r="175" spans="1:4" x14ac:dyDescent="0.35">
      <c r="A175" s="5" t="str">
        <f t="shared" si="4"/>
        <v>55.2</v>
      </c>
      <c r="B175" s="5" t="str">
        <f t="shared" si="5"/>
        <v>Holiday and other short-stay accommodation</v>
      </c>
      <c r="C175" s="5" t="b">
        <f>ISNUMBER(MATCH(A175, #REF!, 0))</f>
        <v>0</v>
      </c>
      <c r="D175" s="5" t="s">
        <v>235</v>
      </c>
    </row>
    <row r="176" spans="1:4" x14ac:dyDescent="0.35">
      <c r="A176" s="5" t="str">
        <f t="shared" si="4"/>
        <v>55.3</v>
      </c>
      <c r="B176" s="5" t="str">
        <f t="shared" si="5"/>
        <v>Camping grounds, recreational vehicle parks and trailer parks</v>
      </c>
      <c r="C176" s="5" t="b">
        <f>ISNUMBER(MATCH(A176, #REF!, 0))</f>
        <v>0</v>
      </c>
      <c r="D176" s="5" t="s">
        <v>236</v>
      </c>
    </row>
    <row r="177" spans="1:4" x14ac:dyDescent="0.35">
      <c r="A177" s="5" t="str">
        <f t="shared" si="4"/>
        <v>55.9</v>
      </c>
      <c r="B177" s="5" t="str">
        <f t="shared" si="5"/>
        <v>Other accommodation</v>
      </c>
      <c r="C177" s="5" t="b">
        <f>ISNUMBER(MATCH(A177, #REF!, 0))</f>
        <v>0</v>
      </c>
      <c r="D177" s="5" t="s">
        <v>237</v>
      </c>
    </row>
    <row r="178" spans="1:4" x14ac:dyDescent="0.35">
      <c r="A178" s="5" t="str">
        <f t="shared" si="4"/>
        <v>56.1</v>
      </c>
      <c r="B178" s="5" t="str">
        <f t="shared" si="5"/>
        <v>Restaurants and mobile food service activities</v>
      </c>
      <c r="C178" s="5" t="b">
        <f>ISNUMBER(MATCH(A178, #REF!, 0))</f>
        <v>0</v>
      </c>
      <c r="D178" s="5" t="s">
        <v>238</v>
      </c>
    </row>
    <row r="179" spans="1:4" x14ac:dyDescent="0.35">
      <c r="A179" s="5" t="str">
        <f t="shared" si="4"/>
        <v>56.2</v>
      </c>
      <c r="B179" s="5" t="str">
        <f t="shared" si="5"/>
        <v>Event catering and other food service activities</v>
      </c>
      <c r="C179" s="5" t="b">
        <f>ISNUMBER(MATCH(A179, #REF!, 0))</f>
        <v>0</v>
      </c>
      <c r="D179" s="5" t="s">
        <v>239</v>
      </c>
    </row>
    <row r="180" spans="1:4" x14ac:dyDescent="0.35">
      <c r="A180" s="5" t="str">
        <f t="shared" si="4"/>
        <v>56.3</v>
      </c>
      <c r="B180" s="5" t="str">
        <f t="shared" si="5"/>
        <v>Beverage serving activities</v>
      </c>
      <c r="C180" s="5" t="b">
        <f>ISNUMBER(MATCH(A180, #REF!, 0))</f>
        <v>0</v>
      </c>
      <c r="D180" s="5" t="s">
        <v>240</v>
      </c>
    </row>
    <row r="181" spans="1:4" x14ac:dyDescent="0.35">
      <c r="A181" s="5" t="str">
        <f t="shared" si="4"/>
        <v>58.1</v>
      </c>
      <c r="B181" s="5" t="str">
        <f t="shared" si="5"/>
        <v>Publishing of books, periodicals and other publishing activities</v>
      </c>
      <c r="C181" s="5" t="b">
        <f>ISNUMBER(MATCH(A181, #REF!, 0))</f>
        <v>0</v>
      </c>
      <c r="D181" s="5" t="s">
        <v>241</v>
      </c>
    </row>
    <row r="182" spans="1:4" x14ac:dyDescent="0.35">
      <c r="A182" s="5" t="str">
        <f t="shared" si="4"/>
        <v>58.2</v>
      </c>
      <c r="B182" s="5" t="str">
        <f t="shared" si="5"/>
        <v>Software publishing</v>
      </c>
      <c r="C182" s="5" t="b">
        <f>ISNUMBER(MATCH(A182, #REF!, 0))</f>
        <v>0</v>
      </c>
      <c r="D182" s="5" t="s">
        <v>242</v>
      </c>
    </row>
    <row r="183" spans="1:4" x14ac:dyDescent="0.35">
      <c r="A183" s="5" t="str">
        <f t="shared" si="4"/>
        <v>59.1</v>
      </c>
      <c r="B183" s="5" t="str">
        <f t="shared" si="5"/>
        <v>Motion picture, video and television programme activities</v>
      </c>
      <c r="C183" s="5" t="b">
        <f>ISNUMBER(MATCH(A183, #REF!, 0))</f>
        <v>0</v>
      </c>
      <c r="D183" s="5" t="s">
        <v>243</v>
      </c>
    </row>
    <row r="184" spans="1:4" x14ac:dyDescent="0.35">
      <c r="A184" s="5" t="str">
        <f t="shared" si="4"/>
        <v>59.2</v>
      </c>
      <c r="B184" s="5" t="str">
        <f t="shared" si="5"/>
        <v>Sound recording and music publishing activities</v>
      </c>
      <c r="C184" s="5" t="b">
        <f>ISNUMBER(MATCH(A184, #REF!, 0))</f>
        <v>0</v>
      </c>
      <c r="D184" s="5" t="s">
        <v>244</v>
      </c>
    </row>
    <row r="185" spans="1:4" x14ac:dyDescent="0.35">
      <c r="A185" s="5" t="str">
        <f t="shared" si="4"/>
        <v>60.1</v>
      </c>
      <c r="B185" s="5" t="str">
        <f t="shared" si="5"/>
        <v>Radio broadcasting</v>
      </c>
      <c r="C185" s="5" t="b">
        <f>ISNUMBER(MATCH(A185, #REF!, 0))</f>
        <v>0</v>
      </c>
      <c r="D185" s="5" t="s">
        <v>245</v>
      </c>
    </row>
    <row r="186" spans="1:4" x14ac:dyDescent="0.35">
      <c r="A186" s="5" t="str">
        <f t="shared" si="4"/>
        <v>60.2</v>
      </c>
      <c r="B186" s="5" t="str">
        <f t="shared" si="5"/>
        <v>Television programming and broadcasting activities</v>
      </c>
      <c r="C186" s="5" t="b">
        <f>ISNUMBER(MATCH(A186, #REF!, 0))</f>
        <v>0</v>
      </c>
      <c r="D186" s="5" t="s">
        <v>246</v>
      </c>
    </row>
    <row r="187" spans="1:4" x14ac:dyDescent="0.35">
      <c r="A187" s="5" t="str">
        <f t="shared" si="4"/>
        <v>61.1</v>
      </c>
      <c r="B187" s="5" t="str">
        <f t="shared" si="5"/>
        <v>Wired telecommunications activities</v>
      </c>
      <c r="C187" s="5" t="b">
        <f>ISNUMBER(MATCH(A187, #REF!, 0))</f>
        <v>0</v>
      </c>
      <c r="D187" s="5" t="s">
        <v>247</v>
      </c>
    </row>
    <row r="188" spans="1:4" x14ac:dyDescent="0.35">
      <c r="A188" s="5" t="str">
        <f t="shared" si="4"/>
        <v>61.2</v>
      </c>
      <c r="B188" s="5" t="str">
        <f t="shared" si="5"/>
        <v>Wireless telecommunications activities</v>
      </c>
      <c r="C188" s="5" t="b">
        <f>ISNUMBER(MATCH(A188, #REF!, 0))</f>
        <v>0</v>
      </c>
      <c r="D188" s="5" t="s">
        <v>248</v>
      </c>
    </row>
    <row r="189" spans="1:4" x14ac:dyDescent="0.35">
      <c r="A189" s="5" t="str">
        <f t="shared" si="4"/>
        <v>61.3</v>
      </c>
      <c r="B189" s="5" t="str">
        <f t="shared" si="5"/>
        <v>Satellite telecommunications activities</v>
      </c>
      <c r="C189" s="5" t="b">
        <f>ISNUMBER(MATCH(A189, #REF!, 0))</f>
        <v>0</v>
      </c>
      <c r="D189" s="5" t="s">
        <v>249</v>
      </c>
    </row>
    <row r="190" spans="1:4" x14ac:dyDescent="0.35">
      <c r="A190" s="5" t="str">
        <f t="shared" si="4"/>
        <v>61.9</v>
      </c>
      <c r="B190" s="5" t="str">
        <f t="shared" si="5"/>
        <v>Other telecommunications activities</v>
      </c>
      <c r="C190" s="5" t="b">
        <f>ISNUMBER(MATCH(A190, #REF!, 0))</f>
        <v>0</v>
      </c>
      <c r="D190" s="5" t="s">
        <v>250</v>
      </c>
    </row>
    <row r="191" spans="1:4" x14ac:dyDescent="0.35">
      <c r="A191" s="5" t="str">
        <f t="shared" si="4"/>
        <v>62.0</v>
      </c>
      <c r="B191" s="5" t="str">
        <f t="shared" si="5"/>
        <v>Computer programming, consultancy and related activities</v>
      </c>
      <c r="C191" s="5" t="b">
        <f>ISNUMBER(MATCH(A191, #REF!, 0))</f>
        <v>0</v>
      </c>
      <c r="D191" s="5" t="s">
        <v>251</v>
      </c>
    </row>
    <row r="192" spans="1:4" x14ac:dyDescent="0.35">
      <c r="A192" s="5" t="str">
        <f t="shared" si="4"/>
        <v>63.1</v>
      </c>
      <c r="B192" s="5" t="str">
        <f t="shared" si="5"/>
        <v>Data processing, hosting and related activities; web portals</v>
      </c>
      <c r="C192" s="5" t="b">
        <f>ISNUMBER(MATCH(A192, #REF!, 0))</f>
        <v>0</v>
      </c>
      <c r="D192" s="5" t="s">
        <v>252</v>
      </c>
    </row>
    <row r="193" spans="1:4" x14ac:dyDescent="0.35">
      <c r="A193" s="5" t="str">
        <f t="shared" si="4"/>
        <v>63.9</v>
      </c>
      <c r="B193" s="5" t="str">
        <f t="shared" si="5"/>
        <v>Other information service activities</v>
      </c>
      <c r="C193" s="5" t="b">
        <f>ISNUMBER(MATCH(A193, #REF!, 0))</f>
        <v>0</v>
      </c>
      <c r="D193" s="5" t="s">
        <v>253</v>
      </c>
    </row>
    <row r="194" spans="1:4" x14ac:dyDescent="0.35">
      <c r="A194" s="5" t="str">
        <f t="shared" ref="A194:A257" si="6">LEFT(D194,4)</f>
        <v>64.1</v>
      </c>
      <c r="B194" s="5" t="str">
        <f t="shared" si="5"/>
        <v>Monetary intermediation</v>
      </c>
      <c r="C194" s="5" t="b">
        <f>ISNUMBER(MATCH(A194, #REF!, 0))</f>
        <v>0</v>
      </c>
      <c r="D194" s="5" t="s">
        <v>254</v>
      </c>
    </row>
    <row r="195" spans="1:4" x14ac:dyDescent="0.35">
      <c r="A195" s="5" t="str">
        <f t="shared" si="6"/>
        <v>64.2</v>
      </c>
      <c r="B195" s="5" t="str">
        <f t="shared" ref="B195:B258" si="7">SUBSTITUTE(SUBSTITUTE(D195,A195&amp;" ",""),RIGHT(D195,5),"")</f>
        <v>Activities of holding companies</v>
      </c>
      <c r="C195" s="5" t="b">
        <f>ISNUMBER(MATCH(A195, #REF!, 0))</f>
        <v>0</v>
      </c>
      <c r="D195" s="5" t="s">
        <v>255</v>
      </c>
    </row>
    <row r="196" spans="1:4" x14ac:dyDescent="0.35">
      <c r="A196" s="5" t="str">
        <f t="shared" si="6"/>
        <v>64.3</v>
      </c>
      <c r="B196" s="5" t="str">
        <f t="shared" si="7"/>
        <v>Trusts, funds and similar financial entities</v>
      </c>
      <c r="C196" s="5" t="b">
        <f>ISNUMBER(MATCH(A196, #REF!, 0))</f>
        <v>0</v>
      </c>
      <c r="D196" s="5" t="s">
        <v>256</v>
      </c>
    </row>
    <row r="197" spans="1:4" x14ac:dyDescent="0.35">
      <c r="A197" s="5" t="str">
        <f t="shared" si="6"/>
        <v>64.9</v>
      </c>
      <c r="B197" s="5" t="str">
        <f t="shared" si="7"/>
        <v>Other financial service activities, except insurance and pension funding</v>
      </c>
      <c r="C197" s="5" t="b">
        <f>ISNUMBER(MATCH(A197, #REF!, 0))</f>
        <v>0</v>
      </c>
      <c r="D197" s="5" t="s">
        <v>257</v>
      </c>
    </row>
    <row r="198" spans="1:4" x14ac:dyDescent="0.35">
      <c r="A198" s="5" t="str">
        <f t="shared" si="6"/>
        <v>65.1</v>
      </c>
      <c r="B198" s="5" t="str">
        <f t="shared" si="7"/>
        <v>Insurance</v>
      </c>
      <c r="C198" s="5" t="b">
        <f>ISNUMBER(MATCH(A198, #REF!, 0))</f>
        <v>0</v>
      </c>
      <c r="D198" s="5" t="s">
        <v>258</v>
      </c>
    </row>
    <row r="199" spans="1:4" x14ac:dyDescent="0.35">
      <c r="A199" s="5" t="str">
        <f t="shared" si="6"/>
        <v>65.2</v>
      </c>
      <c r="B199" s="5" t="str">
        <f t="shared" si="7"/>
        <v>Reinsurance</v>
      </c>
      <c r="C199" s="5" t="b">
        <f>ISNUMBER(MATCH(A199, #REF!, 0))</f>
        <v>0</v>
      </c>
      <c r="D199" s="5" t="s">
        <v>259</v>
      </c>
    </row>
    <row r="200" spans="1:4" x14ac:dyDescent="0.35">
      <c r="A200" s="5" t="str">
        <f t="shared" si="6"/>
        <v>65.3</v>
      </c>
      <c r="B200" s="5" t="str">
        <f t="shared" si="7"/>
        <v>Pension funding</v>
      </c>
      <c r="C200" s="5" t="b">
        <f>ISNUMBER(MATCH(A200, #REF!, 0))</f>
        <v>0</v>
      </c>
      <c r="D200" s="5" t="s">
        <v>260</v>
      </c>
    </row>
    <row r="201" spans="1:4" x14ac:dyDescent="0.35">
      <c r="A201" s="5" t="str">
        <f t="shared" si="6"/>
        <v>66.1</v>
      </c>
      <c r="B201" s="5" t="str">
        <f t="shared" si="7"/>
        <v>Activities auxiliary to financial services, except insurance and pension funding</v>
      </c>
      <c r="C201" s="5" t="b">
        <f>ISNUMBER(MATCH(A201, #REF!, 0))</f>
        <v>0</v>
      </c>
      <c r="D201" s="5" t="s">
        <v>261</v>
      </c>
    </row>
    <row r="202" spans="1:4" x14ac:dyDescent="0.35">
      <c r="A202" s="5" t="str">
        <f t="shared" si="6"/>
        <v>66.2</v>
      </c>
      <c r="B202" s="5" t="str">
        <f t="shared" si="7"/>
        <v>Activities auxiliary to insurance and pension funding</v>
      </c>
      <c r="C202" s="5" t="b">
        <f>ISNUMBER(MATCH(A202, #REF!, 0))</f>
        <v>0</v>
      </c>
      <c r="D202" s="5" t="s">
        <v>262</v>
      </c>
    </row>
    <row r="203" spans="1:4" x14ac:dyDescent="0.35">
      <c r="A203" s="5" t="str">
        <f t="shared" si="6"/>
        <v>66.3</v>
      </c>
      <c r="B203" s="5" t="str">
        <f t="shared" si="7"/>
        <v>Fund management activities</v>
      </c>
      <c r="C203" s="5" t="b">
        <f>ISNUMBER(MATCH(A203, #REF!, 0))</f>
        <v>0</v>
      </c>
      <c r="D203" s="5" t="s">
        <v>263</v>
      </c>
    </row>
    <row r="204" spans="1:4" x14ac:dyDescent="0.35">
      <c r="A204" s="5" t="str">
        <f t="shared" si="6"/>
        <v>68.1</v>
      </c>
      <c r="B204" s="5" t="str">
        <f t="shared" si="7"/>
        <v>Buying and selling of own real estate</v>
      </c>
      <c r="C204" s="5" t="b">
        <f>ISNUMBER(MATCH(A204, #REF!, 0))</f>
        <v>0</v>
      </c>
      <c r="D204" s="5" t="s">
        <v>264</v>
      </c>
    </row>
    <row r="205" spans="1:4" x14ac:dyDescent="0.35">
      <c r="A205" s="5" t="str">
        <f t="shared" si="6"/>
        <v>68.2</v>
      </c>
      <c r="B205" s="5" t="str">
        <f t="shared" si="7"/>
        <v>Rental and operating of own or leased real estate</v>
      </c>
      <c r="C205" s="5" t="b">
        <f>ISNUMBER(MATCH(A205, #REF!, 0))</f>
        <v>0</v>
      </c>
      <c r="D205" s="5" t="s">
        <v>265</v>
      </c>
    </row>
    <row r="206" spans="1:4" x14ac:dyDescent="0.35">
      <c r="A206" s="5" t="str">
        <f t="shared" si="6"/>
        <v>68.3</v>
      </c>
      <c r="B206" s="5" t="str">
        <f t="shared" si="7"/>
        <v>Real estate activities on a fee or contract basis</v>
      </c>
      <c r="C206" s="5" t="b">
        <f>ISNUMBER(MATCH(A206, #REF!, 0))</f>
        <v>0</v>
      </c>
      <c r="D206" s="5" t="s">
        <v>266</v>
      </c>
    </row>
    <row r="207" spans="1:4" x14ac:dyDescent="0.35">
      <c r="A207" s="5" t="str">
        <f t="shared" si="6"/>
        <v>69.1</v>
      </c>
      <c r="B207" s="5" t="str">
        <f t="shared" si="7"/>
        <v>Legal activities</v>
      </c>
      <c r="C207" s="5" t="b">
        <f>ISNUMBER(MATCH(A207, #REF!, 0))</f>
        <v>0</v>
      </c>
      <c r="D207" s="5" t="s">
        <v>267</v>
      </c>
    </row>
    <row r="208" spans="1:4" x14ac:dyDescent="0.35">
      <c r="A208" s="5" t="str">
        <f t="shared" si="6"/>
        <v>69.2</v>
      </c>
      <c r="B208" s="5" t="str">
        <f t="shared" si="7"/>
        <v>Accounting, bookkeeping and auditing activities; tax consultancy</v>
      </c>
      <c r="C208" s="5" t="b">
        <f>ISNUMBER(MATCH(A208, #REF!, 0))</f>
        <v>0</v>
      </c>
      <c r="D208" s="5" t="s">
        <v>268</v>
      </c>
    </row>
    <row r="209" spans="1:4" x14ac:dyDescent="0.35">
      <c r="A209" s="5" t="str">
        <f t="shared" si="6"/>
        <v>70.1</v>
      </c>
      <c r="B209" s="5" t="str">
        <f t="shared" si="7"/>
        <v>Activities of head offices</v>
      </c>
      <c r="C209" s="5" t="b">
        <f>ISNUMBER(MATCH(A209, #REF!, 0))</f>
        <v>0</v>
      </c>
      <c r="D209" s="5" t="s">
        <v>269</v>
      </c>
    </row>
    <row r="210" spans="1:4" x14ac:dyDescent="0.35">
      <c r="A210" s="5" t="str">
        <f t="shared" si="6"/>
        <v>70.2</v>
      </c>
      <c r="B210" s="5" t="str">
        <f t="shared" si="7"/>
        <v>Management consultancy activities</v>
      </c>
      <c r="C210" s="5" t="b">
        <f>ISNUMBER(MATCH(A210, #REF!, 0))</f>
        <v>0</v>
      </c>
      <c r="D210" s="5" t="s">
        <v>270</v>
      </c>
    </row>
    <row r="211" spans="1:4" x14ac:dyDescent="0.35">
      <c r="A211" s="5" t="str">
        <f t="shared" si="6"/>
        <v>71.1</v>
      </c>
      <c r="B211" s="5" t="str">
        <f t="shared" si="7"/>
        <v>Architectural and engineering activities and related technical consultancy</v>
      </c>
      <c r="C211" s="5" t="b">
        <f>ISNUMBER(MATCH(A211, #REF!, 0))</f>
        <v>0</v>
      </c>
      <c r="D211" s="5" t="s">
        <v>271</v>
      </c>
    </row>
    <row r="212" spans="1:4" x14ac:dyDescent="0.35">
      <c r="A212" s="5" t="str">
        <f t="shared" si="6"/>
        <v>71.2</v>
      </c>
      <c r="B212" s="5" t="str">
        <f t="shared" si="7"/>
        <v>Technical testing and analysis</v>
      </c>
      <c r="C212" s="5" t="b">
        <f>ISNUMBER(MATCH(A212, #REF!, 0))</f>
        <v>0</v>
      </c>
      <c r="D212" s="5" t="s">
        <v>272</v>
      </c>
    </row>
    <row r="213" spans="1:4" x14ac:dyDescent="0.35">
      <c r="A213" s="5" t="str">
        <f t="shared" si="6"/>
        <v>72.1</v>
      </c>
      <c r="B213" s="5" t="str">
        <f t="shared" si="7"/>
        <v>Research and experimental development on natural sciences and engineering</v>
      </c>
      <c r="C213" s="5" t="b">
        <f>ISNUMBER(MATCH(A213, #REF!, 0))</f>
        <v>0</v>
      </c>
      <c r="D213" s="5" t="s">
        <v>273</v>
      </c>
    </row>
    <row r="214" spans="1:4" x14ac:dyDescent="0.35">
      <c r="A214" s="5" t="str">
        <f t="shared" si="6"/>
        <v>72.2</v>
      </c>
      <c r="B214" s="5" t="str">
        <f t="shared" si="7"/>
        <v>Research and experimental development on social sciences and humanities</v>
      </c>
      <c r="C214" s="5" t="b">
        <f>ISNUMBER(MATCH(A214, #REF!, 0))</f>
        <v>0</v>
      </c>
      <c r="D214" s="5" t="s">
        <v>274</v>
      </c>
    </row>
    <row r="215" spans="1:4" x14ac:dyDescent="0.35">
      <c r="A215" s="5" t="str">
        <f t="shared" si="6"/>
        <v>73.1</v>
      </c>
      <c r="B215" s="5" t="str">
        <f t="shared" si="7"/>
        <v>Advertising</v>
      </c>
      <c r="C215" s="5" t="b">
        <f>ISNUMBER(MATCH(A215, #REF!, 0))</f>
        <v>0</v>
      </c>
      <c r="D215" s="5" t="s">
        <v>275</v>
      </c>
    </row>
    <row r="216" spans="1:4" x14ac:dyDescent="0.35">
      <c r="A216" s="5" t="str">
        <f t="shared" si="6"/>
        <v>73.2</v>
      </c>
      <c r="B216" s="5" t="str">
        <f t="shared" si="7"/>
        <v>Market research and public opinion polling</v>
      </c>
      <c r="C216" s="5" t="b">
        <f>ISNUMBER(MATCH(A216, #REF!, 0))</f>
        <v>0</v>
      </c>
      <c r="D216" s="5" t="s">
        <v>276</v>
      </c>
    </row>
    <row r="217" spans="1:4" x14ac:dyDescent="0.35">
      <c r="A217" s="5" t="str">
        <f t="shared" si="6"/>
        <v>74.1</v>
      </c>
      <c r="B217" s="5" t="str">
        <f t="shared" si="7"/>
        <v>Specialised design activities</v>
      </c>
      <c r="C217" s="5" t="b">
        <f>ISNUMBER(MATCH(A217, #REF!, 0))</f>
        <v>0</v>
      </c>
      <c r="D217" s="5" t="s">
        <v>277</v>
      </c>
    </row>
    <row r="218" spans="1:4" x14ac:dyDescent="0.35">
      <c r="A218" s="5" t="str">
        <f t="shared" si="6"/>
        <v>74.2</v>
      </c>
      <c r="B218" s="5" t="str">
        <f t="shared" si="7"/>
        <v>Photographic activities</v>
      </c>
      <c r="C218" s="5" t="b">
        <f>ISNUMBER(MATCH(A218, #REF!, 0))</f>
        <v>0</v>
      </c>
      <c r="D218" s="5" t="s">
        <v>278</v>
      </c>
    </row>
    <row r="219" spans="1:4" x14ac:dyDescent="0.35">
      <c r="A219" s="5" t="str">
        <f t="shared" si="6"/>
        <v>74.3</v>
      </c>
      <c r="B219" s="5" t="str">
        <f t="shared" si="7"/>
        <v>Translation and interpretation activities</v>
      </c>
      <c r="C219" s="5" t="b">
        <f>ISNUMBER(MATCH(A219, #REF!, 0))</f>
        <v>0</v>
      </c>
      <c r="D219" s="5" t="s">
        <v>279</v>
      </c>
    </row>
    <row r="220" spans="1:4" x14ac:dyDescent="0.35">
      <c r="A220" s="5" t="str">
        <f t="shared" si="6"/>
        <v>74.9</v>
      </c>
      <c r="B220" s="5" t="str">
        <f t="shared" si="7"/>
        <v>Other professional, scientific and technical activities n.e.c.</v>
      </c>
      <c r="C220" s="5" t="b">
        <f>ISNUMBER(MATCH(A220, #REF!, 0))</f>
        <v>0</v>
      </c>
      <c r="D220" s="5" t="s">
        <v>280</v>
      </c>
    </row>
    <row r="221" spans="1:4" x14ac:dyDescent="0.35">
      <c r="A221" s="5" t="str">
        <f t="shared" si="6"/>
        <v>75.0</v>
      </c>
      <c r="B221" s="5" t="str">
        <f t="shared" si="7"/>
        <v>Veterinary activities</v>
      </c>
      <c r="C221" s="5" t="b">
        <f>ISNUMBER(MATCH(A221, #REF!, 0))</f>
        <v>0</v>
      </c>
      <c r="D221" s="5" t="s">
        <v>281</v>
      </c>
    </row>
    <row r="222" spans="1:4" x14ac:dyDescent="0.35">
      <c r="A222" s="5" t="str">
        <f t="shared" si="6"/>
        <v>77.1</v>
      </c>
      <c r="B222" s="5" t="str">
        <f t="shared" si="7"/>
        <v>Rental and leasing of motor vehicles</v>
      </c>
      <c r="C222" s="5" t="b">
        <f>ISNUMBER(MATCH(A222, #REF!, 0))</f>
        <v>0</v>
      </c>
      <c r="D222" s="5" t="s">
        <v>282</v>
      </c>
    </row>
    <row r="223" spans="1:4" x14ac:dyDescent="0.35">
      <c r="A223" s="5" t="str">
        <f t="shared" si="6"/>
        <v>77.2</v>
      </c>
      <c r="B223" s="5" t="str">
        <f t="shared" si="7"/>
        <v>Rental and leasing of personal and household goods</v>
      </c>
      <c r="C223" s="5" t="b">
        <f>ISNUMBER(MATCH(A223, #REF!, 0))</f>
        <v>0</v>
      </c>
      <c r="D223" s="5" t="s">
        <v>283</v>
      </c>
    </row>
    <row r="224" spans="1:4" x14ac:dyDescent="0.35">
      <c r="A224" s="5" t="str">
        <f t="shared" si="6"/>
        <v>77.3</v>
      </c>
      <c r="B224" s="5" t="str">
        <f t="shared" si="7"/>
        <v>Rental and leasing of other machinery, equipment and tangible goods</v>
      </c>
      <c r="C224" s="5" t="b">
        <f>ISNUMBER(MATCH(A224, #REF!, 0))</f>
        <v>0</v>
      </c>
      <c r="D224" s="5" t="s">
        <v>284</v>
      </c>
    </row>
    <row r="225" spans="1:4" x14ac:dyDescent="0.35">
      <c r="A225" s="5" t="str">
        <f t="shared" si="6"/>
        <v>77.4</v>
      </c>
      <c r="B225" s="5" t="str">
        <f t="shared" si="7"/>
        <v>Leasing of intellectual property and similar products, except copyrighted works</v>
      </c>
      <c r="C225" s="5" t="b">
        <f>ISNUMBER(MATCH(A225, #REF!, 0))</f>
        <v>0</v>
      </c>
      <c r="D225" s="5" t="s">
        <v>285</v>
      </c>
    </row>
    <row r="226" spans="1:4" x14ac:dyDescent="0.35">
      <c r="A226" s="5" t="str">
        <f t="shared" si="6"/>
        <v>78.1</v>
      </c>
      <c r="B226" s="5" t="str">
        <f t="shared" si="7"/>
        <v>Activities of employment placement agencies</v>
      </c>
      <c r="C226" s="5" t="b">
        <f>ISNUMBER(MATCH(A226, #REF!, 0))</f>
        <v>0</v>
      </c>
      <c r="D226" s="5" t="s">
        <v>286</v>
      </c>
    </row>
    <row r="227" spans="1:4" x14ac:dyDescent="0.35">
      <c r="A227" s="5" t="str">
        <f t="shared" si="6"/>
        <v>78.2</v>
      </c>
      <c r="B227" s="5" t="str">
        <f t="shared" si="7"/>
        <v>Temporary employment agency activities</v>
      </c>
      <c r="C227" s="5" t="b">
        <f>ISNUMBER(MATCH(A227, #REF!, 0))</f>
        <v>0</v>
      </c>
      <c r="D227" s="5" t="s">
        <v>287</v>
      </c>
    </row>
    <row r="228" spans="1:4" x14ac:dyDescent="0.35">
      <c r="A228" s="5" t="str">
        <f t="shared" si="6"/>
        <v>78.3</v>
      </c>
      <c r="B228" s="5" t="str">
        <f t="shared" si="7"/>
        <v>Other human resources provision</v>
      </c>
      <c r="C228" s="5" t="b">
        <f>ISNUMBER(MATCH(A228, #REF!, 0))</f>
        <v>0</v>
      </c>
      <c r="D228" s="5" t="s">
        <v>288</v>
      </c>
    </row>
    <row r="229" spans="1:4" x14ac:dyDescent="0.35">
      <c r="A229" s="5" t="str">
        <f t="shared" si="6"/>
        <v>79.1</v>
      </c>
      <c r="B229" s="5" t="str">
        <f t="shared" si="7"/>
        <v>Travel agency and tour operator activities</v>
      </c>
      <c r="C229" s="5" t="b">
        <f>ISNUMBER(MATCH(A229, #REF!, 0))</f>
        <v>0</v>
      </c>
      <c r="D229" s="5" t="s">
        <v>289</v>
      </c>
    </row>
    <row r="230" spans="1:4" x14ac:dyDescent="0.35">
      <c r="A230" s="5" t="str">
        <f t="shared" si="6"/>
        <v>79.9</v>
      </c>
      <c r="B230" s="5" t="str">
        <f t="shared" si="7"/>
        <v>Other reservation service and related activities</v>
      </c>
      <c r="C230" s="5" t="b">
        <f>ISNUMBER(MATCH(A230, #REF!, 0))</f>
        <v>0</v>
      </c>
      <c r="D230" s="5" t="s">
        <v>290</v>
      </c>
    </row>
    <row r="231" spans="1:4" x14ac:dyDescent="0.35">
      <c r="A231" s="5" t="str">
        <f t="shared" si="6"/>
        <v>80.1</v>
      </c>
      <c r="B231" s="5" t="str">
        <f t="shared" si="7"/>
        <v>Private security activities</v>
      </c>
      <c r="C231" s="5" t="b">
        <f>ISNUMBER(MATCH(A231, #REF!, 0))</f>
        <v>0</v>
      </c>
      <c r="D231" s="5" t="s">
        <v>291</v>
      </c>
    </row>
    <row r="232" spans="1:4" x14ac:dyDescent="0.35">
      <c r="A232" s="5" t="str">
        <f t="shared" si="6"/>
        <v>80.2</v>
      </c>
      <c r="B232" s="5" t="str">
        <f t="shared" si="7"/>
        <v>Security systems service activities</v>
      </c>
      <c r="C232" s="5" t="b">
        <f>ISNUMBER(MATCH(A232, #REF!, 0))</f>
        <v>0</v>
      </c>
      <c r="D232" s="5" t="s">
        <v>292</v>
      </c>
    </row>
    <row r="233" spans="1:4" x14ac:dyDescent="0.35">
      <c r="A233" s="5" t="str">
        <f t="shared" si="6"/>
        <v>80.3</v>
      </c>
      <c r="B233" s="5" t="str">
        <f t="shared" si="7"/>
        <v>Investigation activities</v>
      </c>
      <c r="C233" s="5" t="b">
        <f>ISNUMBER(MATCH(A233, #REF!, 0))</f>
        <v>0</v>
      </c>
      <c r="D233" s="5" t="s">
        <v>293</v>
      </c>
    </row>
    <row r="234" spans="1:4" x14ac:dyDescent="0.35">
      <c r="A234" s="5" t="str">
        <f t="shared" si="6"/>
        <v>81.1</v>
      </c>
      <c r="B234" s="5" t="str">
        <f t="shared" si="7"/>
        <v>Combined facilities support activities</v>
      </c>
      <c r="C234" s="5" t="b">
        <f>ISNUMBER(MATCH(A234, #REF!, 0))</f>
        <v>0</v>
      </c>
      <c r="D234" s="5" t="s">
        <v>294</v>
      </c>
    </row>
    <row r="235" spans="1:4" x14ac:dyDescent="0.35">
      <c r="A235" s="5" t="str">
        <f t="shared" si="6"/>
        <v>81.2</v>
      </c>
      <c r="B235" s="5" t="str">
        <f t="shared" si="7"/>
        <v>Cleaning activities</v>
      </c>
      <c r="C235" s="5" t="b">
        <f>ISNUMBER(MATCH(A235, #REF!, 0))</f>
        <v>0</v>
      </c>
      <c r="D235" s="5" t="s">
        <v>295</v>
      </c>
    </row>
    <row r="236" spans="1:4" x14ac:dyDescent="0.35">
      <c r="A236" s="5" t="str">
        <f t="shared" si="6"/>
        <v>81.3</v>
      </c>
      <c r="B236" s="5" t="str">
        <f t="shared" si="7"/>
        <v>Landscape service activities</v>
      </c>
      <c r="C236" s="5" t="b">
        <f>ISNUMBER(MATCH(A236, #REF!, 0))</f>
        <v>0</v>
      </c>
      <c r="D236" s="5" t="s">
        <v>296</v>
      </c>
    </row>
    <row r="237" spans="1:4" x14ac:dyDescent="0.35">
      <c r="A237" s="5" t="str">
        <f t="shared" si="6"/>
        <v>82.1</v>
      </c>
      <c r="B237" s="5" t="str">
        <f t="shared" si="7"/>
        <v>Office administrative and support activities</v>
      </c>
      <c r="C237" s="5" t="b">
        <f>ISNUMBER(MATCH(A237, #REF!, 0))</f>
        <v>0</v>
      </c>
      <c r="D237" s="5" t="s">
        <v>297</v>
      </c>
    </row>
    <row r="238" spans="1:4" x14ac:dyDescent="0.35">
      <c r="A238" s="5" t="str">
        <f t="shared" si="6"/>
        <v>82.2</v>
      </c>
      <c r="B238" s="5" t="str">
        <f t="shared" si="7"/>
        <v>Activities of call centres</v>
      </c>
      <c r="C238" s="5" t="b">
        <f>ISNUMBER(MATCH(A238, #REF!, 0))</f>
        <v>0</v>
      </c>
      <c r="D238" s="5" t="s">
        <v>298</v>
      </c>
    </row>
    <row r="239" spans="1:4" x14ac:dyDescent="0.35">
      <c r="A239" s="5" t="str">
        <f t="shared" si="6"/>
        <v>82.3</v>
      </c>
      <c r="B239" s="5" t="str">
        <f t="shared" si="7"/>
        <v>Organisation of conventions and trade shows</v>
      </c>
      <c r="C239" s="5" t="b">
        <f>ISNUMBER(MATCH(A239, #REF!, 0))</f>
        <v>0</v>
      </c>
      <c r="D239" s="5" t="s">
        <v>299</v>
      </c>
    </row>
    <row r="240" spans="1:4" x14ac:dyDescent="0.35">
      <c r="A240" s="5" t="str">
        <f t="shared" si="6"/>
        <v>82.9</v>
      </c>
      <c r="B240" s="5" t="str">
        <f t="shared" si="7"/>
        <v>Business support service activities n.e.c.</v>
      </c>
      <c r="C240" s="5" t="b">
        <f>ISNUMBER(MATCH(A240, #REF!, 0))</f>
        <v>0</v>
      </c>
      <c r="D240" s="5" t="s">
        <v>300</v>
      </c>
    </row>
    <row r="241" spans="1:4" x14ac:dyDescent="0.35">
      <c r="A241" s="5" t="str">
        <f t="shared" si="6"/>
        <v>84.1</v>
      </c>
      <c r="B241" s="5" t="str">
        <f t="shared" si="7"/>
        <v>Administration of the State and the economic and social policy of the community</v>
      </c>
      <c r="C241" s="5" t="b">
        <f>ISNUMBER(MATCH(A241, #REF!, 0))</f>
        <v>0</v>
      </c>
      <c r="D241" s="5" t="s">
        <v>301</v>
      </c>
    </row>
    <row r="242" spans="1:4" x14ac:dyDescent="0.35">
      <c r="A242" s="5" t="str">
        <f t="shared" si="6"/>
        <v>84.2</v>
      </c>
      <c r="B242" s="5" t="str">
        <f t="shared" si="7"/>
        <v>Provision of services to the community as a whole</v>
      </c>
      <c r="C242" s="5" t="b">
        <f>ISNUMBER(MATCH(A242, #REF!, 0))</f>
        <v>0</v>
      </c>
      <c r="D242" s="5" t="s">
        <v>302</v>
      </c>
    </row>
    <row r="243" spans="1:4" x14ac:dyDescent="0.35">
      <c r="A243" s="5" t="str">
        <f t="shared" si="6"/>
        <v>84.3</v>
      </c>
      <c r="B243" s="5" t="str">
        <f t="shared" si="7"/>
        <v>Compulsory social security activities</v>
      </c>
      <c r="C243" s="5" t="b">
        <f>ISNUMBER(MATCH(A243, #REF!, 0))</f>
        <v>0</v>
      </c>
      <c r="D243" s="5" t="s">
        <v>303</v>
      </c>
    </row>
    <row r="244" spans="1:4" x14ac:dyDescent="0.35">
      <c r="A244" s="5" t="str">
        <f t="shared" si="6"/>
        <v>85.1</v>
      </c>
      <c r="B244" s="5" t="str">
        <f t="shared" si="7"/>
        <v>Pre-primary education</v>
      </c>
      <c r="C244" s="5" t="b">
        <f>ISNUMBER(MATCH(A244, #REF!, 0))</f>
        <v>0</v>
      </c>
      <c r="D244" s="5" t="s">
        <v>304</v>
      </c>
    </row>
    <row r="245" spans="1:4" x14ac:dyDescent="0.35">
      <c r="A245" s="5" t="str">
        <f t="shared" si="6"/>
        <v>85.2</v>
      </c>
      <c r="B245" s="5" t="str">
        <f t="shared" si="7"/>
        <v>Primary education</v>
      </c>
      <c r="C245" s="5" t="b">
        <f>ISNUMBER(MATCH(A245, #REF!, 0))</f>
        <v>0</v>
      </c>
      <c r="D245" s="5" t="s">
        <v>305</v>
      </c>
    </row>
    <row r="246" spans="1:4" x14ac:dyDescent="0.35">
      <c r="A246" s="5" t="str">
        <f t="shared" si="6"/>
        <v>85.3</v>
      </c>
      <c r="B246" s="5" t="str">
        <f t="shared" si="7"/>
        <v>Secondary education</v>
      </c>
      <c r="C246" s="5" t="b">
        <f>ISNUMBER(MATCH(A246, #REF!, 0))</f>
        <v>0</v>
      </c>
      <c r="D246" s="5" t="s">
        <v>306</v>
      </c>
    </row>
    <row r="247" spans="1:4" x14ac:dyDescent="0.35">
      <c r="A247" s="5" t="str">
        <f t="shared" si="6"/>
        <v>85.4</v>
      </c>
      <c r="B247" s="5" t="str">
        <f t="shared" si="7"/>
        <v>Higher education</v>
      </c>
      <c r="C247" s="5" t="b">
        <f>ISNUMBER(MATCH(A247, #REF!, 0))</f>
        <v>0</v>
      </c>
      <c r="D247" s="5" t="s">
        <v>307</v>
      </c>
    </row>
    <row r="248" spans="1:4" x14ac:dyDescent="0.35">
      <c r="A248" s="5" t="str">
        <f t="shared" si="6"/>
        <v>85.5</v>
      </c>
      <c r="B248" s="5" t="str">
        <f t="shared" si="7"/>
        <v>Other education</v>
      </c>
      <c r="C248" s="5" t="b">
        <f>ISNUMBER(MATCH(A248, #REF!, 0))</f>
        <v>0</v>
      </c>
      <c r="D248" s="5" t="s">
        <v>308</v>
      </c>
    </row>
    <row r="249" spans="1:4" x14ac:dyDescent="0.35">
      <c r="A249" s="5" t="str">
        <f t="shared" si="6"/>
        <v>85.6</v>
      </c>
      <c r="B249" s="5" t="str">
        <f t="shared" si="7"/>
        <v>Educational support activities</v>
      </c>
      <c r="C249" s="5" t="b">
        <f>ISNUMBER(MATCH(A249, #REF!, 0))</f>
        <v>0</v>
      </c>
      <c r="D249" s="5" t="s">
        <v>309</v>
      </c>
    </row>
    <row r="250" spans="1:4" x14ac:dyDescent="0.35">
      <c r="A250" s="5" t="str">
        <f t="shared" si="6"/>
        <v>86.1</v>
      </c>
      <c r="B250" s="5" t="str">
        <f t="shared" si="7"/>
        <v>Hospital activities</v>
      </c>
      <c r="C250" s="5" t="b">
        <f>ISNUMBER(MATCH(A250, #REF!, 0))</f>
        <v>0</v>
      </c>
      <c r="D250" s="5" t="s">
        <v>310</v>
      </c>
    </row>
    <row r="251" spans="1:4" x14ac:dyDescent="0.35">
      <c r="A251" s="5" t="str">
        <f t="shared" si="6"/>
        <v>86.2</v>
      </c>
      <c r="B251" s="5" t="str">
        <f t="shared" si="7"/>
        <v>Medical and dental practice activities</v>
      </c>
      <c r="C251" s="5" t="b">
        <f>ISNUMBER(MATCH(A251, #REF!, 0))</f>
        <v>0</v>
      </c>
      <c r="D251" s="5" t="s">
        <v>311</v>
      </c>
    </row>
    <row r="252" spans="1:4" x14ac:dyDescent="0.35">
      <c r="A252" s="5" t="str">
        <f t="shared" si="6"/>
        <v>86.9</v>
      </c>
      <c r="B252" s="5" t="str">
        <f t="shared" si="7"/>
        <v>Other human health activities</v>
      </c>
      <c r="C252" s="5" t="b">
        <f>ISNUMBER(MATCH(A252, #REF!, 0))</f>
        <v>0</v>
      </c>
      <c r="D252" s="5" t="s">
        <v>312</v>
      </c>
    </row>
    <row r="253" spans="1:4" x14ac:dyDescent="0.35">
      <c r="A253" s="5" t="str">
        <f t="shared" si="6"/>
        <v>87.1</v>
      </c>
      <c r="B253" s="5" t="str">
        <f t="shared" si="7"/>
        <v>Residential nursing care activities</v>
      </c>
      <c r="C253" s="5" t="b">
        <f>ISNUMBER(MATCH(A253, #REF!, 0))</f>
        <v>0</v>
      </c>
      <c r="D253" s="5" t="s">
        <v>313</v>
      </c>
    </row>
    <row r="254" spans="1:4" x14ac:dyDescent="0.35">
      <c r="A254" s="5" t="str">
        <f t="shared" si="6"/>
        <v>87.2</v>
      </c>
      <c r="B254" s="5" t="str">
        <f t="shared" si="7"/>
        <v>Residential care activities for mental retardation, mental health and substance abuse</v>
      </c>
      <c r="C254" s="5" t="b">
        <f>ISNUMBER(MATCH(A254, #REF!, 0))</f>
        <v>0</v>
      </c>
      <c r="D254" s="5" t="s">
        <v>314</v>
      </c>
    </row>
    <row r="255" spans="1:4" x14ac:dyDescent="0.35">
      <c r="A255" s="5" t="str">
        <f t="shared" si="6"/>
        <v>87.3</v>
      </c>
      <c r="B255" s="5" t="str">
        <f t="shared" si="7"/>
        <v>Residential care activities for the elderly and disabled</v>
      </c>
      <c r="C255" s="5" t="b">
        <f>ISNUMBER(MATCH(A255, #REF!, 0))</f>
        <v>0</v>
      </c>
      <c r="D255" s="5" t="s">
        <v>315</v>
      </c>
    </row>
    <row r="256" spans="1:4" x14ac:dyDescent="0.35">
      <c r="A256" s="5" t="str">
        <f t="shared" si="6"/>
        <v>87.9</v>
      </c>
      <c r="B256" s="5" t="str">
        <f t="shared" si="7"/>
        <v>Other residential care activities</v>
      </c>
      <c r="C256" s="5" t="b">
        <f>ISNUMBER(MATCH(A256, #REF!, 0))</f>
        <v>0</v>
      </c>
      <c r="D256" s="5" t="s">
        <v>316</v>
      </c>
    </row>
    <row r="257" spans="1:4" x14ac:dyDescent="0.35">
      <c r="A257" s="5" t="str">
        <f t="shared" si="6"/>
        <v>88.1</v>
      </c>
      <c r="B257" s="5" t="str">
        <f t="shared" si="7"/>
        <v>Social work activities without accommodation for the elderly and disabled</v>
      </c>
      <c r="C257" s="5" t="b">
        <f>ISNUMBER(MATCH(A257, #REF!, 0))</f>
        <v>0</v>
      </c>
      <c r="D257" s="5" t="s">
        <v>317</v>
      </c>
    </row>
    <row r="258" spans="1:4" x14ac:dyDescent="0.35">
      <c r="A258" s="5" t="str">
        <f t="shared" ref="A258:A273" si="8">LEFT(D258,4)</f>
        <v>88.9</v>
      </c>
      <c r="B258" s="5" t="str">
        <f t="shared" si="7"/>
        <v>Other social work activities without accommodation</v>
      </c>
      <c r="C258" s="5" t="b">
        <f>ISNUMBER(MATCH(A258, #REF!, 0))</f>
        <v>0</v>
      </c>
      <c r="D258" s="5" t="s">
        <v>318</v>
      </c>
    </row>
    <row r="259" spans="1:4" x14ac:dyDescent="0.35">
      <c r="A259" s="5" t="str">
        <f t="shared" si="8"/>
        <v>90.0</v>
      </c>
      <c r="B259" s="5" t="str">
        <f t="shared" ref="B259:B273" si="9">SUBSTITUTE(SUBSTITUTE(D259,A259&amp;" ",""),RIGHT(D259,5),"")</f>
        <v>Creative, arts and entertainment activities</v>
      </c>
      <c r="C259" s="5" t="b">
        <f>ISNUMBER(MATCH(A259, #REF!, 0))</f>
        <v>0</v>
      </c>
      <c r="D259" s="5" t="s">
        <v>319</v>
      </c>
    </row>
    <row r="260" spans="1:4" x14ac:dyDescent="0.35">
      <c r="A260" s="5" t="str">
        <f t="shared" si="8"/>
        <v>91.0</v>
      </c>
      <c r="B260" s="5" t="str">
        <f t="shared" si="9"/>
        <v>Libraries, archives, museums and other cultural activities</v>
      </c>
      <c r="C260" s="5" t="b">
        <f>ISNUMBER(MATCH(A260, #REF!, 0))</f>
        <v>0</v>
      </c>
      <c r="D260" s="5" t="s">
        <v>320</v>
      </c>
    </row>
    <row r="261" spans="1:4" x14ac:dyDescent="0.35">
      <c r="A261" s="5" t="str">
        <f t="shared" si="8"/>
        <v>92.0</v>
      </c>
      <c r="B261" s="5" t="str">
        <f t="shared" si="9"/>
        <v>Gambling and betting activities</v>
      </c>
      <c r="C261" s="5" t="b">
        <f>ISNUMBER(MATCH(A261, #REF!, 0))</f>
        <v>0</v>
      </c>
      <c r="D261" s="5" t="s">
        <v>321</v>
      </c>
    </row>
    <row r="262" spans="1:4" x14ac:dyDescent="0.35">
      <c r="A262" s="5" t="str">
        <f t="shared" si="8"/>
        <v>93.1</v>
      </c>
      <c r="B262" s="5" t="str">
        <f t="shared" si="9"/>
        <v>Sports activities</v>
      </c>
      <c r="C262" s="5" t="b">
        <f>ISNUMBER(MATCH(A262, #REF!, 0))</f>
        <v>0</v>
      </c>
      <c r="D262" s="5" t="s">
        <v>322</v>
      </c>
    </row>
    <row r="263" spans="1:4" x14ac:dyDescent="0.35">
      <c r="A263" s="5" t="str">
        <f t="shared" si="8"/>
        <v>93.2</v>
      </c>
      <c r="B263" s="5" t="str">
        <f t="shared" si="9"/>
        <v>Amusement and recreation activities</v>
      </c>
      <c r="C263" s="5" t="b">
        <f>ISNUMBER(MATCH(A263, #REF!, 0))</f>
        <v>0</v>
      </c>
      <c r="D263" s="5" t="s">
        <v>323</v>
      </c>
    </row>
    <row r="264" spans="1:4" x14ac:dyDescent="0.35">
      <c r="A264" s="5" t="str">
        <f t="shared" si="8"/>
        <v>94.1</v>
      </c>
      <c r="B264" s="5" t="str">
        <f t="shared" si="9"/>
        <v>Activities of business, employers and professional membership organisations</v>
      </c>
      <c r="C264" s="5" t="b">
        <f>ISNUMBER(MATCH(A264, #REF!, 0))</f>
        <v>0</v>
      </c>
      <c r="D264" s="5" t="s">
        <v>324</v>
      </c>
    </row>
    <row r="265" spans="1:4" x14ac:dyDescent="0.35">
      <c r="A265" s="5" t="str">
        <f t="shared" si="8"/>
        <v>94.2</v>
      </c>
      <c r="B265" s="5" t="str">
        <f t="shared" si="9"/>
        <v>Activities of trade unions</v>
      </c>
      <c r="C265" s="5" t="b">
        <f>ISNUMBER(MATCH(A265, #REF!, 0))</f>
        <v>0</v>
      </c>
      <c r="D265" s="5" t="s">
        <v>325</v>
      </c>
    </row>
    <row r="266" spans="1:4" x14ac:dyDescent="0.35">
      <c r="A266" s="5" t="str">
        <f t="shared" si="8"/>
        <v>94.9</v>
      </c>
      <c r="B266" s="5" t="str">
        <f t="shared" si="9"/>
        <v>Activities of other membership organisations</v>
      </c>
      <c r="C266" s="5" t="b">
        <f>ISNUMBER(MATCH(A266, #REF!, 0))</f>
        <v>0</v>
      </c>
      <c r="D266" s="5" t="s">
        <v>326</v>
      </c>
    </row>
    <row r="267" spans="1:4" x14ac:dyDescent="0.35">
      <c r="A267" s="5" t="str">
        <f t="shared" si="8"/>
        <v>95.1</v>
      </c>
      <c r="B267" s="5" t="str">
        <f t="shared" si="9"/>
        <v>Repair of computers and communication equipment</v>
      </c>
      <c r="C267" s="5" t="b">
        <f>ISNUMBER(MATCH(A267, #REF!, 0))</f>
        <v>0</v>
      </c>
      <c r="D267" s="5" t="s">
        <v>327</v>
      </c>
    </row>
    <row r="268" spans="1:4" x14ac:dyDescent="0.35">
      <c r="A268" s="5" t="str">
        <f t="shared" si="8"/>
        <v>95.2</v>
      </c>
      <c r="B268" s="5" t="str">
        <f t="shared" si="9"/>
        <v>Repair of personal and household goods</v>
      </c>
      <c r="C268" s="5" t="b">
        <f>ISNUMBER(MATCH(A268, #REF!, 0))</f>
        <v>0</v>
      </c>
      <c r="D268" s="5" t="s">
        <v>328</v>
      </c>
    </row>
    <row r="269" spans="1:4" x14ac:dyDescent="0.35">
      <c r="A269" s="5" t="str">
        <f t="shared" si="8"/>
        <v>96.0</v>
      </c>
      <c r="B269" s="5" t="str">
        <f t="shared" si="9"/>
        <v>Other personal service activities</v>
      </c>
      <c r="C269" s="5" t="b">
        <f>ISNUMBER(MATCH(A269, #REF!, 0))</f>
        <v>0</v>
      </c>
      <c r="D269" s="5" t="s">
        <v>329</v>
      </c>
    </row>
    <row r="270" spans="1:4" x14ac:dyDescent="0.35">
      <c r="A270" s="5" t="str">
        <f t="shared" si="8"/>
        <v>97.0</v>
      </c>
      <c r="B270" s="5" t="str">
        <f t="shared" si="9"/>
        <v>Activities of households as employers of domestic personnel</v>
      </c>
      <c r="C270" s="5" t="b">
        <f>ISNUMBER(MATCH(A270, #REF!, 0))</f>
        <v>0</v>
      </c>
      <c r="D270" s="5" t="s">
        <v>330</v>
      </c>
    </row>
    <row r="271" spans="1:4" x14ac:dyDescent="0.35">
      <c r="A271" s="5" t="str">
        <f t="shared" si="8"/>
        <v>98.1</v>
      </c>
      <c r="B271" s="5" t="str">
        <f t="shared" si="9"/>
        <v>Undifferentiated goods-producing activities of private households for own use</v>
      </c>
      <c r="C271" s="5" t="b">
        <f>ISNUMBER(MATCH(A271, #REF!, 0))</f>
        <v>0</v>
      </c>
      <c r="D271" s="5" t="s">
        <v>331</v>
      </c>
    </row>
    <row r="272" spans="1:4" x14ac:dyDescent="0.35">
      <c r="A272" s="5" t="str">
        <f t="shared" si="8"/>
        <v>98.2</v>
      </c>
      <c r="B272" s="5" t="str">
        <f t="shared" si="9"/>
        <v>Undifferentiated service-producing activities of private households for own use</v>
      </c>
      <c r="C272" s="5" t="b">
        <f>ISNUMBER(MATCH(A272, #REF!, 0))</f>
        <v>0</v>
      </c>
      <c r="D272" s="5" t="s">
        <v>332</v>
      </c>
    </row>
    <row r="273" spans="1:4" x14ac:dyDescent="0.35">
      <c r="A273" s="5" t="str">
        <f t="shared" si="8"/>
        <v>99.0</v>
      </c>
      <c r="B273" s="5" t="str">
        <f t="shared" si="9"/>
        <v>Activities of extraterritorial organisations and bodies</v>
      </c>
      <c r="C273" s="5" t="b">
        <f>ISNUMBER(MATCH(A273, #REF!, 0))</f>
        <v>0</v>
      </c>
      <c r="D273" s="5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 ETS to NACE All Levels</vt:lpstr>
      <vt:lpstr>NACE Rev. All Levels</vt:lpstr>
      <vt:lpstr>ETS activities</vt:lpstr>
      <vt:lpstr>NACE Rev. 2 Level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Reischl</dc:creator>
  <cp:lastModifiedBy>Moritz Reischl</cp:lastModifiedBy>
  <cp:lastPrinted>2026-06-21T17:16:03Z</cp:lastPrinted>
  <dcterms:created xsi:type="dcterms:W3CDTF">2026-06-21T17:16:31Z</dcterms:created>
  <dcterms:modified xsi:type="dcterms:W3CDTF">2026-07-09T23:09:51Z</dcterms:modified>
</cp:coreProperties>
</file>